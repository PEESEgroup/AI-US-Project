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LC\SSP1-19\"/>
    </mc:Choice>
  </mc:AlternateContent>
  <xr:revisionPtr revIDLastSave="0" documentId="13_ncr:1_{C0BA8089-A93C-4D86-A8A6-332CB2ABC44C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<sst xmlns="http://schemas.openxmlformats.org/spreadsheetml/2006/main" count="1001" uniqueCount="55">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</sst>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1717.6897117981662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535.89590283840755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369.72735539137568</v>
      </c>
      <c r="N16" s="2">
        <f>N5/'Output-Calculation-sheet'!N4*'Output-Calculation-sheet'!N22</f>
        <v>0</v>
      </c>
      <c r="O16" s="2">
        <f>O5/'Output-Calculation-sheet'!O4*'Output-Calculation-sheet'!O22</f>
        <v>333.74363847429015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40.042689274825726</v>
      </c>
      <c r="Y16" s="2">
        <f>Y5/'Output-Calculation-sheet'!Y4*'Output-Calculation-sheet'!Y22</f>
        <v>0</v>
      </c>
      <c r="AA16" s="2">
        <f>SUM(B16:Y16)/1000</f>
        <v>2.9970992977770647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4616.1594293206508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1361.2688260627315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939.68456778777102</v>
      </c>
      <c r="N17" s="2">
        <f>N6/'Output-Calculation-sheet'!N5*'Output-Calculation-sheet'!N23</f>
        <v>0</v>
      </c>
      <c r="O17" s="2">
        <f>O6/'Output-Calculation-sheet'!O5*'Output-Calculation-sheet'!O23</f>
        <v>902.56425141878651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104.48753231084714</v>
      </c>
      <c r="Y17" s="2">
        <f>Y6/'Output-Calculation-sheet'!Y5*'Output-Calculation-sheet'!Y23</f>
        <v>0</v>
      </c>
      <c r="AA17" s="2">
        <f t="shared" ref="AA17:AA23" si="0">SUM(B17:Y17)/1000</f>
        <v>7.9241646069007867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7810.641142849011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2585.765626686838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1787.2727535636741</v>
      </c>
      <c r="N18" s="2">
        <f>N7/'Output-Calculation-sheet'!N6*'Output-Calculation-sheet'!N24</f>
        <v>553.84537548532228</v>
      </c>
      <c r="O18" s="2">
        <f>O7/'Output-Calculation-sheet'!O6*'Output-Calculation-sheet'!O24</f>
        <v>1275.5445978735422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121.07977262799619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200.37106630345679</v>
      </c>
      <c r="Y18" s="2">
        <f>Y7/'Output-Calculation-sheet'!Y6*'Output-Calculation-sheet'!Y24</f>
        <v>0</v>
      </c>
      <c r="AA18" s="2">
        <f t="shared" si="0"/>
        <v>14.33452033538984</v>
      </c>
    </row>
    <row r="19" spans="1:27" x14ac:dyDescent="0.25">
      <c r="A19" s="2">
        <v>2031</v>
      </c>
      <c r="B19" s="2">
        <f>B8/'Output-Calculation-sheet'!B7*'Output-Calculation-sheet'!B25</f>
        <v>826.69037179480028</v>
      </c>
      <c r="C19" s="2">
        <f>C8/'Output-Calculation-sheet'!C7*'Output-Calculation-sheet'!C25</f>
        <v>9459.974643978223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3708.9840158824891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2576.6464677123772</v>
      </c>
      <c r="N19" s="2">
        <f>N8/'Output-Calculation-sheet'!N7*'Output-Calculation-sheet'!N25</f>
        <v>882.343766091769</v>
      </c>
      <c r="O19" s="2">
        <f>O8/'Output-Calculation-sheet'!O7*'Output-Calculation-sheet'!O25</f>
        <v>1454.3323753407917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314.83418457568757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288.21654709906596</v>
      </c>
      <c r="Y19" s="2">
        <f>Y8/'Output-Calculation-sheet'!Y7*'Output-Calculation-sheet'!Y25</f>
        <v>0</v>
      </c>
      <c r="AA19" s="2">
        <f t="shared" si="0"/>
        <v>19.512022372475208</v>
      </c>
    </row>
    <row r="20" spans="1:27" x14ac:dyDescent="0.25">
      <c r="A20" s="2">
        <v>2032</v>
      </c>
      <c r="B20" s="2">
        <f>B9/'Output-Calculation-sheet'!B8*'Output-Calculation-sheet'!B26</f>
        <v>4283.433888701773</v>
      </c>
      <c r="C20" s="2">
        <f>C9/'Output-Calculation-sheet'!C8*'Output-Calculation-sheet'!C26</f>
        <v>10130.100126285828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4654.0348113407981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3238.1316931672559</v>
      </c>
      <c r="N20" s="2">
        <f>N9/'Output-Calculation-sheet'!N8*'Output-Calculation-sheet'!N26</f>
        <v>1461.310752837835</v>
      </c>
      <c r="O20" s="2">
        <f>O9/'Output-Calculation-sheet'!O8*'Output-Calculation-sheet'!O26</f>
        <v>1604.9704978018142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528.36687522582577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362.26740579377173</v>
      </c>
      <c r="Y20" s="2">
        <f>Y9/'Output-Calculation-sheet'!Y8*'Output-Calculation-sheet'!Y26</f>
        <v>0</v>
      </c>
      <c r="AA20" s="2">
        <f t="shared" si="0"/>
        <v>26.262616051154904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11227.927200971619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5594.8711974378375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3885.692693471548</v>
      </c>
      <c r="N21" s="2">
        <f>N10/'Output-Calculation-sheet'!N9*'Output-Calculation-sheet'!N27</f>
        <v>2125.4268436256125</v>
      </c>
      <c r="O21" s="2">
        <f>O10/'Output-Calculation-sheet'!O9*'Output-Calculation-sheet'!O27</f>
        <v>1723.6247248972388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925.31926130677004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456.95725642413515</v>
      </c>
      <c r="Y21" s="2">
        <f>Y10/'Output-Calculation-sheet'!Y9*'Output-Calculation-sheet'!Y27</f>
        <v>0</v>
      </c>
      <c r="AA21" s="2">
        <f t="shared" si="0"/>
        <v>35.761907216891771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12928.560316341895</v>
      </c>
      <c r="D22" s="2">
        <f>D11/'Output-Calculation-sheet'!D10*'Output-Calculation-sheet'!D28</f>
        <v>0</v>
      </c>
      <c r="E22" s="2">
        <f>E11/'Output-Calculation-sheet'!E10*'Output-Calculation-sheet'!E28</f>
        <v>955.2529500283996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6809.6476571229696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560.05550170752645</v>
      </c>
      <c r="M22" s="2">
        <f>M11/'Output-Calculation-sheet'!M10*'Output-Calculation-sheet'!M28</f>
        <v>5090.8688987399337</v>
      </c>
      <c r="N22" s="2">
        <f>N11/'Output-Calculation-sheet'!N10*'Output-Calculation-sheet'!N28</f>
        <v>2929.8234090118062</v>
      </c>
      <c r="O22" s="2">
        <f>O11/'Output-Calculation-sheet'!O10*'Output-Calculation-sheet'!O28</f>
        <v>1946.6404225408762</v>
      </c>
      <c r="P22" s="2">
        <f>P11/'Output-Calculation-sheet'!P10*'Output-Calculation-sheet'!P28</f>
        <v>0</v>
      </c>
      <c r="Q22" s="2">
        <f>Q11/'Output-Calculation-sheet'!Q10*'Output-Calculation-sheet'!Q28</f>
        <v>846.20020556181623</v>
      </c>
      <c r="R22" s="2">
        <f>R11/'Output-Calculation-sheet'!R10*'Output-Calculation-sheet'!R28</f>
        <v>0</v>
      </c>
      <c r="S22" s="2">
        <f>S11/'Output-Calculation-sheet'!S10*'Output-Calculation-sheet'!S28</f>
        <v>1485.8367416130982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490.30686373993933</v>
      </c>
      <c r="Y22" s="2">
        <f>Y11/'Output-Calculation-sheet'!Y10*'Output-Calculation-sheet'!Y28</f>
        <v>51.163524336568884</v>
      </c>
      <c r="AA22" s="2">
        <f t="shared" si="0"/>
        <v>52.486759607431615</v>
      </c>
    </row>
    <row r="23" spans="1:27" x14ac:dyDescent="0.25">
      <c r="A23" s="2">
        <v>2035</v>
      </c>
      <c r="B23" s="2">
        <f>B12/'Output-Calculation-sheet'!B11*'Output-Calculation-sheet'!B29</f>
        <v>18883.622007193109</v>
      </c>
      <c r="C23" s="2">
        <f>C12/'Output-Calculation-sheet'!C11*'Output-Calculation-sheet'!C29</f>
        <v>16044.269457239276</v>
      </c>
      <c r="D23" s="2">
        <f>D12/'Output-Calculation-sheet'!D11*'Output-Calculation-sheet'!D29</f>
        <v>0</v>
      </c>
      <c r="E23" s="2">
        <f>E12/'Output-Calculation-sheet'!E11*'Output-Calculation-sheet'!E29</f>
        <v>3176.4853614981557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6964.2442380648708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1149.4832213098807</v>
      </c>
      <c r="M23" s="2">
        <f>M12/'Output-Calculation-sheet'!M11*'Output-Calculation-sheet'!M29</f>
        <v>5279.1566022467669</v>
      </c>
      <c r="N23" s="2">
        <f>N12/'Output-Calculation-sheet'!N11*'Output-Calculation-sheet'!N29</f>
        <v>3108.7466933391797</v>
      </c>
      <c r="O23" s="2">
        <f>O12/'Output-Calculation-sheet'!O11*'Output-Calculation-sheet'!O29</f>
        <v>2403.8844930793953</v>
      </c>
      <c r="P23" s="2">
        <f>P12/'Output-Calculation-sheet'!P11*'Output-Calculation-sheet'!P29</f>
        <v>366.87047367441556</v>
      </c>
      <c r="Q23" s="2">
        <f>Q12/'Output-Calculation-sheet'!Q11*'Output-Calculation-sheet'!Q29</f>
        <v>981.11522643596675</v>
      </c>
      <c r="R23" s="2">
        <f>R12/'Output-Calculation-sheet'!R11*'Output-Calculation-sheet'!R29</f>
        <v>0</v>
      </c>
      <c r="S23" s="2">
        <f>S12/'Output-Calculation-sheet'!S11*'Output-Calculation-sheet'!S29</f>
        <v>1494.7122207740915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494.87869475618953</v>
      </c>
      <c r="Y23" s="2">
        <f>Y12/'Output-Calculation-sheet'!Y11*'Output-Calculation-sheet'!Y29</f>
        <v>69.847516499718225</v>
      </c>
      <c r="AA23" s="2">
        <f t="shared" si="0"/>
        <v>60.417316206111011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2168.4179502480833</v>
      </c>
      <c r="C27" s="2">
        <f>C5/'Output-Calculation-sheet'!C4*'Output-Calculation-sheet'!C13</f>
        <v>0</v>
      </c>
      <c r="D27" s="2">
        <f>D5/'Output-Calculation-sheet'!D4*'Output-Calculation-sheet'!D13</f>
        <v>387.3625095680614</v>
      </c>
      <c r="E27" s="2">
        <f>E5/'Output-Calculation-sheet'!E4*'Output-Calculation-sheet'!E13</f>
        <v>416.75420472560523</v>
      </c>
      <c r="F27" s="2">
        <f>F5/'Output-Calculation-sheet'!F4*'Output-Calculation-sheet'!F13</f>
        <v>210.27226744087841</v>
      </c>
      <c r="G27" s="2">
        <f>G5/'Output-Calculation-sheet'!G4*'Output-Calculation-sheet'!G13</f>
        <v>137.6969820975693</v>
      </c>
      <c r="H27" s="2">
        <f>H5/'Output-Calculation-sheet'!H4*'Output-Calculation-sheet'!H13</f>
        <v>0</v>
      </c>
      <c r="I27" s="2">
        <f>I5/'Output-Calculation-sheet'!I4*'Output-Calculation-sheet'!I13</f>
        <v>134.23708372142337</v>
      </c>
      <c r="J27" s="2">
        <f>J5/'Output-Calculation-sheet'!J4*'Output-Calculation-sheet'!J13</f>
        <v>119.49712886588522</v>
      </c>
      <c r="K27" s="2">
        <f>K5/'Output-Calculation-sheet'!K4*'Output-Calculation-sheet'!K13</f>
        <v>159.54426378509521</v>
      </c>
      <c r="L27" s="2">
        <f>L5/'Output-Calculation-sheet'!L4*'Output-Calculation-sheet'!L13</f>
        <v>134.76318599199658</v>
      </c>
      <c r="M27" s="2">
        <f>M5/'Output-Calculation-sheet'!M4*'Output-Calculation-sheet'!M13</f>
        <v>0</v>
      </c>
      <c r="N27" s="2">
        <f>N5/'Output-Calculation-sheet'!N4*'Output-Calculation-sheet'!N13</f>
        <v>258.66272783157029</v>
      </c>
      <c r="O27" s="2">
        <f>O5/'Output-Calculation-sheet'!O4*'Output-Calculation-sheet'!O13</f>
        <v>0</v>
      </c>
      <c r="P27" s="2">
        <f>P5/'Output-Calculation-sheet'!P4*'Output-Calculation-sheet'!P13</f>
        <v>158.02181472811503</v>
      </c>
      <c r="Q27" s="2">
        <f>Q5/'Output-Calculation-sheet'!Q4*'Output-Calculation-sheet'!Q13</f>
        <v>175.86098471331613</v>
      </c>
      <c r="R27" s="2">
        <f>R5/'Output-Calculation-sheet'!R4*'Output-Calculation-sheet'!R13</f>
        <v>118.88956965713226</v>
      </c>
      <c r="S27" s="2">
        <f>S5/'Output-Calculation-sheet'!S4*'Output-Calculation-sheet'!S13</f>
        <v>137.21645831932483</v>
      </c>
      <c r="T27" s="2">
        <f>T5/'Output-Calculation-sheet'!T4*'Output-Calculation-sheet'!T13</f>
        <v>36.035341649726895</v>
      </c>
      <c r="U27" s="2">
        <f>U5/'Output-Calculation-sheet'!U4*'Output-Calculation-sheet'!U13</f>
        <v>35.972209631230882</v>
      </c>
      <c r="V27" s="2">
        <f>V5/'Output-Calculation-sheet'!V4*'Output-Calculation-sheet'!V13</f>
        <v>27.996477773935315</v>
      </c>
      <c r="W27" s="2">
        <f>W5/'Output-Calculation-sheet'!W4*'Output-Calculation-sheet'!W13</f>
        <v>16.980248955133693</v>
      </c>
      <c r="X27" s="2">
        <f>X5/'Output-Calculation-sheet'!X4*'Output-Calculation-sheet'!X13</f>
        <v>0</v>
      </c>
      <c r="Y27" s="2">
        <f>Y5/'Output-Calculation-sheet'!Y4*'Output-Calculation-sheet'!Y13</f>
        <v>14.356919846048267</v>
      </c>
      <c r="AA27" s="2">
        <f>SUM(B27:Y27)/1000</f>
        <v>4.8485383295501316</v>
      </c>
    </row>
    <row r="28" spans="1:27" x14ac:dyDescent="0.25">
      <c r="A28" s="2">
        <v>2029</v>
      </c>
      <c r="B28" s="2">
        <f>B6/'Output-Calculation-sheet'!B5*'Output-Calculation-sheet'!B14</f>
        <v>5450.6267810248974</v>
      </c>
      <c r="C28" s="2">
        <f>C6/'Output-Calculation-sheet'!C5*'Output-Calculation-sheet'!C14</f>
        <v>0</v>
      </c>
      <c r="D28" s="2">
        <f>D6/'Output-Calculation-sheet'!D5*'Output-Calculation-sheet'!D14</f>
        <v>973.62094107687381</v>
      </c>
      <c r="E28" s="2">
        <f>E6/'Output-Calculation-sheet'!E5*'Output-Calculation-sheet'!E14</f>
        <v>1047.5874761883697</v>
      </c>
      <c r="F28" s="2">
        <f>F6/'Output-Calculation-sheet'!F5*'Output-Calculation-sheet'!F14</f>
        <v>528.5134562351293</v>
      </c>
      <c r="G28" s="2">
        <f>G6/'Output-Calculation-sheet'!G5*'Output-Calculation-sheet'!G14</f>
        <v>346.11354143701686</v>
      </c>
      <c r="H28" s="2">
        <f>H6/'Output-Calculation-sheet'!H5*'Output-Calculation-sheet'!H14</f>
        <v>0</v>
      </c>
      <c r="I28" s="2">
        <f>I6/'Output-Calculation-sheet'!I5*'Output-Calculation-sheet'!I14</f>
        <v>337.41678089994491</v>
      </c>
      <c r="J28" s="2">
        <f>J6/'Output-Calculation-sheet'!J5*'Output-Calculation-sheet'!J14</f>
        <v>300.35096003923604</v>
      </c>
      <c r="K28" s="2">
        <f>K6/'Output-Calculation-sheet'!K5*'Output-Calculation-sheet'!K14</f>
        <v>401.0286159757141</v>
      </c>
      <c r="L28" s="2">
        <f>L6/'Output-Calculation-sheet'!L5*'Output-Calculation-sheet'!L14</f>
        <v>338.73918548174697</v>
      </c>
      <c r="M28" s="2">
        <f>M6/'Output-Calculation-sheet'!M5*'Output-Calculation-sheet'!M14</f>
        <v>0</v>
      </c>
      <c r="N28" s="2">
        <f>N6/'Output-Calculation-sheet'!N5*'Output-Calculation-sheet'!N14</f>
        <v>650.18315222105377</v>
      </c>
      <c r="O28" s="2">
        <f>O6/'Output-Calculation-sheet'!O5*'Output-Calculation-sheet'!O14</f>
        <v>0</v>
      </c>
      <c r="P28" s="2">
        <f>P6/'Output-Calculation-sheet'!P5*'Output-Calculation-sheet'!P14</f>
        <v>397.20180563650507</v>
      </c>
      <c r="Q28" s="2">
        <f>Q6/'Output-Calculation-sheet'!Q5*'Output-Calculation-sheet'!Q14</f>
        <v>442.052222801384</v>
      </c>
      <c r="R28" s="2">
        <f>R6/'Output-Calculation-sheet'!R5*'Output-Calculation-sheet'!R14</f>
        <v>298.83944707513916</v>
      </c>
      <c r="S28" s="2">
        <f>S6/'Output-Calculation-sheet'!S5*'Output-Calculation-sheet'!S14</f>
        <v>344.9123012191252</v>
      </c>
      <c r="T28" s="2">
        <f>T6/'Output-Calculation-sheet'!T5*'Output-Calculation-sheet'!T14</f>
        <v>90.578017944083726</v>
      </c>
      <c r="U28" s="2">
        <f>U6/'Output-Calculation-sheet'!U5*'Output-Calculation-sheet'!U14</f>
        <v>90.416112033859392</v>
      </c>
      <c r="V28" s="2">
        <f>V6/'Output-Calculation-sheet'!V5*'Output-Calculation-sheet'!V14</f>
        <v>70.36914132381834</v>
      </c>
      <c r="W28" s="2">
        <f>W6/'Output-Calculation-sheet'!W5*'Output-Calculation-sheet'!W14</f>
        <v>42.683506039201419</v>
      </c>
      <c r="X28" s="2">
        <f>X6/'Output-Calculation-sheet'!X5*'Output-Calculation-sheet'!X14</f>
        <v>0</v>
      </c>
      <c r="Y28" s="2">
        <f>Y6/'Output-Calculation-sheet'!Y5*'Output-Calculation-sheet'!Y14</f>
        <v>36.087387656195219</v>
      </c>
      <c r="AA28" s="2">
        <f t="shared" ref="AA28:AA34" si="1">SUM(B28:Y28)/1000</f>
        <v>12.187320832309293</v>
      </c>
    </row>
    <row r="29" spans="1:27" x14ac:dyDescent="0.25">
      <c r="A29" s="2">
        <v>2030</v>
      </c>
      <c r="B29" s="2">
        <f>B7/'Output-Calculation-sheet'!B6*'Output-Calculation-sheet'!B15</f>
        <v>9680.8503427449596</v>
      </c>
      <c r="C29" s="2">
        <f>C7/'Output-Calculation-sheet'!C6*'Output-Calculation-sheet'!C15</f>
        <v>0</v>
      </c>
      <c r="D29" s="2">
        <f>D7/'Output-Calculation-sheet'!D6*'Output-Calculation-sheet'!D15</f>
        <v>1693.4769059434007</v>
      </c>
      <c r="E29" s="2">
        <f>E7/'Output-Calculation-sheet'!E6*'Output-Calculation-sheet'!E15</f>
        <v>1822.0781812598548</v>
      </c>
      <c r="F29" s="2">
        <f>F7/'Output-Calculation-sheet'!F6*'Output-Calculation-sheet'!F15</f>
        <v>919.27371928240984</v>
      </c>
      <c r="G29" s="2">
        <f>G7/'Output-Calculation-sheet'!G6*'Output-Calculation-sheet'!G15</f>
        <v>602.00580669751787</v>
      </c>
      <c r="H29" s="2">
        <f>H7/'Output-Calculation-sheet'!H6*'Output-Calculation-sheet'!H15</f>
        <v>0</v>
      </c>
      <c r="I29" s="2">
        <f>I7/'Output-Calculation-sheet'!I6*'Output-Calculation-sheet'!I15</f>
        <v>586.87926665797454</v>
      </c>
      <c r="J29" s="2">
        <f>J7/'Output-Calculation-sheet'!J6*'Output-Calculation-sheet'!J15</f>
        <v>522.4186255892356</v>
      </c>
      <c r="K29" s="2">
        <f>K7/'Output-Calculation-sheet'!K6*'Output-Calculation-sheet'!K15</f>
        <v>697.53927685320855</v>
      </c>
      <c r="L29" s="2">
        <f>L7/'Output-Calculation-sheet'!L6*'Output-Calculation-sheet'!L15</f>
        <v>589.19368683115022</v>
      </c>
      <c r="M29" s="2">
        <f>M7/'Output-Calculation-sheet'!M6*'Output-Calculation-sheet'!M15</f>
        <v>0</v>
      </c>
      <c r="N29" s="2">
        <f>N7/'Output-Calculation-sheet'!N6*'Output-Calculation-sheet'!N15</f>
        <v>760.16919619477528</v>
      </c>
      <c r="O29" s="2">
        <f>O7/'Output-Calculation-sheet'!O6*'Output-Calculation-sheet'!O15</f>
        <v>0</v>
      </c>
      <c r="P29" s="2">
        <f>P7/'Output-Calculation-sheet'!P6*'Output-Calculation-sheet'!P15</f>
        <v>690.86517803126105</v>
      </c>
      <c r="Q29" s="2">
        <f>Q7/'Output-Calculation-sheet'!Q6*'Output-Calculation-sheet'!Q15</f>
        <v>778.47067775385005</v>
      </c>
      <c r="R29" s="2">
        <f>R7/'Output-Calculation-sheet'!R6*'Output-Calculation-sheet'!R15</f>
        <v>519.78053693760717</v>
      </c>
      <c r="S29" s="2">
        <f>S7/'Output-Calculation-sheet'!S6*'Output-Calculation-sheet'!S15</f>
        <v>536.87830172164774</v>
      </c>
      <c r="T29" s="2">
        <f>T7/'Output-Calculation-sheet'!T6*'Output-Calculation-sheet'!T15</f>
        <v>157.54510076403079</v>
      </c>
      <c r="U29" s="2">
        <f>U7/'Output-Calculation-sheet'!U6*'Output-Calculation-sheet'!U15</f>
        <v>157.26535861244582</v>
      </c>
      <c r="V29" s="2">
        <f>V7/'Output-Calculation-sheet'!V6*'Output-Calculation-sheet'!V15</f>
        <v>122.39662581881235</v>
      </c>
      <c r="W29" s="2">
        <f>W7/'Output-Calculation-sheet'!W6*'Output-Calculation-sheet'!W15</f>
        <v>74.239474152718984</v>
      </c>
      <c r="X29" s="2">
        <f>X7/'Output-Calculation-sheet'!X6*'Output-Calculation-sheet'!X15</f>
        <v>0</v>
      </c>
      <c r="Y29" s="2">
        <f>Y7/'Output-Calculation-sheet'!Y6*'Output-Calculation-sheet'!Y15</f>
        <v>62.767890638936969</v>
      </c>
      <c r="AA29" s="2">
        <f t="shared" si="1"/>
        <v>20.974094152485797</v>
      </c>
    </row>
    <row r="30" spans="1:27" x14ac:dyDescent="0.25">
      <c r="A30" s="2">
        <v>2031</v>
      </c>
      <c r="B30" s="2">
        <f>B8/'Output-Calculation-sheet'!B7*'Output-Calculation-sheet'!B16</f>
        <v>14408.944633028175</v>
      </c>
      <c r="C30" s="2">
        <f>C8/'Output-Calculation-sheet'!C7*'Output-Calculation-sheet'!C16</f>
        <v>0</v>
      </c>
      <c r="D30" s="2">
        <f>D8/'Output-Calculation-sheet'!D7*'Output-Calculation-sheet'!D16</f>
        <v>2426.2757949240959</v>
      </c>
      <c r="E30" s="2">
        <f>E8/'Output-Calculation-sheet'!E7*'Output-Calculation-sheet'!E16</f>
        <v>2610.5356759530309</v>
      </c>
      <c r="F30" s="2">
        <f>F8/'Output-Calculation-sheet'!F7*'Output-Calculation-sheet'!F16</f>
        <v>1317.0291398891804</v>
      </c>
      <c r="G30" s="2">
        <f>G8/'Output-Calculation-sheet'!G7*'Output-Calculation-sheet'!G16</f>
        <v>862.49766094885206</v>
      </c>
      <c r="H30" s="2">
        <f>H8/'Output-Calculation-sheet'!H7*'Output-Calculation-sheet'!H16</f>
        <v>0</v>
      </c>
      <c r="I30" s="2">
        <f>I8/'Output-Calculation-sheet'!I7*'Output-Calculation-sheet'!I16</f>
        <v>840.80607652168567</v>
      </c>
      <c r="J30" s="2">
        <f>J8/'Output-Calculation-sheet'!J7*'Output-Calculation-sheet'!J16</f>
        <v>748.47908150005264</v>
      </c>
      <c r="K30" s="2">
        <f>K8/'Output-Calculation-sheet'!K7*'Output-Calculation-sheet'!K16</f>
        <v>999.36263795074433</v>
      </c>
      <c r="L30" s="2">
        <f>L8/'Output-Calculation-sheet'!L7*'Output-Calculation-sheet'!L16</f>
        <v>844.13652323847998</v>
      </c>
      <c r="M30" s="2">
        <f>M8/'Output-Calculation-sheet'!M7*'Output-Calculation-sheet'!M16</f>
        <v>0</v>
      </c>
      <c r="N30" s="2">
        <f>N8/'Output-Calculation-sheet'!N7*'Output-Calculation-sheet'!N16</f>
        <v>1199.024813794683</v>
      </c>
      <c r="O30" s="2">
        <f>O8/'Output-Calculation-sheet'!O7*'Output-Calculation-sheet'!O16</f>
        <v>0</v>
      </c>
      <c r="P30" s="2">
        <f>P8/'Output-Calculation-sheet'!P7*'Output-Calculation-sheet'!P16</f>
        <v>1077.6441594926641</v>
      </c>
      <c r="Q30" s="2">
        <f>Q8/'Output-Calculation-sheet'!Q7*'Output-Calculation-sheet'!Q16</f>
        <v>1185.0526728597515</v>
      </c>
      <c r="R30" s="2">
        <f>R8/'Output-Calculation-sheet'!R7*'Output-Calculation-sheet'!R16</f>
        <v>751.92107162365403</v>
      </c>
      <c r="S30" s="2">
        <f>S8/'Output-Calculation-sheet'!S7*'Output-Calculation-sheet'!S16</f>
        <v>756.21211026712785</v>
      </c>
      <c r="T30" s="2">
        <f>T8/'Output-Calculation-sheet'!T7*'Output-Calculation-sheet'!T16</f>
        <v>225.71589740695438</v>
      </c>
      <c r="U30" s="2">
        <f>U8/'Output-Calculation-sheet'!U7*'Output-Calculation-sheet'!U16</f>
        <v>225.31243596397678</v>
      </c>
      <c r="V30" s="2">
        <f>V8/'Output-Calculation-sheet'!V7*'Output-Calculation-sheet'!V16</f>
        <v>175.35638606563165</v>
      </c>
      <c r="W30" s="2">
        <f>W8/'Output-Calculation-sheet'!W7*'Output-Calculation-sheet'!W16</f>
        <v>106.36248830891378</v>
      </c>
      <c r="X30" s="2">
        <f>X8/'Output-Calculation-sheet'!X7*'Output-Calculation-sheet'!X16</f>
        <v>0</v>
      </c>
      <c r="Y30" s="2">
        <f>Y8/'Output-Calculation-sheet'!Y7*'Output-Calculation-sheet'!Y16</f>
        <v>90.0237542843726</v>
      </c>
      <c r="AA30" s="2">
        <f t="shared" si="1"/>
        <v>30.850693014022028</v>
      </c>
    </row>
    <row r="31" spans="1:27" x14ac:dyDescent="0.25">
      <c r="A31" s="2">
        <v>2032</v>
      </c>
      <c r="B31" s="2">
        <f>B9/'Output-Calculation-sheet'!B8*'Output-Calculation-sheet'!B17</f>
        <v>18137.47427774081</v>
      </c>
      <c r="C31" s="2">
        <f>C9/'Output-Calculation-sheet'!C8*'Output-Calculation-sheet'!C17</f>
        <v>0</v>
      </c>
      <c r="D31" s="2">
        <f>D9/'Output-Calculation-sheet'!D8*'Output-Calculation-sheet'!D17</f>
        <v>3041.8925748761212</v>
      </c>
      <c r="E31" s="2">
        <f>E9/'Output-Calculation-sheet'!E8*'Output-Calculation-sheet'!E17</f>
        <v>3575.3291134201008</v>
      </c>
      <c r="F31" s="2">
        <f>F9/'Output-Calculation-sheet'!F8*'Output-Calculation-sheet'!F17</f>
        <v>1651.237980855102</v>
      </c>
      <c r="G31" s="2">
        <f>G9/'Output-Calculation-sheet'!G8*'Output-Calculation-sheet'!G17</f>
        <v>1081.3547386840125</v>
      </c>
      <c r="H31" s="2">
        <f>H9/'Output-Calculation-sheet'!H8*'Output-Calculation-sheet'!H17</f>
        <v>0</v>
      </c>
      <c r="I31" s="2">
        <f>I9/'Output-Calculation-sheet'!I8*'Output-Calculation-sheet'!I17</f>
        <v>1054.1638951851369</v>
      </c>
      <c r="J31" s="2">
        <f>J9/'Output-Calculation-sheet'!J8*'Output-Calculation-sheet'!J17</f>
        <v>938.40905655705978</v>
      </c>
      <c r="K31" s="2">
        <f>K9/'Output-Calculation-sheet'!K8*'Output-Calculation-sheet'!K17</f>
        <v>1336.0453353746086</v>
      </c>
      <c r="L31" s="2">
        <f>L9/'Output-Calculation-sheet'!L8*'Output-Calculation-sheet'!L17</f>
        <v>1139.4118002429004</v>
      </c>
      <c r="M31" s="2">
        <f>M9/'Output-Calculation-sheet'!M8*'Output-Calculation-sheet'!M17</f>
        <v>0</v>
      </c>
      <c r="N31" s="2">
        <f>N9/'Output-Calculation-sheet'!N8*'Output-Calculation-sheet'!N17</f>
        <v>1238.6571612956586</v>
      </c>
      <c r="O31" s="2">
        <f>O9/'Output-Calculation-sheet'!O8*'Output-Calculation-sheet'!O17</f>
        <v>0</v>
      </c>
      <c r="P31" s="2">
        <f>P9/'Output-Calculation-sheet'!P8*'Output-Calculation-sheet'!P17</f>
        <v>1537.3657904666709</v>
      </c>
      <c r="Q31" s="2">
        <f>Q9/'Output-Calculation-sheet'!Q8*'Output-Calculation-sheet'!Q17</f>
        <v>1638.9731811166532</v>
      </c>
      <c r="R31" s="2">
        <f>R9/'Output-Calculation-sheet'!R8*'Output-Calculation-sheet'!R17</f>
        <v>1072.3028738148926</v>
      </c>
      <c r="S31" s="2">
        <f>S9/'Output-Calculation-sheet'!S8*'Output-Calculation-sheet'!S17</f>
        <v>925.95117683478315</v>
      </c>
      <c r="T31" s="2">
        <f>T9/'Output-Calculation-sheet'!T8*'Output-Calculation-sheet'!T17</f>
        <v>290.97721913279247</v>
      </c>
      <c r="U31" s="2">
        <f>U9/'Output-Calculation-sheet'!U8*'Output-Calculation-sheet'!U17</f>
        <v>334.42558877545628</v>
      </c>
      <c r="V31" s="2">
        <f>V9/'Output-Calculation-sheet'!V8*'Output-Calculation-sheet'!V17</f>
        <v>239.5331811084221</v>
      </c>
      <c r="W31" s="2">
        <f>W9/'Output-Calculation-sheet'!W8*'Output-Calculation-sheet'!W17</f>
        <v>133.35377353537737</v>
      </c>
      <c r="X31" s="2">
        <f>X9/'Output-Calculation-sheet'!X8*'Output-Calculation-sheet'!X17</f>
        <v>0</v>
      </c>
      <c r="Y31" s="2">
        <f>Y9/'Output-Calculation-sheet'!Y8*'Output-Calculation-sheet'!Y17</f>
        <v>128.8486366709657</v>
      </c>
      <c r="AA31" s="2">
        <f t="shared" si="1"/>
        <v>39.495707355687529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1196.1806722733695</v>
      </c>
      <c r="O32" s="2">
        <f>O10/'Output-Calculation-sheet'!O9*'Output-Calculation-sheet'!O18</f>
        <v>0</v>
      </c>
      <c r="P32" s="2">
        <f>P10/'Output-Calculation-sheet'!P9*'Output-Calculation-sheet'!P18</f>
        <v>1925.302721640483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1382.3025063209445</v>
      </c>
      <c r="S32" s="2">
        <f>S10/'Output-Calculation-sheet'!S9*'Output-Calculation-sheet'!S18</f>
        <v>904.71308718756063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446.2291804811523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47.152221097888777</v>
      </c>
    </row>
    <row r="33" spans="1:27" x14ac:dyDescent="0.25">
      <c r="A33" s="2">
        <v>2034</v>
      </c>
      <c r="B33" s="2">
        <f>B11/'Output-Calculation-sheet'!B10*'Output-Calculation-sheet'!B19</f>
        <v>18551.367553654665</v>
      </c>
      <c r="C33" s="2">
        <f>C11/'Output-Calculation-sheet'!C10*'Output-Calculation-sheet'!C19</f>
        <v>0</v>
      </c>
      <c r="D33" s="2">
        <f>D11/'Output-Calculation-sheet'!D10*'Output-Calculation-sheet'!D19</f>
        <v>5543.1553138686522</v>
      </c>
      <c r="E33" s="2">
        <f>E11/'Output-Calculation-sheet'!E10*'Output-Calculation-sheet'!E19</f>
        <v>6845.0497532274203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1883.7257134246545</v>
      </c>
      <c r="H33" s="2">
        <f>H11/'Output-Calculation-sheet'!H10*'Output-Calculation-sheet'!H19</f>
        <v>0</v>
      </c>
      <c r="I33" s="2">
        <f>I11/'Output-Calculation-sheet'!I10*'Output-Calculation-sheet'!I19</f>
        <v>2058.2673214813312</v>
      </c>
      <c r="J33" s="2">
        <f>J11/'Output-Calculation-sheet'!J10*'Output-Calculation-sheet'!J19</f>
        <v>1738.2117198759311</v>
      </c>
      <c r="K33" s="2">
        <f>K11/'Output-Calculation-sheet'!K10*'Output-Calculation-sheet'!K19</f>
        <v>2411.6255884485008</v>
      </c>
      <c r="L33" s="2">
        <f>L11/'Output-Calculation-sheet'!L10*'Output-Calculation-sheet'!L19</f>
        <v>1963.2569392640532</v>
      </c>
      <c r="M33" s="2">
        <f>M11/'Output-Calculation-sheet'!M10*'Output-Calculation-sheet'!M19</f>
        <v>0</v>
      </c>
      <c r="N33" s="2">
        <f>N11/'Output-Calculation-sheet'!N10*'Output-Calculation-sheet'!N19</f>
        <v>1108.957883724371</v>
      </c>
      <c r="O33" s="2">
        <f>O11/'Output-Calculation-sheet'!O10*'Output-Calculation-sheet'!O19</f>
        <v>0</v>
      </c>
      <c r="P33" s="2">
        <f>P11/'Output-Calculation-sheet'!P10*'Output-Calculation-sheet'!P19</f>
        <v>2441.862969127571</v>
      </c>
      <c r="Q33" s="2">
        <f>Q11/'Output-Calculation-sheet'!Q10*'Output-Calculation-sheet'!Q19</f>
        <v>1989.1630532042664</v>
      </c>
      <c r="R33" s="2">
        <f>R11/'Output-Calculation-sheet'!R10*'Output-Calculation-sheet'!R19</f>
        <v>1742.0802669615091</v>
      </c>
      <c r="S33" s="2">
        <f>S11/'Output-Calculation-sheet'!S10*'Output-Calculation-sheet'!S19</f>
        <v>814.27843058535097</v>
      </c>
      <c r="T33" s="2">
        <f>T11/'Output-Calculation-sheet'!T10*'Output-Calculation-sheet'!T19</f>
        <v>511.20976481637496</v>
      </c>
      <c r="U33" s="2">
        <f>U11/'Output-Calculation-sheet'!U10*'Output-Calculation-sheet'!U19</f>
        <v>547.75029612645051</v>
      </c>
      <c r="V33" s="2">
        <f>V11/'Output-Calculation-sheet'!V10*'Output-Calculation-sheet'!V19</f>
        <v>400.86967651538157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64.574775673450887</v>
      </c>
      <c r="Y33" s="2">
        <f>Y11/'Output-Calculation-sheet'!Y10*'Output-Calculation-sheet'!Y19</f>
        <v>224.9795235299913</v>
      </c>
      <c r="AA33" s="2">
        <f t="shared" si="1"/>
        <v>54.235457621319505</v>
      </c>
    </row>
    <row r="34" spans="1:27" x14ac:dyDescent="0.25">
      <c r="A34" s="2">
        <v>2035</v>
      </c>
      <c r="B34" s="2">
        <f>B12/'Output-Calculation-sheet'!B11*'Output-Calculation-sheet'!B20</f>
        <v>17272.718920711468</v>
      </c>
      <c r="C34" s="2">
        <f>C12/'Output-Calculation-sheet'!C11*'Output-Calculation-sheet'!C20</f>
        <v>0</v>
      </c>
      <c r="D34" s="2">
        <f>D12/'Output-Calculation-sheet'!D11*'Output-Calculation-sheet'!D20</f>
        <v>5559.3402800717677</v>
      </c>
      <c r="E34" s="2">
        <f>E12/'Output-Calculation-sheet'!E11*'Output-Calculation-sheet'!E20</f>
        <v>6177.2052643272837</v>
      </c>
      <c r="F34" s="2">
        <f>F12/'Output-Calculation-sheet'!F11*'Output-Calculation-sheet'!F20</f>
        <v>3455.1537165019331</v>
      </c>
      <c r="G34" s="2">
        <f>G12/'Output-Calculation-sheet'!G11*'Output-Calculation-sheet'!G20</f>
        <v>1865.0494394762386</v>
      </c>
      <c r="H34" s="2">
        <f>H12/'Output-Calculation-sheet'!H11*'Output-Calculation-sheet'!H20</f>
        <v>0</v>
      </c>
      <c r="I34" s="2">
        <f>I12/'Output-Calculation-sheet'!I11*'Output-Calculation-sheet'!I20</f>
        <v>2073.4934703852314</v>
      </c>
      <c r="J34" s="2">
        <f>J12/'Output-Calculation-sheet'!J11*'Output-Calculation-sheet'!J20</f>
        <v>1921.9241477551861</v>
      </c>
      <c r="K34" s="2">
        <f>K12/'Output-Calculation-sheet'!K11*'Output-Calculation-sheet'!K20</f>
        <v>2555.9654517203535</v>
      </c>
      <c r="L34" s="2">
        <f>L12/'Output-Calculation-sheet'!L11*'Output-Calculation-sheet'!L20</f>
        <v>2039.7675861458647</v>
      </c>
      <c r="M34" s="2">
        <f>M12/'Output-Calculation-sheet'!M11*'Output-Calculation-sheet'!M20</f>
        <v>0</v>
      </c>
      <c r="N34" s="2">
        <f>N12/'Output-Calculation-sheet'!N11*'Output-Calculation-sheet'!N20</f>
        <v>1093.842715986322</v>
      </c>
      <c r="O34" s="2">
        <f>O12/'Output-Calculation-sheet'!O11*'Output-Calculation-sheet'!O20</f>
        <v>0</v>
      </c>
      <c r="P34" s="2">
        <f>P12/'Output-Calculation-sheet'!P11*'Output-Calculation-sheet'!P20</f>
        <v>2329.7977662595936</v>
      </c>
      <c r="Q34" s="2">
        <f>Q12/'Output-Calculation-sheet'!Q11*'Output-Calculation-sheet'!Q20</f>
        <v>1943.0296118304725</v>
      </c>
      <c r="R34" s="2">
        <f>R12/'Output-Calculation-sheet'!R11*'Output-Calculation-sheet'!R20</f>
        <v>1957.3072115383432</v>
      </c>
      <c r="S34" s="2">
        <f>S12/'Output-Calculation-sheet'!S11*'Output-Calculation-sheet'!S20</f>
        <v>747.68496910915042</v>
      </c>
      <c r="T34" s="2">
        <f>T12/'Output-Calculation-sheet'!T11*'Output-Calculation-sheet'!T20</f>
        <v>593.67185406116391</v>
      </c>
      <c r="U34" s="2">
        <f>U12/'Output-Calculation-sheet'!U11*'Output-Calculation-sheet'!U20</f>
        <v>546.44630713659114</v>
      </c>
      <c r="V34" s="2">
        <f>V12/'Output-Calculation-sheet'!V11*'Output-Calculation-sheet'!V20</f>
        <v>538.01619577721908</v>
      </c>
      <c r="W34" s="2">
        <f>W12/'Output-Calculation-sheet'!W11*'Output-Calculation-sheet'!W20</f>
        <v>291.91618269693339</v>
      </c>
      <c r="X34" s="2">
        <f>X12/'Output-Calculation-sheet'!X11*'Output-Calculation-sheet'!X20</f>
        <v>61.631314800114318</v>
      </c>
      <c r="Y34" s="2">
        <f>Y12/'Output-Calculation-sheet'!Y11*'Output-Calculation-sheet'!Y20</f>
        <v>211.87064556367318</v>
      </c>
      <c r="AA34" s="2">
        <f t="shared" si="1"/>
        <v>53.235833051854897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0.73094321013059538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0.1420026016909833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0.87294581182157871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0.78542034230848945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0.15258604291419733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0.93800638522268676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0.78777536215437505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0.15304355991485447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0.94081892206922957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0.78612454146906718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0.152722849866536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0.93884739133560324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0.78548672752722082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0.24179727800059136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0.15259893977628322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0.14327252444497637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4.5712689427829689E-2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1.3871204760140865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0.78537611131757645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0.15257745002257742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6.5828738005882643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5257.6616869042819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1480.3097673539999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1032.1792828982143</v>
      </c>
      <c r="N51" s="2">
        <f>N7/'Output-Calculation-sheet'!N6*'Output-Calculation-sheet'!N42</f>
        <v>0</v>
      </c>
      <c r="O51" s="2">
        <f>O7/'Output-Calculation-sheet'!O6*'Output-Calculation-sheet'!O42</f>
        <v>199.301897110152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146.01047319229338</v>
      </c>
      <c r="Y51" s="2">
        <f>Y7/'Output-Calculation-sheet'!Y6*'Output-Calculation-sheet'!Y42</f>
        <v>0</v>
      </c>
      <c r="AA51" s="2">
        <f t="shared" si="3"/>
        <v>8.1154631074589414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9438.8234119528988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5259.7067504880843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3590.0058963035144</v>
      </c>
      <c r="N52" s="2">
        <f>N8/'Output-Calculation-sheet'!N7*'Output-Calculation-sheet'!N43</f>
        <v>114.7447068084294</v>
      </c>
      <c r="O52" s="2">
        <f>O8/'Output-Calculation-sheet'!O7*'Output-Calculation-sheet'!O43</f>
        <v>441.69644001478173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462.67313661482348</v>
      </c>
      <c r="Y52" s="2">
        <f>Y8/'Output-Calculation-sheet'!Y7*'Output-Calculation-sheet'!Y43</f>
        <v>0</v>
      </c>
      <c r="AA52" s="2">
        <f t="shared" si="3"/>
        <v>19.307650342182534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11885.73353425899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9338.4461628194222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6381.8529470942412</v>
      </c>
      <c r="N53" s="2">
        <f>N9/'Output-Calculation-sheet'!N8*'Output-Calculation-sheet'!N44</f>
        <v>2273.0030021104758</v>
      </c>
      <c r="O53" s="2">
        <f>O9/'Output-Calculation-sheet'!O8*'Output-Calculation-sheet'!O44</f>
        <v>886.0416626649469</v>
      </c>
      <c r="P53" s="2">
        <f>P9/'Output-Calculation-sheet'!P8*'Output-Calculation-sheet'!P44</f>
        <v>106.32127669055531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700.95962907079934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798.05547114896501</v>
      </c>
      <c r="Y53" s="2">
        <f>Y9/'Output-Calculation-sheet'!Y8*'Output-Calculation-sheet'!Y44</f>
        <v>0</v>
      </c>
      <c r="AA53" s="2">
        <f t="shared" si="3"/>
        <v>32.370413685858395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16756.86522605117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1487.0382750162717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333.09070778415395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71.483990165029894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24253.625271015939</v>
      </c>
      <c r="D55" s="2">
        <f>D11/'Output-Calculation-sheet'!D10*'Output-Calculation-sheet'!D46</f>
        <v>4821.8334448636124</v>
      </c>
      <c r="E55" s="2">
        <f>E11/'Output-Calculation-sheet'!E10*'Output-Calculation-sheet'!E46</f>
        <v>6014.8969584888819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15780.453932670172</v>
      </c>
      <c r="I55" s="2">
        <f>I11/'Output-Calculation-sheet'!I10*'Output-Calculation-sheet'!I46</f>
        <v>1161.8949258723324</v>
      </c>
      <c r="J55" s="2">
        <f>J11/'Output-Calculation-sheet'!J10*'Output-Calculation-sheet'!J46</f>
        <v>857.54844565897065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11150.391579024152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2436.2286876564517</v>
      </c>
      <c r="P55" s="2">
        <f>P11/'Output-Calculation-sheet'!P10*'Output-Calculation-sheet'!P46</f>
        <v>3127.3656086943438</v>
      </c>
      <c r="Q55" s="2">
        <f>Q11/'Output-Calculation-sheet'!Q10*'Output-Calculation-sheet'!Q46</f>
        <v>2438.1464686250365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4177.0940102127488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745.83861698037913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1122.3573774444378</v>
      </c>
      <c r="Y55" s="2">
        <f>Y11/'Output-Calculation-sheet'!Y10*'Output-Calculation-sheet'!Y46</f>
        <v>295.1088104211106</v>
      </c>
      <c r="AA55" s="2">
        <f t="shared" si="3"/>
        <v>148.73427713548227</v>
      </c>
    </row>
    <row r="56" spans="1:27" x14ac:dyDescent="0.25">
      <c r="A56" s="2">
        <v>2035</v>
      </c>
      <c r="B56" s="2">
        <f>B12/'Output-Calculation-sheet'!B11*'Output-Calculation-sheet'!B47</f>
        <v>53851.598944376361</v>
      </c>
      <c r="C56" s="2">
        <f>C12/'Output-Calculation-sheet'!C11*'Output-Calculation-sheet'!C47</f>
        <v>40164.409903346233</v>
      </c>
      <c r="D56" s="2">
        <f>D12/'Output-Calculation-sheet'!D11*'Output-Calculation-sheet'!D47</f>
        <v>5492.4543910430648</v>
      </c>
      <c r="E56" s="2">
        <f>E12/'Output-Calculation-sheet'!E11*'Output-Calculation-sheet'!E47</f>
        <v>13822.61471320998</v>
      </c>
      <c r="F56" s="2">
        <f>F12/'Output-Calculation-sheet'!F11*'Output-Calculation-sheet'!F47</f>
        <v>762.58568311878878</v>
      </c>
      <c r="G56" s="2">
        <f>G12/'Output-Calculation-sheet'!G11*'Output-Calculation-sheet'!G47</f>
        <v>2035.936778074632</v>
      </c>
      <c r="H56" s="2">
        <f>H12/'Output-Calculation-sheet'!H11*'Output-Calculation-sheet'!H47</f>
        <v>15926.682753644969</v>
      </c>
      <c r="I56" s="2">
        <f>I12/'Output-Calculation-sheet'!I11*'Output-Calculation-sheet'!I47</f>
        <v>1299.5638293093896</v>
      </c>
      <c r="J56" s="2">
        <f>J12/'Output-Calculation-sheet'!J11*'Output-Calculation-sheet'!J47</f>
        <v>2124.0822106271698</v>
      </c>
      <c r="K56" s="2">
        <f>K12/'Output-Calculation-sheet'!K11*'Output-Calculation-sheet'!K47</f>
        <v>2922.2313491661748</v>
      </c>
      <c r="L56" s="2">
        <f>L12/'Output-Calculation-sheet'!L11*'Output-Calculation-sheet'!L47</f>
        <v>3139.1929898287217</v>
      </c>
      <c r="M56" s="2">
        <f>M12/'Output-Calculation-sheet'!M11*'Output-Calculation-sheet'!M47</f>
        <v>11192.599418750937</v>
      </c>
      <c r="N56" s="2">
        <f>N12/'Output-Calculation-sheet'!N11*'Output-Calculation-sheet'!N47</f>
        <v>8949.583106395492</v>
      </c>
      <c r="O56" s="2">
        <f>O12/'Output-Calculation-sheet'!O11*'Output-Calculation-sheet'!O47</f>
        <v>4430.099645392379</v>
      </c>
      <c r="P56" s="2">
        <f>P12/'Output-Calculation-sheet'!P11*'Output-Calculation-sheet'!P47</f>
        <v>3882.1571305068355</v>
      </c>
      <c r="Q56" s="2">
        <f>Q12/'Output-Calculation-sheet'!Q11*'Output-Calculation-sheet'!Q47</f>
        <v>2827.3489753460367</v>
      </c>
      <c r="R56" s="2">
        <f>R12/'Output-Calculation-sheet'!R11*'Output-Calculation-sheet'!R47</f>
        <v>3289.8432770909581</v>
      </c>
      <c r="S56" s="2">
        <f>S12/'Output-Calculation-sheet'!S11*'Output-Calculation-sheet'!S47</f>
        <v>4168.2843026768332</v>
      </c>
      <c r="T56" s="2">
        <f>T12/'Output-Calculation-sheet'!T11*'Output-Calculation-sheet'!T47</f>
        <v>1078.8166020836557</v>
      </c>
      <c r="U56" s="2">
        <f>U12/'Output-Calculation-sheet'!U11*'Output-Calculation-sheet'!U47</f>
        <v>753.75222490850024</v>
      </c>
      <c r="V56" s="2">
        <f>V12/'Output-Calculation-sheet'!V11*'Output-Calculation-sheet'!V47</f>
        <v>741.97190674220576</v>
      </c>
      <c r="W56" s="2">
        <f>W12/'Output-Calculation-sheet'!W11*'Output-Calculation-sheet'!W47</f>
        <v>265.02789779351826</v>
      </c>
      <c r="X56" s="2">
        <f>X12/'Output-Calculation-sheet'!X11*'Output-Calculation-sheet'!X47</f>
        <v>1130.2035961682307</v>
      </c>
      <c r="Y56" s="2">
        <f>Y12/'Output-Calculation-sheet'!Y11*'Output-Calculation-sheet'!Y47</f>
        <v>344.50260277878408</v>
      </c>
      <c r="AA56" s="2">
        <f t="shared" si="3"/>
        <v>184.59554423237984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4.5420647974789752</v>
      </c>
      <c r="C60" s="2">
        <f>C5*'Output-Calculation-sheet'!C49/10^9</f>
        <v>2.2376605736280184</v>
      </c>
      <c r="D60" s="2">
        <f>D5*'Output-Calculation-sheet'!D49/10^9</f>
        <v>1.8754539496175204</v>
      </c>
      <c r="E60" s="2">
        <f>E5*'Output-Calculation-sheet'!E49/10^9</f>
        <v>1.8422484119147322</v>
      </c>
      <c r="F60" s="2">
        <f>F5*'Output-Calculation-sheet'!F49/10^9</f>
        <v>0.75621578322107597</v>
      </c>
      <c r="G60" s="2">
        <f>G5*'Output-Calculation-sheet'!G49/10^9</f>
        <v>0.55325307648755251</v>
      </c>
      <c r="H60" s="2">
        <f>H5*'Output-Calculation-sheet'!H49/10^9</f>
        <v>0.72879881671272195</v>
      </c>
      <c r="I60" s="2">
        <f>I5*'Output-Calculation-sheet'!I49/10^9</f>
        <v>0.51028962290783098</v>
      </c>
      <c r="J60" s="2">
        <f>J5*'Output-Calculation-sheet'!J49/10^9</f>
        <v>0.74851094246260996</v>
      </c>
      <c r="K60" s="2">
        <f>K5*'Output-Calculation-sheet'!K49/10^9</f>
        <v>0.61888564015325709</v>
      </c>
      <c r="L60" s="2">
        <f>L5*'Output-Calculation-sheet'!L49/10^9</f>
        <v>0.88912223821385161</v>
      </c>
      <c r="M60" s="2">
        <f>M5*'Output-Calculation-sheet'!M49/10^9</f>
        <v>0.63955433662032468</v>
      </c>
      <c r="N60" s="2">
        <f>N5*'Output-Calculation-sheet'!N49/10^9</f>
        <v>0.55847565481260208</v>
      </c>
      <c r="O60" s="2">
        <f>O5*'Output-Calculation-sheet'!O49/10^9</f>
        <v>0.46790936828999796</v>
      </c>
      <c r="P60" s="2">
        <f>P5*'Output-Calculation-sheet'!P49/10^9</f>
        <v>0.38199411688710538</v>
      </c>
      <c r="Q60" s="2">
        <f>Q5*'Output-Calculation-sheet'!Q49/10^9</f>
        <v>0.43653314491195638</v>
      </c>
      <c r="R60" s="2">
        <f>R5*'Output-Calculation-sheet'!R49/10^9</f>
        <v>0.42864700438170705</v>
      </c>
      <c r="S60" s="2">
        <f>S5*'Output-Calculation-sheet'!S49/10^9</f>
        <v>0.26777552237647467</v>
      </c>
      <c r="T60" s="2">
        <f>T5*'Output-Calculation-sheet'!T49/10^9</f>
        <v>0.16984086511964211</v>
      </c>
      <c r="U60" s="2">
        <f>U5*'Output-Calculation-sheet'!U49/10^9</f>
        <v>0.10867543338817924</v>
      </c>
      <c r="V60" s="2">
        <f>V5*'Output-Calculation-sheet'!V49/10^9</f>
        <v>0.21832786092333589</v>
      </c>
      <c r="W60" s="2">
        <f>W5*'Output-Calculation-sheet'!W49/10^9</f>
        <v>7.4161813143965027E-2</v>
      </c>
      <c r="X60" s="2">
        <f>X5*'Output-Calculation-sheet'!X49/10^9</f>
        <v>6.3471816437631168E-2</v>
      </c>
      <c r="Y60" s="2">
        <f>Y5*'Output-Calculation-sheet'!Y49/10^9</f>
        <v>4.6048347065892753E-2</v>
      </c>
      <c r="AA60" s="2">
        <f>SUM(B60:Y60)</f>
        <v>19.163919137156956</v>
      </c>
    </row>
    <row r="61" spans="1:27" x14ac:dyDescent="0.25">
      <c r="A61" s="2">
        <v>2029</v>
      </c>
      <c r="B61" s="2">
        <f>B6*'Output-Calculation-sheet'!B50/10^9</f>
        <v>5.2697561367081347</v>
      </c>
      <c r="C61" s="2">
        <f>C6*'Output-Calculation-sheet'!C50/10^9</f>
        <v>2.6914719797163738</v>
      </c>
      <c r="D61" s="2">
        <f>D6*'Output-Calculation-sheet'!D50/10^9</f>
        <v>2.0876462691251394</v>
      </c>
      <c r="E61" s="2">
        <f>E6*'Output-Calculation-sheet'!E50/10^9</f>
        <v>2.0569870686244474</v>
      </c>
      <c r="F61" s="2">
        <f>F6*'Output-Calculation-sheet'!F50/10^9</f>
        <v>0.85117255326683749</v>
      </c>
      <c r="G61" s="2">
        <f>G6*'Output-Calculation-sheet'!G50/10^9</f>
        <v>0.61992025958530939</v>
      </c>
      <c r="H61" s="2">
        <f>H6*'Output-Calculation-sheet'!H50/10^9</f>
        <v>0.85132862885012339</v>
      </c>
      <c r="I61" s="2">
        <f>I6*'Output-Calculation-sheet'!I50/10^9</f>
        <v>0.57303641303212105</v>
      </c>
      <c r="J61" s="2">
        <f>J6*'Output-Calculation-sheet'!J50/10^9</f>
        <v>0.8270992439835434</v>
      </c>
      <c r="K61" s="2">
        <f>K6*'Output-Calculation-sheet'!K50/10^9</f>
        <v>0.69442019846358494</v>
      </c>
      <c r="L61" s="2">
        <f>L6*'Output-Calculation-sheet'!L50/10^9</f>
        <v>0.98122671810697171</v>
      </c>
      <c r="M61" s="2">
        <f>M6*'Output-Calculation-sheet'!M50/10^9</f>
        <v>0.73497604260532923</v>
      </c>
      <c r="N61" s="2">
        <f>N6*'Output-Calculation-sheet'!N50/10^9</f>
        <v>0.64656709702332382</v>
      </c>
      <c r="O61" s="2">
        <f>O6*'Output-Calculation-sheet'!O50/10^9</f>
        <v>0.56334564133518783</v>
      </c>
      <c r="P61" s="2">
        <f>P6*'Output-Calculation-sheet'!P50/10^9</f>
        <v>0.43896318744162072</v>
      </c>
      <c r="Q61" s="2">
        <f>Q6*'Output-Calculation-sheet'!Q50/10^9</f>
        <v>0.50081602073563636</v>
      </c>
      <c r="R61" s="2">
        <f>R6*'Output-Calculation-sheet'!R50/10^9</f>
        <v>0.48242000281894953</v>
      </c>
      <c r="S61" s="2">
        <f>S6*'Output-Calculation-sheet'!S50/10^9</f>
        <v>0.31230589196081071</v>
      </c>
      <c r="T61" s="2">
        <f>T6*'Output-Calculation-sheet'!T50/10^9</f>
        <v>0.18922326768662698</v>
      </c>
      <c r="U61" s="2">
        <f>U6*'Output-Calculation-sheet'!U50/10^9</f>
        <v>0.12332147426102737</v>
      </c>
      <c r="V61" s="2">
        <f>V6*'Output-Calculation-sheet'!V50/10^9</f>
        <v>0.24005889886024531</v>
      </c>
      <c r="W61" s="2">
        <f>W6*'Output-Calculation-sheet'!W50/10^9</f>
        <v>8.2841705365893026E-2</v>
      </c>
      <c r="X61" s="2">
        <f>X6*'Output-Calculation-sheet'!X50/10^9</f>
        <v>7.4189039146709101E-2</v>
      </c>
      <c r="Y61" s="2">
        <f>Y6*'Output-Calculation-sheet'!Y50/10^9</f>
        <v>5.2100442259517675E-2</v>
      </c>
      <c r="AA61" s="2">
        <f t="shared" ref="AA61:AA67" si="4">SUM(B61:Y61)</f>
        <v>21.945194180963469</v>
      </c>
    </row>
    <row r="62" spans="1:27" x14ac:dyDescent="0.25">
      <c r="A62" s="2">
        <v>2030</v>
      </c>
      <c r="B62" s="2">
        <f>B7*'Output-Calculation-sheet'!B51/10^9</f>
        <v>5.6115589033136368</v>
      </c>
      <c r="C62" s="2">
        <f>C7*'Output-Calculation-sheet'!C51/10^9</f>
        <v>3.1956258769073536</v>
      </c>
      <c r="D62" s="2">
        <f>D7*'Output-Calculation-sheet'!D51/10^9</f>
        <v>2.1057540665315284</v>
      </c>
      <c r="E62" s="2">
        <f>E7*'Output-Calculation-sheet'!E51/10^9</f>
        <v>2.0828470102284498</v>
      </c>
      <c r="F62" s="2">
        <f>F7*'Output-Calculation-sheet'!F51/10^9</f>
        <v>0.87050890654627755</v>
      </c>
      <c r="G62" s="2">
        <f>G7*'Output-Calculation-sheet'!G51/10^9</f>
        <v>0.63047614879310243</v>
      </c>
      <c r="H62" s="2">
        <f>H7*'Output-Calculation-sheet'!H51/10^9</f>
        <v>0.95756883381541391</v>
      </c>
      <c r="I62" s="2">
        <f>I7*'Output-Calculation-sheet'!I51/10^9</f>
        <v>0.58438199168513072</v>
      </c>
      <c r="J62" s="2">
        <f>J7*'Output-Calculation-sheet'!J51/10^9</f>
        <v>0.8265145505537751</v>
      </c>
      <c r="K62" s="2">
        <f>K7*'Output-Calculation-sheet'!K51/10^9</f>
        <v>0.70745571248037953</v>
      </c>
      <c r="L62" s="2">
        <f>L7*'Output-Calculation-sheet'!L51/10^9</f>
        <v>0.97893512511427905</v>
      </c>
      <c r="M62" s="2">
        <f>M7*'Output-Calculation-sheet'!M51/10^9</f>
        <v>0.8040922971288097</v>
      </c>
      <c r="N62" s="2">
        <f>N7*'Output-Calculation-sheet'!N51/10^9</f>
        <v>0.68691333942035326</v>
      </c>
      <c r="O62" s="2">
        <f>O7*'Output-Calculation-sheet'!O51/10^9</f>
        <v>0.66363696035882958</v>
      </c>
      <c r="P62" s="2">
        <f>P7*'Output-Calculation-sheet'!P51/10^9</f>
        <v>0.46026073137502188</v>
      </c>
      <c r="Q62" s="2">
        <f>Q7*'Output-Calculation-sheet'!Q51/10^9</f>
        <v>0.52525920750631361</v>
      </c>
      <c r="R62" s="2">
        <f>R7*'Output-Calculation-sheet'!R51/10^9</f>
        <v>0.49331455236292882</v>
      </c>
      <c r="S62" s="2">
        <f>S7*'Output-Calculation-sheet'!S51/10^9</f>
        <v>0.33608636026663607</v>
      </c>
      <c r="T62" s="2">
        <f>T7*'Output-Calculation-sheet'!T51/10^9</f>
        <v>0.19107606751617129</v>
      </c>
      <c r="U62" s="2">
        <f>U7*'Output-Calculation-sheet'!U51/10^9</f>
        <v>0.12738082642557841</v>
      </c>
      <c r="V62" s="2">
        <f>V7*'Output-Calculation-sheet'!V51/10^9</f>
        <v>0.23836197622486754</v>
      </c>
      <c r="W62" s="2">
        <f>W7*'Output-Calculation-sheet'!W51/10^9</f>
        <v>8.3927995444775375E-2</v>
      </c>
      <c r="X62" s="2">
        <f>X7*'Output-Calculation-sheet'!X51/10^9</f>
        <v>8.3857320518412909E-2</v>
      </c>
      <c r="Y62" s="2">
        <f>Y7*'Output-Calculation-sheet'!Y51/10^9</f>
        <v>5.3623536319311667E-2</v>
      </c>
      <c r="AA62" s="2">
        <f t="shared" si="4"/>
        <v>23.299418296837334</v>
      </c>
    </row>
    <row r="63" spans="1:27" x14ac:dyDescent="0.25">
      <c r="A63" s="2">
        <v>2031</v>
      </c>
      <c r="B63" s="2">
        <f>B8*'Output-Calculation-sheet'!B52/10^9</f>
        <v>5.611622250974726</v>
      </c>
      <c r="C63" s="2">
        <f>C8*'Output-Calculation-sheet'!C52/10^9</f>
        <v>3.5175734520645903</v>
      </c>
      <c r="D63" s="2">
        <f>D8*'Output-Calculation-sheet'!D52/10^9</f>
        <v>1.9243325029595579</v>
      </c>
      <c r="E63" s="2">
        <f>E8*'Output-Calculation-sheet'!E52/10^9</f>
        <v>1.9133123040356932</v>
      </c>
      <c r="F63" s="2">
        <f>F8*'Output-Calculation-sheet'!F52/10^9</f>
        <v>0.81028824773583119</v>
      </c>
      <c r="G63" s="2">
        <f>G8*'Output-Calculation-sheet'!G52/10^9</f>
        <v>0.58255993754671398</v>
      </c>
      <c r="H63" s="2">
        <f>H8*'Output-Calculation-sheet'!H52/10^9</f>
        <v>1.0176118312200622</v>
      </c>
      <c r="I63" s="2">
        <f>I8*'Output-Calculation-sheet'!I52/10^9</f>
        <v>0.54191606439519591</v>
      </c>
      <c r="J63" s="2">
        <f>J8*'Output-Calculation-sheet'!J52/10^9</f>
        <v>0.74571396505578469</v>
      </c>
      <c r="K63" s="2">
        <f>K8*'Output-Calculation-sheet'!K52/10^9</f>
        <v>0.65517434737985991</v>
      </c>
      <c r="L63" s="2">
        <f>L8*'Output-Calculation-sheet'!L52/10^9</f>
        <v>0.88123977893385097</v>
      </c>
      <c r="M63" s="2">
        <f>M8*'Output-Calculation-sheet'!M52/10^9</f>
        <v>0.82598176821841596</v>
      </c>
      <c r="N63" s="2">
        <f>N8*'Output-Calculation-sheet'!N52/10^9</f>
        <v>0.68934604093324281</v>
      </c>
      <c r="O63" s="2">
        <f>O8*'Output-Calculation-sheet'!O52/10^9</f>
        <v>0.72223846080428233</v>
      </c>
      <c r="P63" s="2">
        <f>P8*'Output-Calculation-sheet'!P52/10^9</f>
        <v>0.4527086325036519</v>
      </c>
      <c r="Q63" s="2">
        <f>Q8*'Output-Calculation-sheet'!Q52/10^9</f>
        <v>0.51233071342221481</v>
      </c>
      <c r="R63" s="2">
        <f>R8*'Output-Calculation-sheet'!R52/10^9</f>
        <v>0.45997179759604956</v>
      </c>
      <c r="S63" s="2">
        <f>S8*'Output-Calculation-sheet'!S52/10^9</f>
        <v>0.34085742873560815</v>
      </c>
      <c r="T63" s="2">
        <f>T8*'Output-Calculation-sheet'!T52/10^9</f>
        <v>0.17487542055637059</v>
      </c>
      <c r="U63" s="2">
        <f>U8*'Output-Calculation-sheet'!U52/10^9</f>
        <v>0.12010249440595902</v>
      </c>
      <c r="V63" s="2">
        <f>V8*'Output-Calculation-sheet'!V52/10^9</f>
        <v>0.21315370826392493</v>
      </c>
      <c r="W63" s="2">
        <f>W8*'Output-Calculation-sheet'!W52/10^9</f>
        <v>7.7151805113059371E-2</v>
      </c>
      <c r="X63" s="2">
        <f>X8*'Output-Calculation-sheet'!X52/10^9</f>
        <v>8.8806319529011607E-2</v>
      </c>
      <c r="Y63" s="2">
        <f>Y8*'Output-Calculation-sheet'!Y52/10^9</f>
        <v>5.0339358037142276E-2</v>
      </c>
      <c r="AA63" s="2">
        <f t="shared" si="4"/>
        <v>22.929208630420796</v>
      </c>
    </row>
    <row r="64" spans="1:27" x14ac:dyDescent="0.25">
      <c r="A64" s="2">
        <v>2032</v>
      </c>
      <c r="B64" s="2">
        <f>B9*'Output-Calculation-sheet'!B53/10^9</f>
        <v>5.3706222330366717</v>
      </c>
      <c r="C64" s="2">
        <f>C9*'Output-Calculation-sheet'!C53/10^9</f>
        <v>3.5833433379257849</v>
      </c>
      <c r="D64" s="2">
        <f>D9*'Output-Calculation-sheet'!D53/10^9</f>
        <v>1.5893807330332848</v>
      </c>
      <c r="E64" s="2">
        <f>E9*'Output-Calculation-sheet'!E53/10^9</f>
        <v>1.6276033607946772</v>
      </c>
      <c r="F64" s="2">
        <f>F9*'Output-Calculation-sheet'!F53/10^9</f>
        <v>0.68651346802665125</v>
      </c>
      <c r="G64" s="2">
        <f>G9*'Output-Calculation-sheet'!G53/10^9</f>
        <v>0.48863876626733671</v>
      </c>
      <c r="H64" s="2">
        <f>H9*'Output-Calculation-sheet'!H53/10^9</f>
        <v>1.0040216158890696</v>
      </c>
      <c r="I64" s="2">
        <f>I9*'Output-Calculation-sheet'!I53/10^9</f>
        <v>0.45679746108190727</v>
      </c>
      <c r="J64" s="2">
        <f>J9*'Output-Calculation-sheet'!J53/10^9</f>
        <v>0.60470761467654477</v>
      </c>
      <c r="K64" s="2">
        <f>K9*'Output-Calculation-sheet'!K53/10^9</f>
        <v>0.56108495269415626</v>
      </c>
      <c r="L64" s="2">
        <f>L9*'Output-Calculation-sheet'!L53/10^9</f>
        <v>0.721831143775856</v>
      </c>
      <c r="M64" s="2">
        <f>M9*'Output-Calculation-sheet'!M53/10^9</f>
        <v>0.78690236611348152</v>
      </c>
      <c r="N64" s="2">
        <f>N9*'Output-Calculation-sheet'!N53/10^9</f>
        <v>0.66244042244849788</v>
      </c>
      <c r="O64" s="2">
        <f>O9*'Output-Calculation-sheet'!O53/10^9</f>
        <v>0.72936777440185085</v>
      </c>
      <c r="P64" s="2">
        <f>P9*'Output-Calculation-sheet'!P53/10^9</f>
        <v>0.42778195530288188</v>
      </c>
      <c r="Q64" s="2">
        <f>Q9*'Output-Calculation-sheet'!Q53/10^9</f>
        <v>0.47277084936863922</v>
      </c>
      <c r="R64" s="2">
        <f>R9*'Output-Calculation-sheet'!R53/10^9</f>
        <v>0.40527571132332163</v>
      </c>
      <c r="S64" s="2">
        <f>S9*'Output-Calculation-sheet'!S53/10^9</f>
        <v>0.33484831392113296</v>
      </c>
      <c r="T64" s="2">
        <f>T9*'Output-Calculation-sheet'!T53/10^9</f>
        <v>0.14568606945139378</v>
      </c>
      <c r="U64" s="2">
        <f>U9*'Output-Calculation-sheet'!U53/10^9</f>
        <v>0.10965481433535414</v>
      </c>
      <c r="V64" s="2">
        <f>V9*'Output-Calculation-sheet'!V53/10^9</f>
        <v>0.17291957290484247</v>
      </c>
      <c r="W64" s="2">
        <f>W9*'Output-Calculation-sheet'!W53/10^9</f>
        <v>6.4253796544542816E-2</v>
      </c>
      <c r="X64" s="2">
        <f>X9*'Output-Calculation-sheet'!X53/10^9</f>
        <v>8.7216116630298296E-2</v>
      </c>
      <c r="Y64" s="2">
        <f>Y9*'Output-Calculation-sheet'!Y53/10^9</f>
        <v>4.501829934364425E-2</v>
      </c>
      <c r="AA64" s="2">
        <f t="shared" si="4"/>
        <v>21.138680749291822</v>
      </c>
    </row>
    <row r="65" spans="1:27" x14ac:dyDescent="0.25">
      <c r="A65" s="2">
        <v>2033</v>
      </c>
      <c r="B65" s="2">
        <f>B10*'Output-Calculation-sheet'!B54/10^9</f>
        <v>5.3313919678489974</v>
      </c>
      <c r="C65" s="2">
        <f>C10*'Output-Calculation-sheet'!C54/10^9</f>
        <v>3.6044923102972328</v>
      </c>
      <c r="D65" s="2">
        <f>D10*'Output-Calculation-sheet'!D54/10^9</f>
        <v>1.2595400055078545</v>
      </c>
      <c r="E65" s="2">
        <f>E10*'Output-Calculation-sheet'!E54/10^9</f>
        <v>1.4182276427158285</v>
      </c>
      <c r="F65" s="2">
        <f>F10*'Output-Calculation-sheet'!F54/10^9</f>
        <v>0.57577615278836702</v>
      </c>
      <c r="G65" s="2">
        <f>G10*'Output-Calculation-sheet'!G54/10^9</f>
        <v>0.39532241055372641</v>
      </c>
      <c r="H65" s="2">
        <f>H10*'Output-Calculation-sheet'!H54/10^9</f>
        <v>0.97696631937989797</v>
      </c>
      <c r="I65" s="2">
        <f>I10*'Output-Calculation-sheet'!I54/10^9</f>
        <v>0.38493606392387297</v>
      </c>
      <c r="J65" s="2">
        <f>J10*'Output-Calculation-sheet'!J54/10^9</f>
        <v>0.46008445159035932</v>
      </c>
      <c r="K65" s="2">
        <f>K10*'Output-Calculation-sheet'!K54/10^9</f>
        <v>0.49084916447057236</v>
      </c>
      <c r="L65" s="2">
        <f>L10*'Output-Calculation-sheet'!L54/10^9</f>
        <v>0.57979609488982042</v>
      </c>
      <c r="M65" s="2">
        <f>M10*'Output-Calculation-sheet'!M54/10^9</f>
        <v>0.73765279146722074</v>
      </c>
      <c r="N65" s="2">
        <f>N10*'Output-Calculation-sheet'!N54/10^9</f>
        <v>0.63701380122312568</v>
      </c>
      <c r="O65" s="2">
        <f>O10*'Output-Calculation-sheet'!O54/10^9</f>
        <v>0.72910486042315459</v>
      </c>
      <c r="P65" s="2">
        <f>P10*'Output-Calculation-sheet'!P54/10^9</f>
        <v>0.41531408359088368</v>
      </c>
      <c r="Q65" s="2">
        <f>Q10*'Output-Calculation-sheet'!Q54/10^9</f>
        <v>0.45319713052386473</v>
      </c>
      <c r="R65" s="2">
        <f>R10*'Output-Calculation-sheet'!R54/10^9</f>
        <v>0.36563906066113422</v>
      </c>
      <c r="S65" s="2">
        <f>S10*'Output-Calculation-sheet'!S54/10^9</f>
        <v>0.33212438273963152</v>
      </c>
      <c r="T65" s="2">
        <f>T10*'Output-Calculation-sheet'!T54/10^9</f>
        <v>0.12224925723730122</v>
      </c>
      <c r="U65" s="2">
        <f>U10*'Output-Calculation-sheet'!U54/10^9</f>
        <v>0.10556093671549811</v>
      </c>
      <c r="V65" s="2">
        <f>V10*'Output-Calculation-sheet'!V54/10^9</f>
        <v>0.13528725608481515</v>
      </c>
      <c r="W65" s="2">
        <f>W10*'Output-Calculation-sheet'!W54/10^9</f>
        <v>5.1508946772770556E-2</v>
      </c>
      <c r="X65" s="2">
        <f>X10*'Output-Calculation-sheet'!X54/10^9</f>
        <v>8.4840723430954834E-2</v>
      </c>
      <c r="Y65" s="2">
        <f>Y10*'Output-Calculation-sheet'!Y54/10^9</f>
        <v>4.2394624120440344E-2</v>
      </c>
      <c r="AA65" s="2">
        <f t="shared" si="4"/>
        <v>19.689270438957326</v>
      </c>
    </row>
    <row r="66" spans="1:27" x14ac:dyDescent="0.25">
      <c r="A66" s="2">
        <v>2034</v>
      </c>
      <c r="B66" s="2">
        <f>B11*'Output-Calculation-sheet'!B55/10^9</f>
        <v>5.4645305442761298</v>
      </c>
      <c r="C66" s="2">
        <f>C11*'Output-Calculation-sheet'!C55/10^9</f>
        <v>3.6044567861309864</v>
      </c>
      <c r="D66" s="2">
        <f>D11*'Output-Calculation-sheet'!D55/10^9</f>
        <v>1.1430123102555125</v>
      </c>
      <c r="E66" s="2">
        <f>E11*'Output-Calculation-sheet'!E55/10^9</f>
        <v>1.3841119966163788</v>
      </c>
      <c r="F66" s="2">
        <f>F11*'Output-Calculation-sheet'!F55/10^9</f>
        <v>0.53193181943913559</v>
      </c>
      <c r="G66" s="2">
        <f>G11*'Output-Calculation-sheet'!G55/10^9</f>
        <v>0.38021498516594032</v>
      </c>
      <c r="H66" s="2">
        <f>H11*'Output-Calculation-sheet'!H55/10^9</f>
        <v>0.97204137281924696</v>
      </c>
      <c r="I66" s="2">
        <f>I11*'Output-Calculation-sheet'!I55/10^9</f>
        <v>0.3718073998544576</v>
      </c>
      <c r="J66" s="2">
        <f>J11*'Output-Calculation-sheet'!J55/10^9</f>
        <v>0.38234639221881878</v>
      </c>
      <c r="K66" s="2">
        <f>K11*'Output-Calculation-sheet'!K55/10^9</f>
        <v>0.4573076356445141</v>
      </c>
      <c r="L66" s="2">
        <f>L11*'Output-Calculation-sheet'!L55/10^9</f>
        <v>0.48429224386688474</v>
      </c>
      <c r="M66" s="2">
        <f>M11*'Output-Calculation-sheet'!M55/10^9</f>
        <v>0.70422228429459555</v>
      </c>
      <c r="N66" s="2">
        <f>N11*'Output-Calculation-sheet'!N55/10^9</f>
        <v>0.61530247997064458</v>
      </c>
      <c r="O66" s="2">
        <f>O11*'Output-Calculation-sheet'!O55/10^9</f>
        <v>0.72613416516755191</v>
      </c>
      <c r="P66" s="2">
        <f>P11*'Output-Calculation-sheet'!P55/10^9</f>
        <v>0.42296331823775701</v>
      </c>
      <c r="Q66" s="2">
        <f>Q11*'Output-Calculation-sheet'!Q55/10^9</f>
        <v>0.46066456159381125</v>
      </c>
      <c r="R66" s="2">
        <f>R11*'Output-Calculation-sheet'!R55/10^9</f>
        <v>0.34256582586030493</v>
      </c>
      <c r="S66" s="2">
        <f>S11*'Output-Calculation-sheet'!S55/10^9</f>
        <v>0.33707645876150732</v>
      </c>
      <c r="T66" s="2">
        <f>T11*'Output-Calculation-sheet'!T55/10^9</f>
        <v>0.10737943455964898</v>
      </c>
      <c r="U66" s="2">
        <f>U11*'Output-Calculation-sheet'!U55/10^9</f>
        <v>0.109190723467593</v>
      </c>
      <c r="V66" s="2">
        <f>V11*'Output-Calculation-sheet'!V55/10^9</f>
        <v>0.10186821808746437</v>
      </c>
      <c r="W66" s="2">
        <f>W11*'Output-Calculation-sheet'!W55/10^9</f>
        <v>4.6123635958120933E-2</v>
      </c>
      <c r="X66" s="2">
        <f>X11*'Output-Calculation-sheet'!X55/10^9</f>
        <v>8.6750331853418919E-2</v>
      </c>
      <c r="Y66" s="2">
        <f>Y11*'Output-Calculation-sheet'!Y55/10^9</f>
        <v>4.5261144503160267E-2</v>
      </c>
      <c r="AA66" s="2">
        <f t="shared" si="4"/>
        <v>19.281556068603589</v>
      </c>
    </row>
    <row r="67" spans="1:27" x14ac:dyDescent="0.25">
      <c r="A67" s="2">
        <v>2035</v>
      </c>
      <c r="B67" s="2">
        <f>B12*'Output-Calculation-sheet'!B56/10^9</f>
        <v>5.6766225115022593</v>
      </c>
      <c r="C67" s="2">
        <f>C12*'Output-Calculation-sheet'!C56/10^9</f>
        <v>3.5801050549170008</v>
      </c>
      <c r="D67" s="2">
        <f>D12*'Output-Calculation-sheet'!D56/10^9</f>
        <v>1.182236458712846</v>
      </c>
      <c r="E67" s="2">
        <f>E12*'Output-Calculation-sheet'!E56/10^9</f>
        <v>1.604138932108548</v>
      </c>
      <c r="F67" s="2">
        <f>F12*'Output-Calculation-sheet'!F56/10^9</f>
        <v>0.58586393383793545</v>
      </c>
      <c r="G67" s="2">
        <f>G12*'Output-Calculation-sheet'!G56/10^9</f>
        <v>0.41041470018755921</v>
      </c>
      <c r="H67" s="2">
        <f>H12*'Output-Calculation-sheet'!H56/10^9</f>
        <v>0.9905290616692537</v>
      </c>
      <c r="I67" s="2">
        <f>I12*'Output-Calculation-sheet'!I56/10^9</f>
        <v>0.39865480574329604</v>
      </c>
      <c r="J67" s="2">
        <f>J12*'Output-Calculation-sheet'!J56/10^9</f>
        <v>0.39492662433799913</v>
      </c>
      <c r="K67" s="2">
        <f>K12*'Output-Calculation-sheet'!K56/10^9</f>
        <v>0.47563618185503276</v>
      </c>
      <c r="L67" s="2">
        <f>L12*'Output-Calculation-sheet'!L56/10^9</f>
        <v>0.47781068766229112</v>
      </c>
      <c r="M67" s="2">
        <f>M12*'Output-Calculation-sheet'!M56/10^9</f>
        <v>0.72474883677039781</v>
      </c>
      <c r="N67" s="2">
        <f>N12*'Output-Calculation-sheet'!N56/10^9</f>
        <v>0.62233550364368795</v>
      </c>
      <c r="O67" s="2">
        <f>O12*'Output-Calculation-sheet'!O56/10^9</f>
        <v>0.71989833815701165</v>
      </c>
      <c r="P67" s="2">
        <f>P12*'Output-Calculation-sheet'!P56/10^9</f>
        <v>0.46066153649767727</v>
      </c>
      <c r="Q67" s="2">
        <f>Q12*'Output-Calculation-sheet'!Q56/10^9</f>
        <v>0.47372944160506564</v>
      </c>
      <c r="R67" s="2">
        <f>R12*'Output-Calculation-sheet'!R56/10^9</f>
        <v>0.3606647794075753</v>
      </c>
      <c r="S67" s="2">
        <f>S12*'Output-Calculation-sheet'!S56/10^9</f>
        <v>0.34369247803154779</v>
      </c>
      <c r="T67" s="2">
        <f>T12*'Output-Calculation-sheet'!T56/10^9</f>
        <v>0.10937335246132911</v>
      </c>
      <c r="U67" s="2">
        <f>U12*'Output-Calculation-sheet'!U56/10^9</f>
        <v>0.11421449941705959</v>
      </c>
      <c r="V67" s="2">
        <f>V12*'Output-Calculation-sheet'!V56/10^9</f>
        <v>8.7736569333240644E-2</v>
      </c>
      <c r="W67" s="2">
        <f>W12*'Output-Calculation-sheet'!W56/10^9</f>
        <v>5.2934903637332324E-2</v>
      </c>
      <c r="X67" s="2">
        <f>X12*'Output-Calculation-sheet'!X56/10^9</f>
        <v>9.0004941343695702E-2</v>
      </c>
      <c r="Y67" s="2">
        <f>Y12*'Output-Calculation-sheet'!Y56/10^9</f>
        <v>5.1138315402509772E-2</v>
      </c>
      <c r="AA67" s="2">
        <f t="shared" si="4"/>
        <v>19.988072448242153</v>
      </c>
    </row>
    <row r="68" spans="1:27" x14ac:dyDescent="0.25">
      <c r="B68" s="2">
        <f>SUM(B60:B67)</f>
        <v>42.878169345139526</v>
      </c>
      <c r="C68" s="2">
        <f t="shared" ref="C68:Y68" si="5">SUM(C60:C67)</f>
        <v>26.01472937158734</v>
      </c>
      <c r="D68" s="2">
        <f t="shared" si="5"/>
        <v>13.167356295743243</v>
      </c>
      <c r="E68" s="2">
        <f t="shared" si="5"/>
        <v>13.929476727038756</v>
      </c>
      <c r="F68" s="2">
        <f t="shared" si="5"/>
        <v>5.6682708648621114</v>
      </c>
      <c r="G68" s="2">
        <f t="shared" si="5"/>
        <v>4.0608002845872404</v>
      </c>
      <c r="H68" s="2">
        <f t="shared" si="5"/>
        <v>7.4988664803557885</v>
      </c>
      <c r="I68" s="2">
        <f t="shared" si="5"/>
        <v>3.8218198226238123</v>
      </c>
      <c r="J68" s="2">
        <f t="shared" si="5"/>
        <v>4.9899037848794343</v>
      </c>
      <c r="K68" s="2">
        <f t="shared" si="5"/>
        <v>4.6608138331413569</v>
      </c>
      <c r="L68" s="2">
        <f t="shared" si="5"/>
        <v>5.9942540305638063</v>
      </c>
      <c r="M68" s="2">
        <f t="shared" si="5"/>
        <v>5.9581307232185754</v>
      </c>
      <c r="N68" s="2">
        <f t="shared" si="5"/>
        <v>5.1183943394754783</v>
      </c>
      <c r="O68" s="2">
        <f t="shared" si="5"/>
        <v>5.3216355689378663</v>
      </c>
      <c r="P68" s="2">
        <f t="shared" si="5"/>
        <v>3.4606475618365993</v>
      </c>
      <c r="Q68" s="2">
        <f t="shared" si="5"/>
        <v>3.8353010696675023</v>
      </c>
      <c r="R68" s="2">
        <f t="shared" si="5"/>
        <v>3.3384987344119708</v>
      </c>
      <c r="S68" s="2">
        <f t="shared" si="5"/>
        <v>2.604766836793349</v>
      </c>
      <c r="T68" s="2">
        <f t="shared" si="5"/>
        <v>1.209703734588484</v>
      </c>
      <c r="U68" s="2">
        <f t="shared" si="5"/>
        <v>0.91810120241624893</v>
      </c>
      <c r="V68" s="2">
        <f t="shared" si="5"/>
        <v>1.4077140606827363</v>
      </c>
      <c r="W68" s="2">
        <f t="shared" si="5"/>
        <v>0.53290460198045941</v>
      </c>
      <c r="X68" s="2">
        <f t="shared" si="5"/>
        <v>0.65913660889013259</v>
      </c>
      <c r="Y68" s="2">
        <f t="shared" si="5"/>
        <v>0.38592406705161902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1401.1668395599913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387.24903513980638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259.43011397265383</v>
      </c>
      <c r="N73" s="2">
        <f>N7/'Output-Calculation-sheet'!N6*'Output-Calculation-sheet'!N60</f>
        <v>0</v>
      </c>
      <c r="O73" s="2">
        <f>O7/'Output-Calculation-sheet'!O6*'Output-Calculation-sheet'!O60</f>
        <v>57.212100839183009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35.443297416035378</v>
      </c>
      <c r="Y73" s="2">
        <f>Y7/'Output-Calculation-sheet'!Y6*'Output-Calculation-sheet'!Y60</f>
        <v>0</v>
      </c>
      <c r="AA73" s="2">
        <f t="shared" si="6"/>
        <v>2.1405013869276699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2163.7641465386332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1132.2155035274452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759.51974338665207</v>
      </c>
      <c r="N74" s="2">
        <f>N8/'Output-Calculation-sheet'!N7*'Output-Calculation-sheet'!N61</f>
        <v>31.54045128396703</v>
      </c>
      <c r="O74" s="2">
        <f>O8/'Output-Calculation-sheet'!O7*'Output-Calculation-sheet'!O61</f>
        <v>122.72468662107678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94.886415688664272</v>
      </c>
      <c r="Y74" s="2">
        <f>Y8/'Output-Calculation-sheet'!Y7*'Output-Calculation-sheet'!Y61</f>
        <v>0</v>
      </c>
      <c r="AA74" s="2">
        <f t="shared" si="6"/>
        <v>4.3046509470464382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2623.0846466682387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1777.9635698878656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1206.1848442782132</v>
      </c>
      <c r="N75" s="2">
        <f>N9/'Output-Calculation-sheet'!N8*'Output-Calculation-sheet'!N62</f>
        <v>466.10947638214822</v>
      </c>
      <c r="O75" s="2">
        <f>O9/'Output-Calculation-sheet'!O8*'Output-Calculation-sheet'!O62</f>
        <v>227.83353116798202</v>
      </c>
      <c r="P75" s="2">
        <f>P9/'Output-Calculation-sheet'!P8*'Output-Calculation-sheet'!P62</f>
        <v>31.205294708677982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154.17813206009021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145.67804126568925</v>
      </c>
      <c r="Y75" s="2">
        <f>Y9/'Output-Calculation-sheet'!Y8*'Output-Calculation-sheet'!Y62</f>
        <v>0</v>
      </c>
      <c r="AA75" s="2">
        <f t="shared" si="6"/>
        <v>6.6322375364189048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3526.9408594716588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2436.493627965242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1659.2664277159772</v>
      </c>
      <c r="N76" s="2">
        <f>N10/'Output-Calculation-sheet'!N9*'Output-Calculation-sheet'!N63</f>
        <v>949.43063452827312</v>
      </c>
      <c r="O76" s="2">
        <f>O10/'Output-Calculation-sheet'!O9*'Output-Calculation-sheet'!O63</f>
        <v>350.67309807951284</v>
      </c>
      <c r="P76" s="2">
        <f>P10/'Output-Calculation-sheet'!P9*'Output-Calculation-sheet'!P63</f>
        <v>325.47033561647362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250.62808391541904</v>
      </c>
      <c r="S76" s="2">
        <f>S10/'Output-Calculation-sheet'!S9*'Output-Calculation-sheet'!S63</f>
        <v>421.00290006574988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89.067652633271237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195.38786852705138</v>
      </c>
      <c r="Y76" s="2">
        <f>Y10/'Output-Calculation-sheet'!Y9*'Output-Calculation-sheet'!Y63</f>
        <v>3.7065455842437656</v>
      </c>
      <c r="AA76" s="2">
        <f t="shared" si="6"/>
        <v>14.172964568437701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4731.1105841165863</v>
      </c>
      <c r="D77" s="2">
        <f>D11/'Output-Calculation-sheet'!D10*'Output-Calculation-sheet'!D64</f>
        <v>1107.1906163269105</v>
      </c>
      <c r="E77" s="2">
        <f>E11/'Output-Calculation-sheet'!E10*'Output-Calculation-sheet'!E64</f>
        <v>1380.5158664402709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586.80458935891397</v>
      </c>
      <c r="H77" s="2">
        <f>H11/'Output-Calculation-sheet'!H10*'Output-Calculation-sheet'!H64</f>
        <v>2936.1188944161281</v>
      </c>
      <c r="I77" s="2">
        <f>I11/'Output-Calculation-sheet'!I10*'Output-Calculation-sheet'!I64</f>
        <v>344.84647537204086</v>
      </c>
      <c r="J77" s="2">
        <f>J11/'Output-Calculation-sheet'!J10*'Output-Calculation-sheet'!J64</f>
        <v>241.51682587740828</v>
      </c>
      <c r="K77" s="2">
        <f>K11/'Output-Calculation-sheet'!K10*'Output-Calculation-sheet'!K64</f>
        <v>525.18538593686594</v>
      </c>
      <c r="L77" s="2">
        <f>L11/'Output-Calculation-sheet'!L10*'Output-Calculation-sheet'!L64</f>
        <v>216.17311286023403</v>
      </c>
      <c r="M77" s="2">
        <f>M11/'Output-Calculation-sheet'!M10*'Output-Calculation-sheet'!M64</f>
        <v>2097.1784915658327</v>
      </c>
      <c r="N77" s="2">
        <f>N11/'Output-Calculation-sheet'!N10*'Output-Calculation-sheet'!N64</f>
        <v>1476.544932338014</v>
      </c>
      <c r="O77" s="2">
        <f>O11/'Output-Calculation-sheet'!O10*'Output-Calculation-sheet'!O64</f>
        <v>537.72386050465559</v>
      </c>
      <c r="P77" s="2">
        <f>P11/'Output-Calculation-sheet'!P10*'Output-Calculation-sheet'!P64</f>
        <v>654.6795361522685</v>
      </c>
      <c r="Q77" s="2">
        <f>Q11/'Output-Calculation-sheet'!Q10*'Output-Calculation-sheet'!Q64</f>
        <v>460.97306351906042</v>
      </c>
      <c r="R77" s="2">
        <f>R11/'Output-Calculation-sheet'!R10*'Output-Calculation-sheet'!R64</f>
        <v>557.70697458089387</v>
      </c>
      <c r="S77" s="2">
        <f>S11/'Output-Calculation-sheet'!S10*'Output-Calculation-sheet'!S64</f>
        <v>742.50312819332908</v>
      </c>
      <c r="T77" s="2">
        <f>T11/'Output-Calculation-sheet'!T10*'Output-Calculation-sheet'!T64</f>
        <v>153.7161302601607</v>
      </c>
      <c r="U77" s="2">
        <f>U11/'Output-Calculation-sheet'!U10*'Output-Calculation-sheet'!U64</f>
        <v>163.14618263690164</v>
      </c>
      <c r="V77" s="2">
        <f>V11/'Output-Calculation-sheet'!V10*'Output-Calculation-sheet'!V64</f>
        <v>81.303746636831733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209.93206415568795</v>
      </c>
      <c r="Y77" s="2">
        <f>Y11/'Output-Calculation-sheet'!Y10*'Output-Calculation-sheet'!Y64</f>
        <v>51.053824202852134</v>
      </c>
      <c r="AA77" s="2">
        <f t="shared" si="6"/>
        <v>28.408712789038308</v>
      </c>
    </row>
    <row r="78" spans="1:27" x14ac:dyDescent="0.25">
      <c r="A78" s="2">
        <v>2035</v>
      </c>
      <c r="B78" s="2">
        <f>B12/'Output-Calculation-sheet'!B11*'Output-Calculation-sheet'!B65</f>
        <v>9327.5033643278312</v>
      </c>
      <c r="C78" s="2">
        <f>C12/'Output-Calculation-sheet'!C11*'Output-Calculation-sheet'!C65</f>
        <v>7228.5603929821673</v>
      </c>
      <c r="D78" s="2">
        <f>D12/'Output-Calculation-sheet'!D11*'Output-Calculation-sheet'!D65</f>
        <v>1245.9937922436252</v>
      </c>
      <c r="E78" s="2">
        <f>E12/'Output-Calculation-sheet'!E11*'Output-Calculation-sheet'!E65</f>
        <v>2159.0924182033991</v>
      </c>
      <c r="F78" s="2">
        <f>F12/'Output-Calculation-sheet'!F11*'Output-Calculation-sheet'!F65</f>
        <v>276.30004470759957</v>
      </c>
      <c r="G78" s="2">
        <f>G12/'Output-Calculation-sheet'!G11*'Output-Calculation-sheet'!G65</f>
        <v>547.16348205588554</v>
      </c>
      <c r="H78" s="2">
        <f>H12/'Output-Calculation-sheet'!H11*'Output-Calculation-sheet'!H65</f>
        <v>2967.0285983108565</v>
      </c>
      <c r="I78" s="2">
        <f>I12/'Output-Calculation-sheet'!I11*'Output-Calculation-sheet'!I65</f>
        <v>362.38140476681826</v>
      </c>
      <c r="J78" s="2">
        <f>J12/'Output-Calculation-sheet'!J11*'Output-Calculation-sheet'!J65</f>
        <v>524.51189707560468</v>
      </c>
      <c r="K78" s="2">
        <f>K12/'Output-Calculation-sheet'!K11*'Output-Calculation-sheet'!K65</f>
        <v>657.3472333584599</v>
      </c>
      <c r="L78" s="2">
        <f>L12/'Output-Calculation-sheet'!L11*'Output-Calculation-sheet'!L65</f>
        <v>557.62223711972251</v>
      </c>
      <c r="M78" s="2">
        <f>M12/'Output-Calculation-sheet'!M11*'Output-Calculation-sheet'!M65</f>
        <v>2161.9519969833214</v>
      </c>
      <c r="N78" s="2">
        <f>N12/'Output-Calculation-sheet'!N11*'Output-Calculation-sheet'!N65</f>
        <v>1533.4766438073814</v>
      </c>
      <c r="O78" s="2">
        <f>O12/'Output-Calculation-sheet'!O11*'Output-Calculation-sheet'!O65</f>
        <v>860.88480178528278</v>
      </c>
      <c r="P78" s="2">
        <f>P12/'Output-Calculation-sheet'!P11*'Output-Calculation-sheet'!P65</f>
        <v>752.95298775577635</v>
      </c>
      <c r="Q78" s="2">
        <f>Q12/'Output-Calculation-sheet'!Q11*'Output-Calculation-sheet'!Q65</f>
        <v>518.33474615132752</v>
      </c>
      <c r="R78" s="2">
        <f>R12/'Output-Calculation-sheet'!R11*'Output-Calculation-sheet'!R65</f>
        <v>701.65877106016467</v>
      </c>
      <c r="S78" s="2">
        <f>S12/'Output-Calculation-sheet'!S11*'Output-Calculation-sheet'!S65</f>
        <v>731.15981832339025</v>
      </c>
      <c r="T78" s="2">
        <f>T12/'Output-Calculation-sheet'!T11*'Output-Calculation-sheet'!T65</f>
        <v>242.03757603756344</v>
      </c>
      <c r="U78" s="2">
        <f>U12/'Output-Calculation-sheet'!U11*'Output-Calculation-sheet'!U65</f>
        <v>165.58893957949985</v>
      </c>
      <c r="V78" s="2">
        <f>V12/'Output-Calculation-sheet'!V11*'Output-Calculation-sheet'!V65</f>
        <v>135.9045209182807</v>
      </c>
      <c r="W78" s="2">
        <f>W12/'Output-Calculation-sheet'!W11*'Output-Calculation-sheet'!W65</f>
        <v>65.448505507635701</v>
      </c>
      <c r="X78" s="2">
        <f>X12/'Output-Calculation-sheet'!X11*'Output-Calculation-sheet'!X65</f>
        <v>211.64743235949803</v>
      </c>
      <c r="Y78" s="2">
        <f>Y12/'Output-Calculation-sheet'!Y11*'Output-Calculation-sheet'!Y65</f>
        <v>57.907334361255351</v>
      </c>
      <c r="AA78" s="2">
        <f t="shared" si="6"/>
        <v>33.992458939782345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64.117825450052223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24.912737138769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8.9030562588821222E-2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206.68956376539194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53.538962426034146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0.26022852619142611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345.51550971683116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67.124368383708088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0.41263987810053926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413.74975866793011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80.380447298176847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0.49413020596610691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413.41406711958984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21.210287543911523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80.315231461201705</v>
      </c>
      <c r="P88" s="2">
        <f>P11/'Output-Calculation-sheet'!P10*'Output-Calculation-sheet'!P73</f>
        <v>0</v>
      </c>
      <c r="Q88" s="2">
        <f>Q11/'Output-Calculation-sheet'!Q10*'Output-Calculation-sheet'!Q73</f>
        <v>12.56776530219091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4.0098850375289201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1.6010804243144621</v>
      </c>
      <c r="Y88" s="2">
        <f>Y11/'Output-Calculation-sheet'!Y10*'Output-Calculation-sheet'!Y73</f>
        <v>0</v>
      </c>
      <c r="AA88" s="2">
        <f t="shared" si="7"/>
        <v>0.53311831688873723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344.46320671823526</v>
      </c>
      <c r="D89" s="2">
        <f>D12/'Output-Calculation-sheet'!D11*'Output-Calculation-sheet'!D74</f>
        <v>61.027271011589612</v>
      </c>
      <c r="E89" s="2">
        <f>E12/'Output-Calculation-sheet'!E11*'Output-Calculation-sheet'!E74</f>
        <v>97.000805004982311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21.891793312630451</v>
      </c>
      <c r="H89" s="2">
        <f>H12/'Output-Calculation-sheet'!H11*'Output-Calculation-sheet'!H74</f>
        <v>42.414601208109104</v>
      </c>
      <c r="I89" s="2">
        <f>I12/'Output-Calculation-sheet'!I11*'Output-Calculation-sheet'!I74</f>
        <v>19.690361050142265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19.35252549116672</v>
      </c>
      <c r="L89" s="2">
        <f>L12/'Output-Calculation-sheet'!L11*'Output-Calculation-sheet'!L74</f>
        <v>15.38820093053295</v>
      </c>
      <c r="M89" s="2">
        <f>M12/'Output-Calculation-sheet'!M11*'Output-Calculation-sheet'!M74</f>
        <v>29.185396137551333</v>
      </c>
      <c r="N89" s="2">
        <f>N12/'Output-Calculation-sheet'!N11*'Output-Calculation-sheet'!N74</f>
        <v>14.342280619223544</v>
      </c>
      <c r="O89" s="2">
        <f>O12/'Output-Calculation-sheet'!O11*'Output-Calculation-sheet'!O74</f>
        <v>66.919934220428686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12.565995445982386</v>
      </c>
      <c r="R89" s="2">
        <f>R12/'Output-Calculation-sheet'!R11*'Output-Calculation-sheet'!R74</f>
        <v>12.461527564738477</v>
      </c>
      <c r="S89" s="2">
        <f>S12/'Output-Calculation-sheet'!S11*'Output-Calculation-sheet'!S74</f>
        <v>16.442936105234057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4.0093203452579802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6.4034198083185867</v>
      </c>
      <c r="Y89" s="2">
        <f>Y12/'Output-Calculation-sheet'!Y11*'Output-Calculation-sheet'!Y74</f>
        <v>3.0897094419621891</v>
      </c>
      <c r="AA89" s="2">
        <f t="shared" si="7"/>
        <v>1.1638231126239567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1279225687.9751835</v>
      </c>
      <c r="C93" s="2">
        <f>C5/'Output-Calculation-sheet'!C4*'Output-Calculation-sheet'!C76</f>
        <v>347766433.86872429</v>
      </c>
      <c r="D93" s="2">
        <f>D5/'Output-Calculation-sheet'!D4*'Output-Calculation-sheet'!D76</f>
        <v>332166102.07643199</v>
      </c>
      <c r="E93" s="2">
        <f>E5/'Output-Calculation-sheet'!E4*'Output-Calculation-sheet'!E76</f>
        <v>847424375.93943942</v>
      </c>
      <c r="F93" s="2">
        <f>F5/'Output-Calculation-sheet'!F4*'Output-Calculation-sheet'!F76</f>
        <v>305770824.83455962</v>
      </c>
      <c r="G93" s="2">
        <f>G5/'Output-Calculation-sheet'!G4*'Output-Calculation-sheet'!G76</f>
        <v>211338513.69590312</v>
      </c>
      <c r="H93" s="2">
        <f>H5/'Output-Calculation-sheet'!H4*'Output-Calculation-sheet'!H76</f>
        <v>218563399.54805177</v>
      </c>
      <c r="I93" s="2">
        <f>I5/'Output-Calculation-sheet'!I4*'Output-Calculation-sheet'!I76</f>
        <v>149857879.05073735</v>
      </c>
      <c r="J93" s="2">
        <f>J5/'Output-Calculation-sheet'!J4*'Output-Calculation-sheet'!J76</f>
        <v>106651123.62004484</v>
      </c>
      <c r="K93" s="2">
        <f>K5/'Output-Calculation-sheet'!K4*'Output-Calculation-sheet'!K76</f>
        <v>147180788.35884839</v>
      </c>
      <c r="L93" s="2">
        <f>L5/'Output-Calculation-sheet'!L4*'Output-Calculation-sheet'!L76</f>
        <v>112129889.23749737</v>
      </c>
      <c r="M93" s="2">
        <f>M5/'Output-Calculation-sheet'!M4*'Output-Calculation-sheet'!M76</f>
        <v>160874594.87395784</v>
      </c>
      <c r="N93" s="2">
        <f>N5/'Output-Calculation-sheet'!N4*'Output-Calculation-sheet'!N76</f>
        <v>112217032.45948167</v>
      </c>
      <c r="O93" s="2">
        <f>O5/'Output-Calculation-sheet'!O4*'Output-Calculation-sheet'!O76</f>
        <v>46012502.270586178</v>
      </c>
      <c r="P93" s="2">
        <f>P5/'Output-Calculation-sheet'!P4*'Output-Calculation-sheet'!P76</f>
        <v>214523646.33342806</v>
      </c>
      <c r="Q93" s="2">
        <f>Q5/'Output-Calculation-sheet'!Q4*'Output-Calculation-sheet'!Q76</f>
        <v>90885797.925268337</v>
      </c>
      <c r="R93" s="2">
        <f>R5/'Output-Calculation-sheet'!R4*'Output-Calculation-sheet'!R76</f>
        <v>119317489.34121178</v>
      </c>
      <c r="S93" s="2">
        <f>S5/'Output-Calculation-sheet'!S4*'Output-Calculation-sheet'!S76</f>
        <v>69105083.581134737</v>
      </c>
      <c r="T93" s="2">
        <f>T5/'Output-Calculation-sheet'!T4*'Output-Calculation-sheet'!T76</f>
        <v>46957974.927370027</v>
      </c>
      <c r="U93" s="2">
        <f>U5/'Output-Calculation-sheet'!U4*'Output-Calculation-sheet'!U76</f>
        <v>35012361.796903916</v>
      </c>
      <c r="V93" s="2">
        <f>V5/'Output-Calculation-sheet'!V4*'Output-Calculation-sheet'!V76</f>
        <v>16540422.093115084</v>
      </c>
      <c r="W93" s="2">
        <f>W5/'Output-Calculation-sheet'!W4*'Output-Calculation-sheet'!W76</f>
        <v>47696206.303371914</v>
      </c>
      <c r="X93" s="2">
        <f>X5/'Output-Calculation-sheet'!X4*'Output-Calculation-sheet'!X76</f>
        <v>18511056.303914536</v>
      </c>
      <c r="Y93" s="2">
        <f>Y5/'Output-Calculation-sheet'!Y4*'Output-Calculation-sheet'!Y76</f>
        <v>27548454.806132469</v>
      </c>
      <c r="AA93" s="2">
        <f>SUM(B93:Y93)/10^9</f>
        <v>5.0632776412212976</v>
      </c>
    </row>
    <row r="94" spans="1:27" x14ac:dyDescent="0.25">
      <c r="A94" s="2">
        <v>2029</v>
      </c>
      <c r="B94" s="2">
        <f>B6/'Output-Calculation-sheet'!B5*'Output-Calculation-sheet'!B77</f>
        <v>3002219444.4429817</v>
      </c>
      <c r="C94" s="2">
        <f>C6/'Output-Calculation-sheet'!C5*'Output-Calculation-sheet'!C77</f>
        <v>778787932.12494946</v>
      </c>
      <c r="D94" s="2">
        <f>D6/'Output-Calculation-sheet'!D5*'Output-Calculation-sheet'!D77</f>
        <v>707674056.81215417</v>
      </c>
      <c r="E94" s="2">
        <f>E6/'Output-Calculation-sheet'!E5*'Output-Calculation-sheet'!E77</f>
        <v>2061249327.7065983</v>
      </c>
      <c r="F94" s="2">
        <f>F6/'Output-Calculation-sheet'!F5*'Output-Calculation-sheet'!F77</f>
        <v>690636372.82565677</v>
      </c>
      <c r="G94" s="2">
        <f>G6/'Output-Calculation-sheet'!G5*'Output-Calculation-sheet'!G77</f>
        <v>470187286.37956834</v>
      </c>
      <c r="H94" s="2">
        <f>H6/'Output-Calculation-sheet'!H5*'Output-Calculation-sheet'!H77</f>
        <v>514275457.57588077</v>
      </c>
      <c r="I94" s="2">
        <f>I6/'Output-Calculation-sheet'!I5*'Output-Calculation-sheet'!I77</f>
        <v>328569823.53320104</v>
      </c>
      <c r="J94" s="2">
        <f>J6/'Output-Calculation-sheet'!J5*'Output-Calculation-sheet'!J77</f>
        <v>242586852.78628051</v>
      </c>
      <c r="K94" s="2">
        <f>K6/'Output-Calculation-sheet'!K5*'Output-Calculation-sheet'!K77</f>
        <v>322047973.22607458</v>
      </c>
      <c r="L94" s="2">
        <f>L6/'Output-Calculation-sheet'!L5*'Output-Calculation-sheet'!L77</f>
        <v>259806878.56066936</v>
      </c>
      <c r="M94" s="2">
        <f>M6/'Output-Calculation-sheet'!M5*'Output-Calculation-sheet'!M77</f>
        <v>383292309.35401726</v>
      </c>
      <c r="N94" s="2">
        <f>N6/'Output-Calculation-sheet'!N5*'Output-Calculation-sheet'!N77</f>
        <v>262671069.56676868</v>
      </c>
      <c r="O94" s="2">
        <f>O6/'Output-Calculation-sheet'!O5*'Output-Calculation-sheet'!O77</f>
        <v>103609694.68289277</v>
      </c>
      <c r="P94" s="2">
        <f>P6/'Output-Calculation-sheet'!P5*'Output-Calculation-sheet'!P77</f>
        <v>503934556.85615987</v>
      </c>
      <c r="Q94" s="2">
        <f>Q6/'Output-Calculation-sheet'!Q5*'Output-Calculation-sheet'!Q77</f>
        <v>212253549.78919241</v>
      </c>
      <c r="R94" s="2">
        <f>R6/'Output-Calculation-sheet'!R5*'Output-Calculation-sheet'!R77</f>
        <v>278762953.3291865</v>
      </c>
      <c r="S94" s="2">
        <f>S6/'Output-Calculation-sheet'!S5*'Output-Calculation-sheet'!S77</f>
        <v>160355746.27593184</v>
      </c>
      <c r="T94" s="2">
        <f>T6/'Output-Calculation-sheet'!T5*'Output-Calculation-sheet'!T77</f>
        <v>104610246.95976146</v>
      </c>
      <c r="U94" s="2">
        <f>U6/'Output-Calculation-sheet'!U5*'Output-Calculation-sheet'!U77</f>
        <v>79574127.046810314</v>
      </c>
      <c r="V94" s="2">
        <f>V6/'Output-Calculation-sheet'!V5*'Output-Calculation-sheet'!V77</f>
        <v>36980089.215522304</v>
      </c>
      <c r="W94" s="2">
        <f>W6/'Output-Calculation-sheet'!W5*'Output-Calculation-sheet'!W77</f>
        <v>109833137.57706434</v>
      </c>
      <c r="X94" s="2">
        <f>X6/'Output-Calculation-sheet'!X5*'Output-Calculation-sheet'!X77</f>
        <v>44375849.832843132</v>
      </c>
      <c r="Y94" s="2">
        <f>Y6/'Output-Calculation-sheet'!Y5*'Output-Calculation-sheet'!Y77</f>
        <v>64974805.818318292</v>
      </c>
      <c r="AA94" s="2">
        <f t="shared" ref="AA94:AA100" si="8">SUM(B94:Y94)/10^9</f>
        <v>11.723269542278482</v>
      </c>
    </row>
    <row r="95" spans="1:27" x14ac:dyDescent="0.25">
      <c r="A95" s="2">
        <v>2030</v>
      </c>
      <c r="B95" s="2">
        <f>B7/'Output-Calculation-sheet'!B6*'Output-Calculation-sheet'!B78</f>
        <v>4856045895.6874008</v>
      </c>
      <c r="C95" s="2">
        <f>C7/'Output-Calculation-sheet'!C6*'Output-Calculation-sheet'!C78</f>
        <v>1200323521.9419932</v>
      </c>
      <c r="D95" s="2">
        <f>D7/'Output-Calculation-sheet'!D6*'Output-Calculation-sheet'!D78</f>
        <v>1037099547.4730662</v>
      </c>
      <c r="E95" s="2">
        <f>E7/'Output-Calculation-sheet'!E6*'Output-Calculation-sheet'!E78</f>
        <v>3456155413.695045</v>
      </c>
      <c r="F95" s="2">
        <f>F7/'Output-Calculation-sheet'!F6*'Output-Calculation-sheet'!F78</f>
        <v>1069778140.3654441</v>
      </c>
      <c r="G95" s="2">
        <f>G7/'Output-Calculation-sheet'!G6*'Output-Calculation-sheet'!G78</f>
        <v>718225506.24027288</v>
      </c>
      <c r="H95" s="2">
        <f>H7/'Output-Calculation-sheet'!H6*'Output-Calculation-sheet'!H78</f>
        <v>833936257.55695319</v>
      </c>
      <c r="I95" s="2">
        <f>I7/'Output-Calculation-sheet'!I6*'Output-Calculation-sheet'!I78</f>
        <v>493992542.76941019</v>
      </c>
      <c r="J95" s="2">
        <f>J7/'Output-Calculation-sheet'!J6*'Output-Calculation-sheet'!J78</f>
        <v>380043091.34502769</v>
      </c>
      <c r="K95" s="2">
        <f>K7/'Output-Calculation-sheet'!K6*'Output-Calculation-sheet'!K78</f>
        <v>483680665.29490978</v>
      </c>
      <c r="L95" s="2">
        <f>L7/'Output-Calculation-sheet'!L6*'Output-Calculation-sheet'!L78</f>
        <v>414801951.05101061</v>
      </c>
      <c r="M95" s="2">
        <f>M7/'Output-Calculation-sheet'!M6*'Output-Calculation-sheet'!M78</f>
        <v>630196653.7343142</v>
      </c>
      <c r="N95" s="2">
        <f>N7/'Output-Calculation-sheet'!N6*'Output-Calculation-sheet'!N78</f>
        <v>424504353.39298773</v>
      </c>
      <c r="O95" s="2">
        <f>O7/'Output-Calculation-sheet'!O6*'Output-Calculation-sheet'!O78</f>
        <v>160953098.01401642</v>
      </c>
      <c r="P95" s="2">
        <f>P7/'Output-Calculation-sheet'!P6*'Output-Calculation-sheet'!P78</f>
        <v>813390687.68111122</v>
      </c>
      <c r="Q95" s="2">
        <f>Q7/'Output-Calculation-sheet'!Q6*'Output-Calculation-sheet'!Q78</f>
        <v>342178117.30573624</v>
      </c>
      <c r="R95" s="2">
        <f>R7/'Output-Calculation-sheet'!R6*'Output-Calculation-sheet'!R78</f>
        <v>448526519.97530079</v>
      </c>
      <c r="S95" s="2">
        <f>S7/'Output-Calculation-sheet'!S6*'Output-Calculation-sheet'!S78</f>
        <v>256345635.22405222</v>
      </c>
      <c r="T95" s="2">
        <f>T7/'Output-Calculation-sheet'!T6*'Output-Calculation-sheet'!T78</f>
        <v>159847154.90818501</v>
      </c>
      <c r="U95" s="2">
        <f>U7/'Output-Calculation-sheet'!U6*'Output-Calculation-sheet'!U78</f>
        <v>124304037.99442326</v>
      </c>
      <c r="V95" s="2">
        <f>V7/'Output-Calculation-sheet'!V6*'Output-Calculation-sheet'!V78</f>
        <v>56905583.368887618</v>
      </c>
      <c r="W95" s="2">
        <f>W7/'Output-Calculation-sheet'!W6*'Output-Calculation-sheet'!W78</f>
        <v>173276208.32471871</v>
      </c>
      <c r="X95" s="2">
        <f>X7/'Output-Calculation-sheet'!X6*'Output-Calculation-sheet'!X78</f>
        <v>73384610.542972744</v>
      </c>
      <c r="Y95" s="2">
        <f>Y7/'Output-Calculation-sheet'!Y6*'Output-Calculation-sheet'!Y78</f>
        <v>105276846.45608607</v>
      </c>
      <c r="AA95" s="2">
        <f t="shared" si="8"/>
        <v>18.713172040343327</v>
      </c>
    </row>
    <row r="96" spans="1:27" x14ac:dyDescent="0.25">
      <c r="A96" s="2">
        <v>2031</v>
      </c>
      <c r="B96" s="2">
        <f>B8/'Output-Calculation-sheet'!B7*'Output-Calculation-sheet'!B79</f>
        <v>6405818288.601368</v>
      </c>
      <c r="C96" s="2">
        <f>C8/'Output-Calculation-sheet'!C7*'Output-Calculation-sheet'!C79</f>
        <v>1546897765.5503957</v>
      </c>
      <c r="D96" s="2">
        <f>D8/'Output-Calculation-sheet'!D7*'Output-Calculation-sheet'!D79</f>
        <v>1255850848.7344809</v>
      </c>
      <c r="E96" s="2">
        <f>E8/'Output-Calculation-sheet'!E7*'Output-Calculation-sheet'!E79</f>
        <v>4705216270.6827984</v>
      </c>
      <c r="F96" s="2">
        <f>F8/'Output-Calculation-sheet'!F7*'Output-Calculation-sheet'!F79</f>
        <v>1372583585.1133704</v>
      </c>
      <c r="G96" s="2">
        <f>G8/'Output-Calculation-sheet'!G7*'Output-Calculation-sheet'!G79</f>
        <v>881000989.91890335</v>
      </c>
      <c r="H96" s="2">
        <f>H8/'Output-Calculation-sheet'!H7*'Output-Calculation-sheet'!H79</f>
        <v>1085362544.7979765</v>
      </c>
      <c r="I96" s="2">
        <f>I8/'Output-Calculation-sheet'!I7*'Output-Calculation-sheet'!I79</f>
        <v>633525393.13286161</v>
      </c>
      <c r="J96" s="2">
        <f>J8/'Output-Calculation-sheet'!J7*'Output-Calculation-sheet'!J79</f>
        <v>480088128.43491352</v>
      </c>
      <c r="K96" s="2">
        <f>K8/'Output-Calculation-sheet'!K7*'Output-Calculation-sheet'!K79</f>
        <v>602092716.64281571</v>
      </c>
      <c r="L96" s="2">
        <f>L8/'Output-Calculation-sheet'!L7*'Output-Calculation-sheet'!L79</f>
        <v>546596288.58796215</v>
      </c>
      <c r="M96" s="2">
        <f>M8/'Output-Calculation-sheet'!M7*'Output-Calculation-sheet'!M79</f>
        <v>837461106.35858595</v>
      </c>
      <c r="N96" s="2">
        <f>N8/'Output-Calculation-sheet'!N7*'Output-Calculation-sheet'!N79</f>
        <v>544406261.45259333</v>
      </c>
      <c r="O96" s="2">
        <f>O8/'Output-Calculation-sheet'!O7*'Output-Calculation-sheet'!O79</f>
        <v>204272958.78250888</v>
      </c>
      <c r="P96" s="2">
        <f>P8/'Output-Calculation-sheet'!P7*'Output-Calculation-sheet'!P79</f>
        <v>1036826742.2423505</v>
      </c>
      <c r="Q96" s="2">
        <f>Q8/'Output-Calculation-sheet'!Q7*'Output-Calculation-sheet'!Q79</f>
        <v>440203693.99150795</v>
      </c>
      <c r="R96" s="2">
        <f>R8/'Output-Calculation-sheet'!R7*'Output-Calculation-sheet'!R79</f>
        <v>584273554.0559727</v>
      </c>
      <c r="S96" s="2">
        <f>S8/'Output-Calculation-sheet'!S7*'Output-Calculation-sheet'!S79</f>
        <v>329507371.64246798</v>
      </c>
      <c r="T96" s="2">
        <f>T8/'Output-Calculation-sheet'!T7*'Output-Calculation-sheet'!T79</f>
        <v>198785781.45301202</v>
      </c>
      <c r="U96" s="2">
        <f>U8/'Output-Calculation-sheet'!U7*'Output-Calculation-sheet'!U79</f>
        <v>156469049.92837143</v>
      </c>
      <c r="V96" s="2">
        <f>V8/'Output-Calculation-sheet'!V7*'Output-Calculation-sheet'!V79</f>
        <v>71814156.691038176</v>
      </c>
      <c r="W96" s="2">
        <f>W8/'Output-Calculation-sheet'!W7*'Output-Calculation-sheet'!W79</f>
        <v>221107531.51523644</v>
      </c>
      <c r="X96" s="2">
        <f>X8/'Output-Calculation-sheet'!X7*'Output-Calculation-sheet'!X79</f>
        <v>99724391.761997029</v>
      </c>
      <c r="Y96" s="2">
        <f>Y8/'Output-Calculation-sheet'!Y7*'Output-Calculation-sheet'!Y79</f>
        <v>137239027.31398591</v>
      </c>
      <c r="AA96" s="2">
        <f t="shared" si="8"/>
        <v>24.37712444738748</v>
      </c>
    </row>
    <row r="97" spans="1:27" x14ac:dyDescent="0.25">
      <c r="A97" s="2">
        <v>2032</v>
      </c>
      <c r="B97" s="2">
        <f>B9/'Output-Calculation-sheet'!B8*'Output-Calculation-sheet'!B80</f>
        <v>7364610384.4186382</v>
      </c>
      <c r="C97" s="2">
        <f>C9/'Output-Calculation-sheet'!C8*'Output-Calculation-sheet'!C80</f>
        <v>1739387268.7062769</v>
      </c>
      <c r="D97" s="2">
        <f>D9/'Output-Calculation-sheet'!D8*'Output-Calculation-sheet'!D80</f>
        <v>1328703426.889292</v>
      </c>
      <c r="E97" s="2">
        <f>E9/'Output-Calculation-sheet'!E8*'Output-Calculation-sheet'!E80</f>
        <v>5593646254.6286392</v>
      </c>
      <c r="F97" s="2">
        <f>F9/'Output-Calculation-sheet'!F8*'Output-Calculation-sheet'!F80</f>
        <v>1533970956.2393346</v>
      </c>
      <c r="G97" s="2">
        <f>G9/'Output-Calculation-sheet'!G8*'Output-Calculation-sheet'!G80</f>
        <v>939933213.83309209</v>
      </c>
      <c r="H97" s="2">
        <f>H9/'Output-Calculation-sheet'!H8*'Output-Calculation-sheet'!H80</f>
        <v>1230708289.0553696</v>
      </c>
      <c r="I97" s="2">
        <f>I9/'Output-Calculation-sheet'!I8*'Output-Calculation-sheet'!I80</f>
        <v>708887792.289361</v>
      </c>
      <c r="J97" s="2">
        <f>J9/'Output-Calculation-sheet'!J8*'Output-Calculation-sheet'!J80</f>
        <v>529736202.88841349</v>
      </c>
      <c r="K97" s="2">
        <f>K9/'Output-Calculation-sheet'!K8*'Output-Calculation-sheet'!K80</f>
        <v>653343969.4772476</v>
      </c>
      <c r="L97" s="2">
        <f>L9/'Output-Calculation-sheet'!L8*'Output-Calculation-sheet'!L80</f>
        <v>630194020.24315178</v>
      </c>
      <c r="M97" s="2">
        <f>M9/'Output-Calculation-sheet'!M8*'Output-Calculation-sheet'!M80</f>
        <v>970946231.70174313</v>
      </c>
      <c r="N97" s="2">
        <f>N9/'Output-Calculation-sheet'!N8*'Output-Calculation-sheet'!N80</f>
        <v>610051419.59738016</v>
      </c>
      <c r="O97" s="2">
        <f>O9/'Output-Calculation-sheet'!O8*'Output-Calculation-sheet'!O80</f>
        <v>226767193.45183843</v>
      </c>
      <c r="P97" s="2">
        <f>P9/'Output-Calculation-sheet'!P8*'Output-Calculation-sheet'!P80</f>
        <v>1143693056.0012565</v>
      </c>
      <c r="Q97" s="2">
        <f>Q9/'Output-Calculation-sheet'!Q8*'Output-Calculation-sheet'!Q80</f>
        <v>494687890.22323585</v>
      </c>
      <c r="R97" s="2">
        <f>R9/'Output-Calculation-sheet'!R8*'Output-Calculation-sheet'!R80</f>
        <v>662883969.53369522</v>
      </c>
      <c r="S97" s="2">
        <f>S9/'Output-Calculation-sheet'!S8*'Output-Calculation-sheet'!S80</f>
        <v>368936658.82970482</v>
      </c>
      <c r="T97" s="2">
        <f>T9/'Output-Calculation-sheet'!T8*'Output-Calculation-sheet'!T80</f>
        <v>215125402.32338965</v>
      </c>
      <c r="U97" s="2">
        <f>U9/'Output-Calculation-sheet'!U8*'Output-Calculation-sheet'!U80</f>
        <v>171179951.01197743</v>
      </c>
      <c r="V97" s="2">
        <f>V9/'Output-Calculation-sheet'!V8*'Output-Calculation-sheet'!V80</f>
        <v>78958470.72483024</v>
      </c>
      <c r="W97" s="2">
        <f>W9/'Output-Calculation-sheet'!W8*'Output-Calculation-sheet'!W80</f>
        <v>244334203.77740166</v>
      </c>
      <c r="X97" s="2">
        <f>X9/'Output-Calculation-sheet'!X8*'Output-Calculation-sheet'!X80</f>
        <v>118339117.61461031</v>
      </c>
      <c r="Y97" s="2">
        <f>Y9/'Output-Calculation-sheet'!Y8*'Output-Calculation-sheet'!Y80</f>
        <v>155344339.47485071</v>
      </c>
      <c r="AA97" s="2">
        <f t="shared" si="8"/>
        <v>27.714369682934734</v>
      </c>
    </row>
    <row r="98" spans="1:27" x14ac:dyDescent="0.25">
      <c r="A98" s="2">
        <v>2033</v>
      </c>
      <c r="B98" s="2">
        <f>B10/'Output-Calculation-sheet'!B9*'Output-Calculation-sheet'!B81</f>
        <v>8044782290.796011</v>
      </c>
      <c r="C98" s="2">
        <f>C10/'Output-Calculation-sheet'!C9*'Output-Calculation-sheet'!C81</f>
        <v>1862855880.0995905</v>
      </c>
      <c r="D98" s="2">
        <f>D10/'Output-Calculation-sheet'!D9*'Output-Calculation-sheet'!D81</f>
        <v>1340133033.8590844</v>
      </c>
      <c r="E98" s="2">
        <f>E10/'Output-Calculation-sheet'!E9*'Output-Calculation-sheet'!E81</f>
        <v>6325940312.4328365</v>
      </c>
      <c r="F98" s="2">
        <f>F10/'Output-Calculation-sheet'!F9*'Output-Calculation-sheet'!F81</f>
        <v>1629882026.8064573</v>
      </c>
      <c r="G98" s="2">
        <f>G10/'Output-Calculation-sheet'!G9*'Output-Calculation-sheet'!G81</f>
        <v>952210490.21608794</v>
      </c>
      <c r="H98" s="2">
        <f>H10/'Output-Calculation-sheet'!H9*'Output-Calculation-sheet'!H81</f>
        <v>1325623202.7956047</v>
      </c>
      <c r="I98" s="2">
        <f>I10/'Output-Calculation-sheet'!I9*'Output-Calculation-sheet'!I81</f>
        <v>755463182.97355866</v>
      </c>
      <c r="J98" s="2">
        <f>J10/'Output-Calculation-sheet'!J9*'Output-Calculation-sheet'!J81</f>
        <v>557300463.5136174</v>
      </c>
      <c r="K98" s="2">
        <f>K10/'Output-Calculation-sheet'!K9*'Output-Calculation-sheet'!K81</f>
        <v>674862816.67021239</v>
      </c>
      <c r="L98" s="2">
        <f>L10/'Output-Calculation-sheet'!L9*'Output-Calculation-sheet'!L81</f>
        <v>691666741.52884614</v>
      </c>
      <c r="M98" s="2">
        <f>M10/'Output-Calculation-sheet'!M9*'Output-Calculation-sheet'!M81</f>
        <v>1071836566.702764</v>
      </c>
      <c r="N98" s="2">
        <f>N10/'Output-Calculation-sheet'!N9*'Output-Calculation-sheet'!N81</f>
        <v>651371432.98264027</v>
      </c>
      <c r="O98" s="2">
        <f>O10/'Output-Calculation-sheet'!O9*'Output-Calculation-sheet'!O81</f>
        <v>240245367.84198019</v>
      </c>
      <c r="P98" s="2">
        <f>P10/'Output-Calculation-sheet'!P9*'Output-Calculation-sheet'!P81</f>
        <v>1191859610.685859</v>
      </c>
      <c r="Q98" s="2">
        <f>Q10/'Output-Calculation-sheet'!Q9*'Output-Calculation-sheet'!Q81</f>
        <v>529582987.59076047</v>
      </c>
      <c r="R98" s="2">
        <f>R10/'Output-Calculation-sheet'!R9*'Output-Calculation-sheet'!R81</f>
        <v>714817539.36641872</v>
      </c>
      <c r="S98" s="2">
        <f>S10/'Output-Calculation-sheet'!S9*'Output-Calculation-sheet'!S81</f>
        <v>392577900.80510938</v>
      </c>
      <c r="T98" s="2">
        <f>T10/'Output-Calculation-sheet'!T9*'Output-Calculation-sheet'!T81</f>
        <v>221184537.31955984</v>
      </c>
      <c r="U98" s="2">
        <f>U10/'Output-Calculation-sheet'!U9*'Output-Calculation-sheet'!U81</f>
        <v>177728252.369066</v>
      </c>
      <c r="V98" s="2">
        <f>V10/'Output-Calculation-sheet'!V9*'Output-Calculation-sheet'!V81</f>
        <v>82545549.743021414</v>
      </c>
      <c r="W98" s="2">
        <f>W10/'Output-Calculation-sheet'!W9*'Output-Calculation-sheet'!W81</f>
        <v>255270354.62259936</v>
      </c>
      <c r="X98" s="2">
        <f>X10/'Output-Calculation-sheet'!X9*'Output-Calculation-sheet'!X81</f>
        <v>133822198.47007163</v>
      </c>
      <c r="Y98" s="2">
        <f>Y10/'Output-Calculation-sheet'!Y9*'Output-Calculation-sheet'!Y81</f>
        <v>166605590.14353743</v>
      </c>
      <c r="AA98" s="2">
        <f t="shared" si="8"/>
        <v>29.990168330335294</v>
      </c>
    </row>
    <row r="99" spans="1:27" x14ac:dyDescent="0.25">
      <c r="A99" s="2">
        <v>2034</v>
      </c>
      <c r="B99" s="2">
        <f>B11/'Output-Calculation-sheet'!B10*'Output-Calculation-sheet'!B82</f>
        <v>8509613104.9938421</v>
      </c>
      <c r="C99" s="2">
        <f>C11/'Output-Calculation-sheet'!C10*'Output-Calculation-sheet'!C82</f>
        <v>1937067459.0280778</v>
      </c>
      <c r="D99" s="2">
        <f>D11/'Output-Calculation-sheet'!D10*'Output-Calculation-sheet'!D82</f>
        <v>1313969145.2025793</v>
      </c>
      <c r="E99" s="2">
        <f>E11/'Output-Calculation-sheet'!E10*'Output-Calculation-sheet'!E82</f>
        <v>6934904552.629878</v>
      </c>
      <c r="F99" s="2">
        <f>F11/'Output-Calculation-sheet'!F10*'Output-Calculation-sheet'!F82</f>
        <v>1678636541.8999679</v>
      </c>
      <c r="G99" s="2">
        <f>G11/'Output-Calculation-sheet'!G10*'Output-Calculation-sheet'!G82</f>
        <v>934262488.17741597</v>
      </c>
      <c r="H99" s="2">
        <f>H11/'Output-Calculation-sheet'!H10*'Output-Calculation-sheet'!H82</f>
        <v>1382464907.6188583</v>
      </c>
      <c r="I99" s="2">
        <f>I11/'Output-Calculation-sheet'!I10*'Output-Calculation-sheet'!I82</f>
        <v>781724481.5776521</v>
      </c>
      <c r="J99" s="2">
        <f>J11/'Output-Calculation-sheet'!J10*'Output-Calculation-sheet'!J82</f>
        <v>569873295.10447228</v>
      </c>
      <c r="K99" s="2">
        <f>K11/'Output-Calculation-sheet'!K10*'Output-Calculation-sheet'!K82</f>
        <v>676641968.51373303</v>
      </c>
      <c r="L99" s="2">
        <f>L11/'Output-Calculation-sheet'!L10*'Output-Calculation-sheet'!L82</f>
        <v>736583487.58964729</v>
      </c>
      <c r="M99" s="2">
        <f>M11/'Output-Calculation-sheet'!M10*'Output-Calculation-sheet'!M82</f>
        <v>1148222810.8101113</v>
      </c>
      <c r="N99" s="2">
        <f>N11/'Output-Calculation-sheet'!N10*'Output-Calculation-sheet'!N82</f>
        <v>675581130.48046911</v>
      </c>
      <c r="O99" s="2">
        <f>O11/'Output-Calculation-sheet'!O10*'Output-Calculation-sheet'!O82</f>
        <v>247599409.73400834</v>
      </c>
      <c r="P99" s="2">
        <f>P11/'Output-Calculation-sheet'!P10*'Output-Calculation-sheet'!P82</f>
        <v>1196801738.6448383</v>
      </c>
      <c r="Q99" s="2">
        <f>Q11/'Output-Calculation-sheet'!Q10*'Output-Calculation-sheet'!Q82</f>
        <v>550515752.06645715</v>
      </c>
      <c r="R99" s="2">
        <f>R11/'Output-Calculation-sheet'!R10*'Output-Calculation-sheet'!R82</f>
        <v>746760266.57522118</v>
      </c>
      <c r="S99" s="2">
        <f>S11/'Output-Calculation-sheet'!S10*'Output-Calculation-sheet'!S82</f>
        <v>404681225.70119339</v>
      </c>
      <c r="T99" s="2">
        <f>T11/'Output-Calculation-sheet'!T10*'Output-Calculation-sheet'!T82</f>
        <v>220365954.07329679</v>
      </c>
      <c r="U99" s="2">
        <f>U11/'Output-Calculation-sheet'!U10*'Output-Calculation-sheet'!U82</f>
        <v>178592099.40606153</v>
      </c>
      <c r="V99" s="2">
        <f>V11/'Output-Calculation-sheet'!V10*'Output-Calculation-sheet'!V82</f>
        <v>83656592.653310031</v>
      </c>
      <c r="W99" s="2">
        <f>W11/'Output-Calculation-sheet'!W10*'Output-Calculation-sheet'!W82</f>
        <v>257158196.06632656</v>
      </c>
      <c r="X99" s="2">
        <f>X11/'Output-Calculation-sheet'!X10*'Output-Calculation-sheet'!X82</f>
        <v>146976701.27740994</v>
      </c>
      <c r="Y99" s="2">
        <f>Y11/'Output-Calculation-sheet'!Y10*'Output-Calculation-sheet'!Y82</f>
        <v>172606053.07069588</v>
      </c>
      <c r="AA99" s="2">
        <f t="shared" si="8"/>
        <v>31.485259362895523</v>
      </c>
    </row>
    <row r="100" spans="1:27" x14ac:dyDescent="0.25">
      <c r="A100" s="2">
        <v>2035</v>
      </c>
      <c r="B100" s="2">
        <f>B12/'Output-Calculation-sheet'!B11*'Output-Calculation-sheet'!B83</f>
        <v>8776951324.7911625</v>
      </c>
      <c r="C100" s="2">
        <f>C12/'Output-Calculation-sheet'!C11*'Output-Calculation-sheet'!C83</f>
        <v>1969574479.0791795</v>
      </c>
      <c r="D100" s="2">
        <f>D12/'Output-Calculation-sheet'!D11*'Output-Calculation-sheet'!D83</f>
        <v>1261676580.3481834</v>
      </c>
      <c r="E100" s="2">
        <f>E12/'Output-Calculation-sheet'!E11*'Output-Calculation-sheet'!E83</f>
        <v>7419373323.0198355</v>
      </c>
      <c r="F100" s="2">
        <f>F12/'Output-Calculation-sheet'!F11*'Output-Calculation-sheet'!F83</f>
        <v>1687996526.0571887</v>
      </c>
      <c r="G100" s="2">
        <f>G12/'Output-Calculation-sheet'!G11*'Output-Calculation-sheet'!G83</f>
        <v>894582958.1583339</v>
      </c>
      <c r="H100" s="2">
        <f>H12/'Output-Calculation-sheet'!H11*'Output-Calculation-sheet'!H83</f>
        <v>1405751369.3004808</v>
      </c>
      <c r="I100" s="2">
        <f>I12/'Output-Calculation-sheet'!I11*'Output-Calculation-sheet'!I83</f>
        <v>791087034.08049369</v>
      </c>
      <c r="J100" s="2">
        <f>J12/'Output-Calculation-sheet'!J11*'Output-Calculation-sheet'!J83</f>
        <v>570468851.57661831</v>
      </c>
      <c r="K100" s="2">
        <f>K12/'Output-Calculation-sheet'!K11*'Output-Calculation-sheet'!K83</f>
        <v>663401283.90786171</v>
      </c>
      <c r="L100" s="2">
        <f>L12/'Output-Calculation-sheet'!L11*'Output-Calculation-sheet'!L83</f>
        <v>766458281.82415271</v>
      </c>
      <c r="M100" s="2">
        <f>M12/'Output-Calculation-sheet'!M11*'Output-Calculation-sheet'!M83</f>
        <v>1201981861.2715237</v>
      </c>
      <c r="N100" s="2">
        <f>N12/'Output-Calculation-sheet'!N11*'Output-Calculation-sheet'!N83</f>
        <v>685518990.71667111</v>
      </c>
      <c r="O100" s="2">
        <f>O12/'Output-Calculation-sheet'!O11*'Output-Calculation-sheet'!O83</f>
        <v>249987578.51238623</v>
      </c>
      <c r="P100" s="2">
        <f>P12/'Output-Calculation-sheet'!P11*'Output-Calculation-sheet'!P83</f>
        <v>1167072493.6323895</v>
      </c>
      <c r="Q100" s="2">
        <f>Q12/'Output-Calculation-sheet'!Q11*'Output-Calculation-sheet'!Q83</f>
        <v>559612156.29206264</v>
      </c>
      <c r="R100" s="2">
        <f>R12/'Output-Calculation-sheet'!R11*'Output-Calculation-sheet'!R83</f>
        <v>761112843.68680763</v>
      </c>
      <c r="S100" s="2">
        <f>S12/'Output-Calculation-sheet'!S11*'Output-Calculation-sheet'!S83</f>
        <v>407004762.52097231</v>
      </c>
      <c r="T100" s="2">
        <f>T12/'Output-Calculation-sheet'!T11*'Output-Calculation-sheet'!T83</f>
        <v>214370771.03784496</v>
      </c>
      <c r="U100" s="2">
        <f>U12/'Output-Calculation-sheet'!U11*'Output-Calculation-sheet'!U83</f>
        <v>175003104.40258974</v>
      </c>
      <c r="V100" s="2">
        <f>V12/'Output-Calculation-sheet'!V11*'Output-Calculation-sheet'!V83</f>
        <v>82788699.790861368</v>
      </c>
      <c r="W100" s="2">
        <f>W12/'Output-Calculation-sheet'!W11*'Output-Calculation-sheet'!W83</f>
        <v>251733268.55485886</v>
      </c>
      <c r="X100" s="2">
        <f>X12/'Output-Calculation-sheet'!X11*'Output-Calculation-sheet'!X83</f>
        <v>157865285.48347494</v>
      </c>
      <c r="Y100" s="2">
        <f>Y12/'Output-Calculation-sheet'!Y11*'Output-Calculation-sheet'!Y83</f>
        <v>174015525.48075244</v>
      </c>
      <c r="AA100" s="2">
        <f t="shared" si="8"/>
        <v>32.29538935352668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2797010058.1401238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872645693.78498471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602049457.48055053</v>
      </c>
      <c r="N104" s="2">
        <f>N5/'Output-Calculation-sheet'!N4*'Output-Calculation-sheet'!N85</f>
        <v>0</v>
      </c>
      <c r="O104" s="2">
        <f>O5/'Output-Calculation-sheet'!O4*'Output-Calculation-sheet'!O85</f>
        <v>543461504.65322769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65203907.250725277</v>
      </c>
      <c r="Y104" s="2">
        <f>Y5/'Output-Calculation-sheet'!Y4*'Output-Calculation-sheet'!Y85</f>
        <v>0</v>
      </c>
      <c r="AA104" s="2">
        <f>SUM(B104:Y104)/10^6</f>
        <v>4880.370621309612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7030533234.5751534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2193472121.8629766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1513304552.318917</v>
      </c>
      <c r="N105" s="2">
        <f>N6/'Output-Calculation-sheet'!N5*'Output-Calculation-sheet'!N86</f>
        <v>0</v>
      </c>
      <c r="O105" s="2">
        <f>O6/'Output-Calculation-sheet'!O5*'Output-Calculation-sheet'!O86</f>
        <v>1366038981.483865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163895735.64546469</v>
      </c>
      <c r="Y105" s="2">
        <f>Y6/'Output-Calculation-sheet'!Y5*'Output-Calculation-sheet'!Y86</f>
        <v>0</v>
      </c>
      <c r="AA105" s="2">
        <f t="shared" ref="AA105:AA111" si="9">SUM(B105:Y105)/10^6</f>
        <v>12267.244625886375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11207411181.716429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3814819456.6083083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2631900986.3673763</v>
      </c>
      <c r="N106" s="2">
        <f>N7/'Output-Calculation-sheet'!N6*'Output-Calculation-sheet'!N87</f>
        <v>846867381.34648454</v>
      </c>
      <c r="O106" s="2">
        <f>O7/'Output-Calculation-sheet'!O6*'Output-Calculation-sheet'!O87</f>
        <v>1868110243.9983029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179400908.83652538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285036729.08679581</v>
      </c>
      <c r="Y106" s="2">
        <f>Y7/'Output-Calculation-sheet'!Y6*'Output-Calculation-sheet'!Y87</f>
        <v>0</v>
      </c>
      <c r="AA106" s="2">
        <f t="shared" si="9"/>
        <v>20833.546887960223</v>
      </c>
    </row>
    <row r="107" spans="1:27" x14ac:dyDescent="0.25">
      <c r="A107" s="2">
        <v>2031</v>
      </c>
      <c r="B107" s="2">
        <f>B8/'Output-Calculation-sheet'!B7*'Output-Calculation-sheet'!B88</f>
        <v>1063562978.1180419</v>
      </c>
      <c r="C107" s="2">
        <f>C8/'Output-Calculation-sheet'!C7*'Output-Calculation-sheet'!C88</f>
        <v>13714968679.478088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5464992256.6198359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3770387639.7208719</v>
      </c>
      <c r="N107" s="2">
        <f>N8/'Output-Calculation-sheet'!N7*'Output-Calculation-sheet'!N88</f>
        <v>1258674275.9055109</v>
      </c>
      <c r="O107" s="2">
        <f>O8/'Output-Calculation-sheet'!O7*'Output-Calculation-sheet'!O88</f>
        <v>2160833861.9887986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378152344.60549444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408333857.71177733</v>
      </c>
      <c r="Y107" s="2">
        <f>Y8/'Output-Calculation-sheet'!Y7*'Output-Calculation-sheet'!Y88</f>
        <v>0</v>
      </c>
      <c r="AA107" s="2">
        <f t="shared" si="9"/>
        <v>28219.905894148418</v>
      </c>
    </row>
    <row r="108" spans="1:27" x14ac:dyDescent="0.25">
      <c r="A108" s="2">
        <v>2032</v>
      </c>
      <c r="B108" s="2">
        <f>B9/'Output-Calculation-sheet'!B8*'Output-Calculation-sheet'!B89</f>
        <v>4380942432.0036545</v>
      </c>
      <c r="C108" s="2">
        <f>C9/'Output-Calculation-sheet'!C8*'Output-Calculation-sheet'!C89</f>
        <v>14881850545.83791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6851781744.7299814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4727133620.2158146</v>
      </c>
      <c r="N108" s="2">
        <f>N9/'Output-Calculation-sheet'!N8*'Output-Calculation-sheet'!N89</f>
        <v>2224490212.7198625</v>
      </c>
      <c r="O108" s="2">
        <f>O9/'Output-Calculation-sheet'!O8*'Output-Calculation-sheet'!O89</f>
        <v>2381581987.6655369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661976790.12301075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511962700.93817419</v>
      </c>
      <c r="Y108" s="2">
        <f>Y9/'Output-Calculation-sheet'!Y8*'Output-Calculation-sheet'!Y89</f>
        <v>0</v>
      </c>
      <c r="AA108" s="2">
        <f t="shared" si="9"/>
        <v>36621.720034233942</v>
      </c>
    </row>
    <row r="109" spans="1:27" x14ac:dyDescent="0.25">
      <c r="A109" s="2">
        <v>2033</v>
      </c>
      <c r="B109" s="2">
        <f>B10/'Output-Calculation-sheet'!B9*'Output-Calculation-sheet'!B90</f>
        <v>11212370513.721193</v>
      </c>
      <c r="C109" s="2">
        <f>C10/'Output-Calculation-sheet'!C9*'Output-Calculation-sheet'!C90</f>
        <v>16538674290.817635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8205154451.9246988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5660843537.6560078</v>
      </c>
      <c r="N109" s="2">
        <f>N10/'Output-Calculation-sheet'!N9*'Output-Calculation-sheet'!N90</f>
        <v>3334701576.2566328</v>
      </c>
      <c r="O109" s="2">
        <f>O10/'Output-Calculation-sheet'!O9*'Output-Calculation-sheet'!O90</f>
        <v>2583668717.5052981</v>
      </c>
      <c r="P109" s="2">
        <f>P10/'Output-Calculation-sheet'!P9*'Output-Calculation-sheet'!P90</f>
        <v>0</v>
      </c>
      <c r="Q109" s="2">
        <f>Q10/'Output-Calculation-sheet'!Q9*'Output-Calculation-sheet'!Q90</f>
        <v>108533405.1482171</v>
      </c>
      <c r="R109" s="2">
        <f>R10/'Output-Calculation-sheet'!R9*'Output-Calculation-sheet'!R90</f>
        <v>-2.2362316669664226E-7</v>
      </c>
      <c r="S109" s="2">
        <f>S10/'Output-Calculation-sheet'!S9*'Output-Calculation-sheet'!S90</f>
        <v>1340429980.5940239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613086482.24938834</v>
      </c>
      <c r="Y109" s="2">
        <f>Y10/'Output-Calculation-sheet'!Y9*'Output-Calculation-sheet'!Y90</f>
        <v>0</v>
      </c>
      <c r="AA109" s="2">
        <f t="shared" si="9"/>
        <v>49597.462955873089</v>
      </c>
    </row>
    <row r="110" spans="1:27" x14ac:dyDescent="0.25">
      <c r="A110" s="2">
        <v>2034</v>
      </c>
      <c r="B110" s="2">
        <f>B11/'Output-Calculation-sheet'!B10*'Output-Calculation-sheet'!B91</f>
        <v>25578481222.946064</v>
      </c>
      <c r="C110" s="2">
        <f>C11/'Output-Calculation-sheet'!C10*'Output-Calculation-sheet'!C91</f>
        <v>18855078346.238132</v>
      </c>
      <c r="D110" s="2">
        <f>D11/'Output-Calculation-sheet'!D10*'Output-Calculation-sheet'!D91</f>
        <v>0</v>
      </c>
      <c r="E110" s="2">
        <f>E11/'Output-Calculation-sheet'!E10*'Output-Calculation-sheet'!E91</f>
        <v>541373711.18280399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9324131487.5111904</v>
      </c>
      <c r="I110" s="2">
        <f>I11/'Output-Calculation-sheet'!I10*'Output-Calculation-sheet'!I91</f>
        <v>-8.9768986629613233E-7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435131728.47545695</v>
      </c>
      <c r="M110" s="2">
        <f>M11/'Output-Calculation-sheet'!M10*'Output-Calculation-sheet'!M91</f>
        <v>6599099469.4353571</v>
      </c>
      <c r="N110" s="2">
        <f>N11/'Output-Calculation-sheet'!N10*'Output-Calculation-sheet'!N91</f>
        <v>4567025943.1283913</v>
      </c>
      <c r="O110" s="2">
        <f>O11/'Output-Calculation-sheet'!O10*'Output-Calculation-sheet'!O91</f>
        <v>2895776379.0311556</v>
      </c>
      <c r="P110" s="2">
        <f>P11/'Output-Calculation-sheet'!P10*'Output-Calculation-sheet'!P91</f>
        <v>0</v>
      </c>
      <c r="Q110" s="2">
        <f>Q11/'Output-Calculation-sheet'!Q10*'Output-Calculation-sheet'!Q91</f>
        <v>731105113.63496387</v>
      </c>
      <c r="R110" s="2">
        <f>R11/'Output-Calculation-sheet'!R10*'Output-Calculation-sheet'!R91</f>
        <v>0</v>
      </c>
      <c r="S110" s="2">
        <f>S11/'Output-Calculation-sheet'!S10*'Output-Calculation-sheet'!S91</f>
        <v>2235754211.6745548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644216803.63277936</v>
      </c>
      <c r="Y110" s="2">
        <f>Y11/'Output-Calculation-sheet'!Y10*'Output-Calculation-sheet'!Y91</f>
        <v>28647247.426022142</v>
      </c>
      <c r="AA110" s="2">
        <f t="shared" si="9"/>
        <v>72435.821664316885</v>
      </c>
    </row>
    <row r="111" spans="1:27" x14ac:dyDescent="0.25">
      <c r="A111" s="2">
        <v>2035</v>
      </c>
      <c r="B111" s="2">
        <f>B12/'Output-Calculation-sheet'!B11*'Output-Calculation-sheet'!B92</f>
        <v>26363086551.358898</v>
      </c>
      <c r="C111" s="2">
        <f>C12/'Output-Calculation-sheet'!C11*'Output-Calculation-sheet'!C92</f>
        <v>23113839412.528576</v>
      </c>
      <c r="D111" s="2">
        <f>D12/'Output-Calculation-sheet'!D11*'Output-Calculation-sheet'!D92</f>
        <v>-6.900231478738415E-7</v>
      </c>
      <c r="E111" s="2">
        <f>E12/'Output-Calculation-sheet'!E11*'Output-Calculation-sheet'!E92</f>
        <v>2138263435.3446789</v>
      </c>
      <c r="F111" s="2">
        <f>F12/'Output-Calculation-sheet'!F11*'Output-Calculation-sheet'!F92</f>
        <v>-1.5158617202180634E-7</v>
      </c>
      <c r="G111" s="2">
        <f>G12/'Output-Calculation-sheet'!G11*'Output-Calculation-sheet'!G92</f>
        <v>0</v>
      </c>
      <c r="H111" s="2">
        <f>H12/'Output-Calculation-sheet'!H11*'Output-Calculation-sheet'!H92</f>
        <v>9607721533.979908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1040427195.197203</v>
      </c>
      <c r="M111" s="2">
        <f>M12/'Output-Calculation-sheet'!M11*'Output-Calculation-sheet'!M92</f>
        <v>6846480960.5141964</v>
      </c>
      <c r="N111" s="2">
        <f>N12/'Output-Calculation-sheet'!N11*'Output-Calculation-sheet'!N92</f>
        <v>4820302830.2270889</v>
      </c>
      <c r="O111" s="2">
        <f>O12/'Output-Calculation-sheet'!O11*'Output-Calculation-sheet'!O92</f>
        <v>3492658438.8589258</v>
      </c>
      <c r="P111" s="2">
        <f>P12/'Output-Calculation-sheet'!P11*'Output-Calculation-sheet'!P92</f>
        <v>207128452.54486522</v>
      </c>
      <c r="Q111" s="2">
        <f>Q12/'Output-Calculation-sheet'!Q11*'Output-Calculation-sheet'!Q92</f>
        <v>916069235.90915585</v>
      </c>
      <c r="R111" s="2">
        <f>R12/'Output-Calculation-sheet'!R11*'Output-Calculation-sheet'!R92</f>
        <v>0</v>
      </c>
      <c r="S111" s="2">
        <f>S12/'Output-Calculation-sheet'!S11*'Output-Calculation-sheet'!S92</f>
        <v>2302777295.5552721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669237732.88788676</v>
      </c>
      <c r="Y111" s="2">
        <f>Y12/'Output-Calculation-sheet'!Y11*'Output-Calculation-sheet'!Y92</f>
        <v>45318915.733321592</v>
      </c>
      <c r="AA111" s="2">
        <f t="shared" si="9"/>
        <v>81563.311990639966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5935296056.8590832</v>
      </c>
      <c r="C115" s="2">
        <f>C5/'Output-Calculation-sheet'!C4*'Output-Calculation-sheet'!C94</f>
        <v>0</v>
      </c>
      <c r="D115" s="2">
        <f>D5/'Output-Calculation-sheet'!D4*'Output-Calculation-sheet'!D94</f>
        <v>2492892690.6380644</v>
      </c>
      <c r="E115" s="2">
        <f>E5/'Output-Calculation-sheet'!E4*'Output-Calculation-sheet'!E94</f>
        <v>1977857224.6425955</v>
      </c>
      <c r="F115" s="2">
        <f>F5/'Output-Calculation-sheet'!F4*'Output-Calculation-sheet'!F94</f>
        <v>1273217670.2218609</v>
      </c>
      <c r="G115" s="2">
        <f>G5/'Output-Calculation-sheet'!G4*'Output-Calculation-sheet'!G94</f>
        <v>894597817.42178309</v>
      </c>
      <c r="H115" s="2">
        <f>H5/'Output-Calculation-sheet'!H4*'Output-Calculation-sheet'!H94</f>
        <v>0</v>
      </c>
      <c r="I115" s="2">
        <f>I5/'Output-Calculation-sheet'!I4*'Output-Calculation-sheet'!I94</f>
        <v>815048967.40594184</v>
      </c>
      <c r="J115" s="2">
        <f>J5/'Output-Calculation-sheet'!J4*'Output-Calculation-sheet'!J94</f>
        <v>793312342.07245028</v>
      </c>
      <c r="K115" s="2">
        <f>K5/'Output-Calculation-sheet'!K4*'Output-Calculation-sheet'!K94</f>
        <v>785707113.07042503</v>
      </c>
      <c r="L115" s="2">
        <f>L5/'Output-Calculation-sheet'!L4*'Output-Calculation-sheet'!L94</f>
        <v>630304510.73948228</v>
      </c>
      <c r="M115" s="2">
        <f>M5/'Output-Calculation-sheet'!M4*'Output-Calculation-sheet'!M94</f>
        <v>0</v>
      </c>
      <c r="N115" s="2">
        <f>N5/'Output-Calculation-sheet'!N4*'Output-Calculation-sheet'!N94</f>
        <v>590909872.44200194</v>
      </c>
      <c r="O115" s="2">
        <f>O5/'Output-Calculation-sheet'!O4*'Output-Calculation-sheet'!O94</f>
        <v>0</v>
      </c>
      <c r="P115" s="2">
        <f>P5/'Output-Calculation-sheet'!P4*'Output-Calculation-sheet'!P94</f>
        <v>537932319.29912806</v>
      </c>
      <c r="Q115" s="2">
        <f>Q5/'Output-Calculation-sheet'!Q4*'Output-Calculation-sheet'!Q94</f>
        <v>529238442.07170475</v>
      </c>
      <c r="R115" s="2">
        <f>R5/'Output-Calculation-sheet'!R4*'Output-Calculation-sheet'!R94</f>
        <v>509151684.87084115</v>
      </c>
      <c r="S115" s="2">
        <f>S5/'Output-Calculation-sheet'!S4*'Output-Calculation-sheet'!S94</f>
        <v>338408318.28768837</v>
      </c>
      <c r="T115" s="2">
        <f>T5/'Output-Calculation-sheet'!T4*'Output-Calculation-sheet'!T94</f>
        <v>187159773.89921784</v>
      </c>
      <c r="U115" s="2">
        <f>U5/'Output-Calculation-sheet'!U4*'Output-Calculation-sheet'!U94</f>
        <v>163009774.5050815</v>
      </c>
      <c r="V115" s="2">
        <f>V5/'Output-Calculation-sheet'!V4*'Output-Calculation-sheet'!V94</f>
        <v>125520786.55754919</v>
      </c>
      <c r="W115" s="2">
        <f>W5/'Output-Calculation-sheet'!W4*'Output-Calculation-sheet'!W94</f>
        <v>108673182.99673106</v>
      </c>
      <c r="X115" s="2">
        <f>X5/'Output-Calculation-sheet'!X4*'Output-Calculation-sheet'!X94</f>
        <v>0</v>
      </c>
      <c r="Y115" s="2">
        <f>Y5/'Output-Calculation-sheet'!Y4*'Output-Calculation-sheet'!Y94</f>
        <v>63410160.132878624</v>
      </c>
      <c r="AA115" s="2">
        <f>SUM(B115:Y115)/10^6</f>
        <v>18751.648708134511</v>
      </c>
    </row>
    <row r="116" spans="1:27" x14ac:dyDescent="0.25">
      <c r="A116" s="2">
        <v>2029</v>
      </c>
      <c r="B116" s="2">
        <f>B6/'Output-Calculation-sheet'!B5*'Output-Calculation-sheet'!B95</f>
        <v>14918896174.133192</v>
      </c>
      <c r="C116" s="2">
        <f>C6/'Output-Calculation-sheet'!C5*'Output-Calculation-sheet'!C95</f>
        <v>0</v>
      </c>
      <c r="D116" s="2">
        <f>D6/'Output-Calculation-sheet'!D5*'Output-Calculation-sheet'!D95</f>
        <v>6266108190.7833252</v>
      </c>
      <c r="E116" s="2">
        <f>E6/'Output-Calculation-sheet'!E5*'Output-Calculation-sheet'!E95</f>
        <v>4971519041.6647654</v>
      </c>
      <c r="F116" s="2">
        <f>F6/'Output-Calculation-sheet'!F5*'Output-Calculation-sheet'!F95</f>
        <v>3200345208.3533731</v>
      </c>
      <c r="G116" s="2">
        <f>G6/'Output-Calculation-sheet'!G5*'Output-Calculation-sheet'!G95</f>
        <v>2248650374.4926581</v>
      </c>
      <c r="H116" s="2">
        <f>H6/'Output-Calculation-sheet'!H5*'Output-Calculation-sheet'!H95</f>
        <v>0</v>
      </c>
      <c r="I116" s="2">
        <f>I6/'Output-Calculation-sheet'!I5*'Output-Calculation-sheet'!I95</f>
        <v>2048698288.8299224</v>
      </c>
      <c r="J116" s="2">
        <f>J6/'Output-Calculation-sheet'!J5*'Output-Calculation-sheet'!J95</f>
        <v>1994061039.4768646</v>
      </c>
      <c r="K116" s="2">
        <f>K6/'Output-Calculation-sheet'!K5*'Output-Calculation-sheet'!K95</f>
        <v>1974944000.3534336</v>
      </c>
      <c r="L116" s="2">
        <f>L6/'Output-Calculation-sheet'!L5*'Output-Calculation-sheet'!L95</f>
        <v>1584326374.3802431</v>
      </c>
      <c r="M116" s="2">
        <f>M6/'Output-Calculation-sheet'!M5*'Output-Calculation-sheet'!M95</f>
        <v>0</v>
      </c>
      <c r="N116" s="2">
        <f>N6/'Output-Calculation-sheet'!N5*'Output-Calculation-sheet'!N95</f>
        <v>1485303759.757915</v>
      </c>
      <c r="O116" s="2">
        <f>O6/'Output-Calculation-sheet'!O5*'Output-Calculation-sheet'!O95</f>
        <v>0</v>
      </c>
      <c r="P116" s="2">
        <f>P6/'Output-Calculation-sheet'!P5*'Output-Calculation-sheet'!P95</f>
        <v>1352140880.8229403</v>
      </c>
      <c r="Q116" s="2">
        <f>Q6/'Output-Calculation-sheet'!Q5*'Output-Calculation-sheet'!Q95</f>
        <v>1330287827.9208977</v>
      </c>
      <c r="R116" s="2">
        <f>R6/'Output-Calculation-sheet'!R5*'Output-Calculation-sheet'!R95</f>
        <v>1279797585.6110342</v>
      </c>
      <c r="S116" s="2">
        <f>S6/'Output-Calculation-sheet'!S5*'Output-Calculation-sheet'!S95</f>
        <v>850619366.39961922</v>
      </c>
      <c r="T116" s="2">
        <f>T6/'Output-Calculation-sheet'!T5*'Output-Calculation-sheet'!T95</f>
        <v>470442494.75007647</v>
      </c>
      <c r="U116" s="2">
        <f>U6/'Output-Calculation-sheet'!U5*'Output-Calculation-sheet'!U95</f>
        <v>409739419.27536851</v>
      </c>
      <c r="V116" s="2">
        <f>V6/'Output-Calculation-sheet'!V5*'Output-Calculation-sheet'!V95</f>
        <v>315507547.54428208</v>
      </c>
      <c r="W116" s="2">
        <f>W6/'Output-Calculation-sheet'!W5*'Output-Calculation-sheet'!W95</f>
        <v>273159612.76658654</v>
      </c>
      <c r="X116" s="2">
        <f>X6/'Output-Calculation-sheet'!X5*'Output-Calculation-sheet'!X95</f>
        <v>0</v>
      </c>
      <c r="Y116" s="2">
        <f>Y6/'Output-Calculation-sheet'!Y5*'Output-Calculation-sheet'!Y95</f>
        <v>159386995.43650803</v>
      </c>
      <c r="AA116" s="2">
        <f t="shared" ref="AA116:AA122" si="10">SUM(B116:Y116)/10^6</f>
        <v>47133.934182752993</v>
      </c>
    </row>
    <row r="117" spans="1:27" x14ac:dyDescent="0.25">
      <c r="A117" s="2">
        <v>2030</v>
      </c>
      <c r="B117" s="2">
        <f>B7/'Output-Calculation-sheet'!B6*'Output-Calculation-sheet'!B96</f>
        <v>25948882991.380848</v>
      </c>
      <c r="C117" s="2">
        <f>C7/'Output-Calculation-sheet'!C6*'Output-Calculation-sheet'!C96</f>
        <v>0</v>
      </c>
      <c r="D117" s="2">
        <f>D7/'Output-Calculation-sheet'!D6*'Output-Calculation-sheet'!D96</f>
        <v>10898826826.431534</v>
      </c>
      <c r="E117" s="2">
        <f>E7/'Output-Calculation-sheet'!E6*'Output-Calculation-sheet'!E96</f>
        <v>8647111978.3514366</v>
      </c>
      <c r="F117" s="2">
        <f>F7/'Output-Calculation-sheet'!F6*'Output-Calculation-sheet'!F96</f>
        <v>5566459151.4165039</v>
      </c>
      <c r="G117" s="2">
        <f>G7/'Output-Calculation-sheet'!G6*'Output-Calculation-sheet'!G96</f>
        <v>3911146988.5042009</v>
      </c>
      <c r="H117" s="2">
        <f>H7/'Output-Calculation-sheet'!H6*'Output-Calculation-sheet'!H96</f>
        <v>0</v>
      </c>
      <c r="I117" s="2">
        <f>I7/'Output-Calculation-sheet'!I6*'Output-Calculation-sheet'!I96</f>
        <v>3563362311.07374</v>
      </c>
      <c r="J117" s="2">
        <f>J7/'Output-Calculation-sheet'!J6*'Output-Calculation-sheet'!J96</f>
        <v>3468330091.4140968</v>
      </c>
      <c r="K117" s="2">
        <f>K7/'Output-Calculation-sheet'!K6*'Output-Calculation-sheet'!K96</f>
        <v>3435080150.8052058</v>
      </c>
      <c r="L117" s="2">
        <f>L7/'Output-Calculation-sheet'!L6*'Output-Calculation-sheet'!L96</f>
        <v>2755666320.5800033</v>
      </c>
      <c r="M117" s="2">
        <f>M7/'Output-Calculation-sheet'!M6*'Output-Calculation-sheet'!M96</f>
        <v>0</v>
      </c>
      <c r="N117" s="2">
        <f>N7/'Output-Calculation-sheet'!N6*'Output-Calculation-sheet'!N96</f>
        <v>1736566610.7807281</v>
      </c>
      <c r="O117" s="2">
        <f>O7/'Output-Calculation-sheet'!O6*'Output-Calculation-sheet'!O96</f>
        <v>0</v>
      </c>
      <c r="P117" s="2">
        <f>P7/'Output-Calculation-sheet'!P6*'Output-Calculation-sheet'!P96</f>
        <v>2351818514.65095</v>
      </c>
      <c r="Q117" s="2">
        <f>Q7/'Output-Calculation-sheet'!Q6*'Output-Calculation-sheet'!Q96</f>
        <v>2313810068.4024806</v>
      </c>
      <c r="R117" s="2">
        <f>R7/'Output-Calculation-sheet'!R6*'Output-Calculation-sheet'!R96</f>
        <v>2225991434.617229</v>
      </c>
      <c r="S117" s="2">
        <f>S7/'Output-Calculation-sheet'!S6*'Output-Calculation-sheet'!S96</f>
        <v>1300107066.4048803</v>
      </c>
      <c r="T117" s="2">
        <f>T7/'Output-Calculation-sheet'!T6*'Output-Calculation-sheet'!T96</f>
        <v>818255364.67360687</v>
      </c>
      <c r="U117" s="2">
        <f>U7/'Output-Calculation-sheet'!U6*'Output-Calculation-sheet'!U96</f>
        <v>712672230.65736961</v>
      </c>
      <c r="V117" s="2">
        <f>V7/'Output-Calculation-sheet'!V6*'Output-Calculation-sheet'!V96</f>
        <v>548771870.90096664</v>
      </c>
      <c r="W117" s="2">
        <f>W7/'Output-Calculation-sheet'!W6*'Output-Calculation-sheet'!W96</f>
        <v>475114944.8681528</v>
      </c>
      <c r="X117" s="2">
        <f>X7/'Output-Calculation-sheet'!X6*'Output-Calculation-sheet'!X96</f>
        <v>0</v>
      </c>
      <c r="Y117" s="2">
        <f>Y7/'Output-Calculation-sheet'!Y6*'Output-Calculation-sheet'!Y96</f>
        <v>277226719.44094336</v>
      </c>
      <c r="AA117" s="2">
        <f t="shared" si="10"/>
        <v>80955.201635354882</v>
      </c>
    </row>
    <row r="118" spans="1:27" x14ac:dyDescent="0.25">
      <c r="A118" s="2">
        <v>2031</v>
      </c>
      <c r="B118" s="2">
        <f>B8/'Output-Calculation-sheet'!B7*'Output-Calculation-sheet'!B97</f>
        <v>36113566070.823059</v>
      </c>
      <c r="C118" s="2">
        <f>C8/'Output-Calculation-sheet'!C7*'Output-Calculation-sheet'!C97</f>
        <v>0</v>
      </c>
      <c r="D118" s="2">
        <f>D8/'Output-Calculation-sheet'!D7*'Output-Calculation-sheet'!D97</f>
        <v>15614822589.745697</v>
      </c>
      <c r="E118" s="2">
        <f>E8/'Output-Calculation-sheet'!E7*'Output-Calculation-sheet'!E97</f>
        <v>12388777182.758169</v>
      </c>
      <c r="F118" s="2">
        <f>F8/'Output-Calculation-sheet'!F7*'Output-Calculation-sheet'!F97</f>
        <v>7975100439.5069237</v>
      </c>
      <c r="G118" s="2">
        <f>G8/'Output-Calculation-sheet'!G7*'Output-Calculation-sheet'!G97</f>
        <v>5603524439.5215473</v>
      </c>
      <c r="H118" s="2">
        <f>H8/'Output-Calculation-sheet'!H7*'Output-Calculation-sheet'!H97</f>
        <v>0</v>
      </c>
      <c r="I118" s="2">
        <f>I8/'Output-Calculation-sheet'!I7*'Output-Calculation-sheet'!I97</f>
        <v>5105251858.1646633</v>
      </c>
      <c r="J118" s="2">
        <f>J8/'Output-Calculation-sheet'!J7*'Output-Calculation-sheet'!J97</f>
        <v>4969100530.4136629</v>
      </c>
      <c r="K118" s="2">
        <f>K8/'Output-Calculation-sheet'!K7*'Output-Calculation-sheet'!K97</f>
        <v>4921461823.5899744</v>
      </c>
      <c r="L118" s="2">
        <f>L8/'Output-Calculation-sheet'!L7*'Output-Calculation-sheet'!L97</f>
        <v>3948060667.5273018</v>
      </c>
      <c r="M118" s="2">
        <f>M8/'Output-Calculation-sheet'!M7*'Output-Calculation-sheet'!M97</f>
        <v>0</v>
      </c>
      <c r="N118" s="2">
        <f>N8/'Output-Calculation-sheet'!N7*'Output-Calculation-sheet'!N97</f>
        <v>2442600694.3165736</v>
      </c>
      <c r="O118" s="2">
        <f>O8/'Output-Calculation-sheet'!O7*'Output-Calculation-sheet'!O97</f>
        <v>0</v>
      </c>
      <c r="P118" s="2">
        <f>P8/'Output-Calculation-sheet'!P7*'Output-Calculation-sheet'!P97</f>
        <v>3369466226.3886809</v>
      </c>
      <c r="Q118" s="2">
        <f>Q8/'Output-Calculation-sheet'!Q7*'Output-Calculation-sheet'!Q97</f>
        <v>3315009578.2331014</v>
      </c>
      <c r="R118" s="2">
        <f>R8/'Output-Calculation-sheet'!R7*'Output-Calculation-sheet'!R97</f>
        <v>3189191672.4626927</v>
      </c>
      <c r="S118" s="2">
        <f>S8/'Output-Calculation-sheet'!S7*'Output-Calculation-sheet'!S97</f>
        <v>1741548062.4658477</v>
      </c>
      <c r="T118" s="2">
        <f>T8/'Output-Calculation-sheet'!T7*'Output-Calculation-sheet'!T97</f>
        <v>1172319664.8906024</v>
      </c>
      <c r="U118" s="2">
        <f>U8/'Output-Calculation-sheet'!U7*'Output-Calculation-sheet'!U97</f>
        <v>1021050171.1556271</v>
      </c>
      <c r="V118" s="2">
        <f>V8/'Output-Calculation-sheet'!V7*'Output-Calculation-sheet'!V97</f>
        <v>786229361.75097883</v>
      </c>
      <c r="W118" s="2">
        <f>W8/'Output-Calculation-sheet'!W7*'Output-Calculation-sheet'!W97</f>
        <v>680700113.89527714</v>
      </c>
      <c r="X118" s="2">
        <f>X8/'Output-Calculation-sheet'!X7*'Output-Calculation-sheet'!X97</f>
        <v>0</v>
      </c>
      <c r="Y118" s="2">
        <f>Y8/'Output-Calculation-sheet'!Y7*'Output-Calculation-sheet'!Y97</f>
        <v>397184587.61081046</v>
      </c>
      <c r="AA118" s="2">
        <f t="shared" si="10"/>
        <v>114754.96573522121</v>
      </c>
    </row>
    <row r="119" spans="1:27" x14ac:dyDescent="0.25">
      <c r="A119" s="2">
        <v>2032</v>
      </c>
      <c r="B119" s="2">
        <f>B9/'Output-Calculation-sheet'!B8*'Output-Calculation-sheet'!B98</f>
        <v>42229809796.287659</v>
      </c>
      <c r="C119" s="2">
        <f>C9/'Output-Calculation-sheet'!C8*'Output-Calculation-sheet'!C98</f>
        <v>0</v>
      </c>
      <c r="D119" s="2">
        <f>D9/'Output-Calculation-sheet'!D8*'Output-Calculation-sheet'!D98</f>
        <v>19577054507.571472</v>
      </c>
      <c r="E119" s="2">
        <f>E9/'Output-Calculation-sheet'!E8*'Output-Calculation-sheet'!E98</f>
        <v>15532402488.343229</v>
      </c>
      <c r="F119" s="2">
        <f>F9/'Output-Calculation-sheet'!F8*'Output-Calculation-sheet'!F98</f>
        <v>9998767952.2860889</v>
      </c>
      <c r="G119" s="2">
        <f>G9/'Output-Calculation-sheet'!G8*'Output-Calculation-sheet'!G98</f>
        <v>7025408795.0885954</v>
      </c>
      <c r="H119" s="2">
        <f>H9/'Output-Calculation-sheet'!H8*'Output-Calculation-sheet'!H98</f>
        <v>1.4750039551625496E-7</v>
      </c>
      <c r="I119" s="2">
        <f>I9/'Output-Calculation-sheet'!I8*'Output-Calculation-sheet'!I98</f>
        <v>6400700913.8277111</v>
      </c>
      <c r="J119" s="2">
        <f>J9/'Output-Calculation-sheet'!J8*'Output-Calculation-sheet'!J98</f>
        <v>6229998996.9910851</v>
      </c>
      <c r="K119" s="2">
        <f>K9/'Output-Calculation-sheet'!K8*'Output-Calculation-sheet'!K98</f>
        <v>6170273039.7399607</v>
      </c>
      <c r="L119" s="2">
        <f>L9/'Output-Calculation-sheet'!L8*'Output-Calculation-sheet'!L98</f>
        <v>4949874420.7704668</v>
      </c>
      <c r="M119" s="2">
        <f>M9/'Output-Calculation-sheet'!M8*'Output-Calculation-sheet'!M98</f>
        <v>0</v>
      </c>
      <c r="N119" s="2">
        <f>N9/'Output-Calculation-sheet'!N8*'Output-Calculation-sheet'!N98</f>
        <v>2415587904.989068</v>
      </c>
      <c r="O119" s="2">
        <f>O9/'Output-Calculation-sheet'!O8*'Output-Calculation-sheet'!O98</f>
        <v>0</v>
      </c>
      <c r="P119" s="2">
        <f>P9/'Output-Calculation-sheet'!P8*'Output-Calculation-sheet'!P98</f>
        <v>4224434048.3947439</v>
      </c>
      <c r="Q119" s="2">
        <f>Q9/'Output-Calculation-sheet'!Q8*'Output-Calculation-sheet'!Q98</f>
        <v>4156187025.5310903</v>
      </c>
      <c r="R119" s="2">
        <f>R9/'Output-Calculation-sheet'!R8*'Output-Calculation-sheet'!R98</f>
        <v>3998443384.5754709</v>
      </c>
      <c r="S119" s="2">
        <f>S9/'Output-Calculation-sheet'!S8*'Output-Calculation-sheet'!S98</f>
        <v>1995453113.0945561</v>
      </c>
      <c r="T119" s="2">
        <f>T9/'Output-Calculation-sheet'!T8*'Output-Calculation-sheet'!T98</f>
        <v>1469793348.5102875</v>
      </c>
      <c r="U119" s="2">
        <f>U9/'Output-Calculation-sheet'!U8*'Output-Calculation-sheet'!U98</f>
        <v>1280140037.3166616</v>
      </c>
      <c r="V119" s="2">
        <f>V9/'Output-Calculation-sheet'!V8*'Output-Calculation-sheet'!V98</f>
        <v>985733431.69604695</v>
      </c>
      <c r="W119" s="2">
        <f>W9/'Output-Calculation-sheet'!W8*'Output-Calculation-sheet'!W98</f>
        <v>853426557.43988431</v>
      </c>
      <c r="X119" s="2">
        <f>X9/'Output-Calculation-sheet'!X8*'Output-Calculation-sheet'!X98</f>
        <v>0</v>
      </c>
      <c r="Y119" s="2">
        <f>Y9/'Output-Calculation-sheet'!Y8*'Output-Calculation-sheet'!Y98</f>
        <v>497969275.92232853</v>
      </c>
      <c r="AA119" s="2">
        <f t="shared" si="10"/>
        <v>139991.4590383764</v>
      </c>
    </row>
    <row r="120" spans="1:27" x14ac:dyDescent="0.25">
      <c r="A120" s="2">
        <v>2033</v>
      </c>
      <c r="B120" s="2">
        <f>B10/'Output-Calculation-sheet'!B9*'Output-Calculation-sheet'!B99</f>
        <v>44599927530.078873</v>
      </c>
      <c r="C120" s="2">
        <f>C10/'Output-Calculation-sheet'!C9*'Output-Calculation-sheet'!C99</f>
        <v>0</v>
      </c>
      <c r="D120" s="2">
        <f>D10/'Output-Calculation-sheet'!D9*'Output-Calculation-sheet'!D99</f>
        <v>23443237053.798988</v>
      </c>
      <c r="E120" s="2">
        <f>E10/'Output-Calculation-sheet'!E9*'Output-Calculation-sheet'!E99</f>
        <v>18599827234.293175</v>
      </c>
      <c r="F120" s="2">
        <f>F10/'Output-Calculation-sheet'!F9*'Output-Calculation-sheet'!F99</f>
        <v>11973376239.053461</v>
      </c>
      <c r="G120" s="2">
        <f>G10/'Output-Calculation-sheet'!G9*'Output-Calculation-sheet'!G99</f>
        <v>8412822746.0005274</v>
      </c>
      <c r="H120" s="2">
        <f>H10/'Output-Calculation-sheet'!H9*'Output-Calculation-sheet'!H99</f>
        <v>0</v>
      </c>
      <c r="I120" s="2">
        <f>I10/'Output-Calculation-sheet'!I9*'Output-Calculation-sheet'!I99</f>
        <v>7664744740.923192</v>
      </c>
      <c r="J120" s="2">
        <f>J10/'Output-Calculation-sheet'!J9*'Output-Calculation-sheet'!J99</f>
        <v>7460331705.6304026</v>
      </c>
      <c r="K120" s="2">
        <f>K10/'Output-Calculation-sheet'!K9*'Output-Calculation-sheet'!K99</f>
        <v>7388811527.447567</v>
      </c>
      <c r="L120" s="2">
        <f>L10/'Output-Calculation-sheet'!L9*'Output-Calculation-sheet'!L99</f>
        <v>5927401452.4894772</v>
      </c>
      <c r="M120" s="2">
        <f>M10/'Output-Calculation-sheet'!M9*'Output-Calculation-sheet'!M99</f>
        <v>0</v>
      </c>
      <c r="N120" s="2">
        <f>N10/'Output-Calculation-sheet'!N9*'Output-Calculation-sheet'!N99</f>
        <v>2221399228.5647283</v>
      </c>
      <c r="O120" s="2">
        <f>O10/'Output-Calculation-sheet'!O9*'Output-Calculation-sheet'!O99</f>
        <v>0</v>
      </c>
      <c r="P120" s="2">
        <f>P10/'Output-Calculation-sheet'!P9*'Output-Calculation-sheet'!P99</f>
        <v>5058434465.9925165</v>
      </c>
      <c r="Q120" s="2">
        <f>Q10/'Output-Calculation-sheet'!Q9*'Output-Calculation-sheet'!Q99</f>
        <v>4868391453.1636534</v>
      </c>
      <c r="R120" s="2">
        <f>R10/'Output-Calculation-sheet'!R9*'Output-Calculation-sheet'!R99</f>
        <v>4787849583.5409765</v>
      </c>
      <c r="S120" s="2">
        <f>S10/'Output-Calculation-sheet'!S9*'Output-Calculation-sheet'!S99</f>
        <v>1841587935.434504</v>
      </c>
      <c r="T120" s="2">
        <f>T10/'Output-Calculation-sheet'!T9*'Output-Calculation-sheet'!T99</f>
        <v>1760040671.2190113</v>
      </c>
      <c r="U120" s="2">
        <f>U10/'Output-Calculation-sheet'!U9*'Output-Calculation-sheet'!U99</f>
        <v>1533281942.1297002</v>
      </c>
      <c r="V120" s="2">
        <f>V10/'Output-Calculation-sheet'!V9*'Output-Calculation-sheet'!V99</f>
        <v>1180401274.6793258</v>
      </c>
      <c r="W120" s="2">
        <f>W10/'Output-Calculation-sheet'!W9*'Output-Calculation-sheet'!W99</f>
        <v>1021965901.0522736</v>
      </c>
      <c r="X120" s="2">
        <f>X10/'Output-Calculation-sheet'!X9*'Output-Calculation-sheet'!X99</f>
        <v>0</v>
      </c>
      <c r="Y120" s="2">
        <f>Y10/'Output-Calculation-sheet'!Y9*'Output-Calculation-sheet'!Y99</f>
        <v>596311744.20194662</v>
      </c>
      <c r="AA120" s="2">
        <f t="shared" si="10"/>
        <v>160340.14442969434</v>
      </c>
    </row>
    <row r="121" spans="1:27" x14ac:dyDescent="0.25">
      <c r="A121" s="2">
        <v>2034</v>
      </c>
      <c r="B121" s="2">
        <f>B11/'Output-Calculation-sheet'!B10*'Output-Calculation-sheet'!B100</f>
        <v>39478767110.423164</v>
      </c>
      <c r="C121" s="2">
        <f>C11/'Output-Calculation-sheet'!C10*'Output-Calculation-sheet'!C100</f>
        <v>0</v>
      </c>
      <c r="D121" s="2">
        <f>D11/'Output-Calculation-sheet'!D10*'Output-Calculation-sheet'!D100</f>
        <v>27328247646.455563</v>
      </c>
      <c r="E121" s="2">
        <f>E11/'Output-Calculation-sheet'!E10*'Output-Calculation-sheet'!E100</f>
        <v>21144400112.896938</v>
      </c>
      <c r="F121" s="2">
        <f>F11/'Output-Calculation-sheet'!F10*'Output-Calculation-sheet'!F100</f>
        <v>13957710644.390696</v>
      </c>
      <c r="G121" s="2">
        <f>G11/'Output-Calculation-sheet'!G10*'Output-Calculation-sheet'!G100</f>
        <v>9806463464.8363857</v>
      </c>
      <c r="H121" s="2">
        <f>H11/'Output-Calculation-sheet'!H10*'Output-Calculation-sheet'!H100</f>
        <v>0</v>
      </c>
      <c r="I121" s="2">
        <f>I11/'Output-Calculation-sheet'!I10*'Output-Calculation-sheet'!I100</f>
        <v>8934633258.0476418</v>
      </c>
      <c r="J121" s="2">
        <f>J11/'Output-Calculation-sheet'!J10*'Output-Calculation-sheet'!J100</f>
        <v>8696439715.8761654</v>
      </c>
      <c r="K121" s="2">
        <f>K11/'Output-Calculation-sheet'!K10*'Output-Calculation-sheet'!K100</f>
        <v>8613288076.5799026</v>
      </c>
      <c r="L121" s="2">
        <f>L11/'Output-Calculation-sheet'!L10*'Output-Calculation-sheet'!L100</f>
        <v>6474363183.6484175</v>
      </c>
      <c r="M121" s="2">
        <f>M11/'Output-Calculation-sheet'!M10*'Output-Calculation-sheet'!M100</f>
        <v>4.6256713512173036E-7</v>
      </c>
      <c r="N121" s="2">
        <f>N11/'Output-Calculation-sheet'!N10*'Output-Calculation-sheet'!N100</f>
        <v>1909970886.5331659</v>
      </c>
      <c r="O121" s="2">
        <f>O11/'Output-Calculation-sheet'!O10*'Output-Calculation-sheet'!O100</f>
        <v>0</v>
      </c>
      <c r="P121" s="2">
        <f>P11/'Output-Calculation-sheet'!P10*'Output-Calculation-sheet'!P100</f>
        <v>5896468959.2791281</v>
      </c>
      <c r="Q121" s="2">
        <f>Q11/'Output-Calculation-sheet'!Q10*'Output-Calculation-sheet'!Q100</f>
        <v>4886437637.4020014</v>
      </c>
      <c r="R121" s="2">
        <f>R11/'Output-Calculation-sheet'!R10*'Output-Calculation-sheet'!R100</f>
        <v>5581050518.3056126</v>
      </c>
      <c r="S121" s="2">
        <f>S11/'Output-Calculation-sheet'!S10*'Output-Calculation-sheet'!S100</f>
        <v>1473557894.2007937</v>
      </c>
      <c r="T121" s="2">
        <f>T11/'Output-Calculation-sheet'!T10*'Output-Calculation-sheet'!T100</f>
        <v>2051592756.8385286</v>
      </c>
      <c r="U121" s="2">
        <f>U11/'Output-Calculation-sheet'!U10*'Output-Calculation-sheet'!U100</f>
        <v>1728950953.378427</v>
      </c>
      <c r="V121" s="2">
        <f>V11/'Output-Calculation-sheet'!V10*'Output-Calculation-sheet'!V100</f>
        <v>1376407035.0779569</v>
      </c>
      <c r="W121" s="2">
        <f>W11/'Output-Calculation-sheet'!W10*'Output-Calculation-sheet'!W100</f>
        <v>1191361359.8339539</v>
      </c>
      <c r="X121" s="2">
        <f>X11/'Output-Calculation-sheet'!X10*'Output-Calculation-sheet'!X100</f>
        <v>45881040.963282518</v>
      </c>
      <c r="Y121" s="2">
        <f>Y11/'Output-Calculation-sheet'!Y10*'Output-Calculation-sheet'!Y100</f>
        <v>666472655.90442216</v>
      </c>
      <c r="AA121" s="2">
        <f t="shared" si="10"/>
        <v>171242.46491087211</v>
      </c>
    </row>
    <row r="122" spans="1:27" x14ac:dyDescent="0.25">
      <c r="A122" s="2">
        <v>2035</v>
      </c>
      <c r="B122" s="2">
        <f>B12/'Output-Calculation-sheet'!B11*'Output-Calculation-sheet'!B101</f>
        <v>39494951364.130768</v>
      </c>
      <c r="C122" s="2">
        <f>C12/'Output-Calculation-sheet'!C11*'Output-Calculation-sheet'!C101</f>
        <v>0</v>
      </c>
      <c r="D122" s="2">
        <f>D12/'Output-Calculation-sheet'!D11*'Output-Calculation-sheet'!D101</f>
        <v>27637938954.822186</v>
      </c>
      <c r="E122" s="2">
        <f>E12/'Output-Calculation-sheet'!E11*'Output-Calculation-sheet'!E101</f>
        <v>21463368123.452435</v>
      </c>
      <c r="F122" s="2">
        <f>F12/'Output-Calculation-sheet'!F11*'Output-Calculation-sheet'!F101</f>
        <v>14621991757.655407</v>
      </c>
      <c r="G122" s="2">
        <f>G12/'Output-Calculation-sheet'!G11*'Output-Calculation-sheet'!G101</f>
        <v>9907538250.9865265</v>
      </c>
      <c r="H122" s="2">
        <f>H12/'Output-Calculation-sheet'!H11*'Output-Calculation-sheet'!H101</f>
        <v>0</v>
      </c>
      <c r="I122" s="2">
        <f>I12/'Output-Calculation-sheet'!I11*'Output-Calculation-sheet'!I101</f>
        <v>9090943214.0815372</v>
      </c>
      <c r="J122" s="2">
        <f>J12/'Output-Calculation-sheet'!J11*'Output-Calculation-sheet'!J101</f>
        <v>9100867972.7437592</v>
      </c>
      <c r="K122" s="2">
        <f>K12/'Output-Calculation-sheet'!K11*'Output-Calculation-sheet'!K101</f>
        <v>8934989414.9273567</v>
      </c>
      <c r="L122" s="2">
        <f>L12/'Output-Calculation-sheet'!L11*'Output-Calculation-sheet'!L101</f>
        <v>6472818976.0549135</v>
      </c>
      <c r="M122" s="2">
        <f>M12/'Output-Calculation-sheet'!M11*'Output-Calculation-sheet'!M101</f>
        <v>0</v>
      </c>
      <c r="N122" s="2">
        <f>N12/'Output-Calculation-sheet'!N11*'Output-Calculation-sheet'!N101</f>
        <v>1884694714.2951133</v>
      </c>
      <c r="O122" s="2">
        <f>O12/'Output-Calculation-sheet'!O11*'Output-Calculation-sheet'!O101</f>
        <v>0</v>
      </c>
      <c r="P122" s="2">
        <f>P12/'Output-Calculation-sheet'!P11*'Output-Calculation-sheet'!P101</f>
        <v>6008419890.7586451</v>
      </c>
      <c r="Q122" s="2">
        <f>Q12/'Output-Calculation-sheet'!Q11*'Output-Calculation-sheet'!Q101</f>
        <v>4857498633.6035051</v>
      </c>
      <c r="R122" s="2">
        <f>R12/'Output-Calculation-sheet'!R11*'Output-Calculation-sheet'!R101</f>
        <v>5951357642.0764542</v>
      </c>
      <c r="S122" s="2">
        <f>S12/'Output-Calculation-sheet'!S11*'Output-Calculation-sheet'!S101</f>
        <v>1423552126.1914701</v>
      </c>
      <c r="T122" s="2">
        <f>T12/'Output-Calculation-sheet'!T11*'Output-Calculation-sheet'!T101</f>
        <v>2220844941.5583744</v>
      </c>
      <c r="U122" s="2">
        <f>U12/'Output-Calculation-sheet'!U11*'Output-Calculation-sheet'!U101</f>
        <v>1754004681.4200826</v>
      </c>
      <c r="V122" s="2">
        <f>V12/'Output-Calculation-sheet'!V11*'Output-Calculation-sheet'!V101</f>
        <v>1527330929.8861229</v>
      </c>
      <c r="W122" s="2">
        <f>W12/'Output-Calculation-sheet'!W11*'Output-Calculation-sheet'!W101</f>
        <v>1287193918.9222939</v>
      </c>
      <c r="X122" s="2">
        <f>X12/'Output-Calculation-sheet'!X11*'Output-Calculation-sheet'!X101</f>
        <v>45384878.233438812</v>
      </c>
      <c r="Y122" s="2">
        <f>Y12/'Output-Calculation-sheet'!Y11*'Output-Calculation-sheet'!Y101</f>
        <v>679952047.92167473</v>
      </c>
      <c r="AA122" s="2">
        <f t="shared" si="10"/>
        <v>174365.64243372201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41547071471.022324</v>
      </c>
      <c r="C126" s="2">
        <f>C5/'Output-Calculation-sheet'!C4*'Output-Calculation-sheet'!C103</f>
        <v>19579071286.922321</v>
      </c>
      <c r="D126" s="2">
        <f>D5/'Output-Calculation-sheet'!D4*'Output-Calculation-sheet'!D103</f>
        <v>17450246496.026913</v>
      </c>
      <c r="E126" s="2">
        <f>E5/'Output-Calculation-sheet'!E4*'Output-Calculation-sheet'!E103</f>
        <v>13844999023.801756</v>
      </c>
      <c r="F126" s="2">
        <f>F5/'Output-Calculation-sheet'!F4*'Output-Calculation-sheet'!F103</f>
        <v>8912524665.57687</v>
      </c>
      <c r="G126" s="2">
        <f>G5/'Output-Calculation-sheet'!G4*'Output-Calculation-sheet'!G103</f>
        <v>6262184442.3363132</v>
      </c>
      <c r="H126" s="2">
        <f>H5/'Output-Calculation-sheet'!H4*'Output-Calculation-sheet'!H103</f>
        <v>6108519856.4948931</v>
      </c>
      <c r="I126" s="2">
        <f>I5/'Output-Calculation-sheet'!I4*'Output-Calculation-sheet'!I103</f>
        <v>5705342646.0925684</v>
      </c>
      <c r="J126" s="2">
        <f>J5/'Output-Calculation-sheet'!J4*'Output-Calculation-sheet'!J103</f>
        <v>5553186643.407649</v>
      </c>
      <c r="K126" s="2">
        <f>K5/'Output-Calculation-sheet'!K4*'Output-Calculation-sheet'!K103</f>
        <v>5499950162.2674665</v>
      </c>
      <c r="L126" s="2">
        <f>L5/'Output-Calculation-sheet'!L4*'Output-Calculation-sheet'!L103</f>
        <v>4412131771.7244492</v>
      </c>
      <c r="M126" s="2">
        <f>M5/'Output-Calculation-sheet'!M4*'Output-Calculation-sheet'!M103</f>
        <v>4214346668.3323402</v>
      </c>
      <c r="N126" s="2">
        <f>N5/'Output-Calculation-sheet'!N4*'Output-Calculation-sheet'!N103</f>
        <v>4136368740.7162123</v>
      </c>
      <c r="O126" s="2">
        <f>O5/'Output-Calculation-sheet'!O4*'Output-Calculation-sheet'!O103</f>
        <v>3804230447.0981178</v>
      </c>
      <c r="P126" s="2">
        <f>P5/'Output-Calculation-sheet'!P4*'Output-Calculation-sheet'!P103</f>
        <v>3765525727.3932872</v>
      </c>
      <c r="Q126" s="2">
        <f>Q5/'Output-Calculation-sheet'!Q4*'Output-Calculation-sheet'!Q103</f>
        <v>3704668853.7503796</v>
      </c>
      <c r="R126" s="2">
        <f>R5/'Output-Calculation-sheet'!R4*'Output-Calculation-sheet'!R103</f>
        <v>3564061634.929184</v>
      </c>
      <c r="S126" s="2">
        <f>S5/'Output-Calculation-sheet'!S4*'Output-Calculation-sheet'!S103</f>
        <v>2368858333.0237355</v>
      </c>
      <c r="T126" s="2">
        <f>T5/'Output-Calculation-sheet'!T4*'Output-Calculation-sheet'!T103</f>
        <v>1310118299.5223486</v>
      </c>
      <c r="U126" s="2">
        <f>U5/'Output-Calculation-sheet'!U4*'Output-Calculation-sheet'!U103</f>
        <v>1141068498.3500261</v>
      </c>
      <c r="V126" s="2">
        <f>V5/'Output-Calculation-sheet'!V4*'Output-Calculation-sheet'!V103</f>
        <v>878645565.13375652</v>
      </c>
      <c r="W126" s="2">
        <f>W5/'Output-Calculation-sheet'!W4*'Output-Calculation-sheet'!W103</f>
        <v>760712246.78410697</v>
      </c>
      <c r="X126" s="2">
        <f>X5/'Output-Calculation-sheet'!X4*'Output-Calculation-sheet'!X103</f>
        <v>456427360.97865528</v>
      </c>
      <c r="Y126" s="2">
        <f>Y5/'Output-Calculation-sheet'!Y4*'Output-Calculation-sheet'!Y103</f>
        <v>443871130.79609311</v>
      </c>
      <c r="AA126" s="2">
        <f>SUM(B126:Y126)/10^6</f>
        <v>165424.13197248182</v>
      </c>
    </row>
    <row r="127" spans="1:27" x14ac:dyDescent="0.25">
      <c r="A127" s="2">
        <v>2029</v>
      </c>
      <c r="B127" s="2">
        <f>B6/'Output-Calculation-sheet'!B5*'Output-Calculation-sheet'!B104</f>
        <v>44756676872.027061</v>
      </c>
      <c r="C127" s="2">
        <f>C6/'Output-Calculation-sheet'!C5*'Output-Calculation-sheet'!C104</f>
        <v>21091599703.72546</v>
      </c>
      <c r="D127" s="2">
        <f>D6/'Output-Calculation-sheet'!D5*'Output-Calculation-sheet'!D104</f>
        <v>18798319674.121162</v>
      </c>
      <c r="E127" s="2">
        <f>E6/'Output-Calculation-sheet'!E5*'Output-Calculation-sheet'!E104</f>
        <v>14914557124.994295</v>
      </c>
      <c r="F127" s="2">
        <f>F6/'Output-Calculation-sheet'!F5*'Output-Calculation-sheet'!F104</f>
        <v>9601035625.0601196</v>
      </c>
      <c r="G127" s="2">
        <f>G6/'Output-Calculation-sheet'!G5*'Output-Calculation-sheet'!G104</f>
        <v>6745951123.4779739</v>
      </c>
      <c r="H127" s="2">
        <f>H6/'Output-Calculation-sheet'!H5*'Output-Calculation-sheet'!H104</f>
        <v>6580416365.5889292</v>
      </c>
      <c r="I127" s="2">
        <f>I6/'Output-Calculation-sheet'!I5*'Output-Calculation-sheet'!I104</f>
        <v>6146093286.0832987</v>
      </c>
      <c r="J127" s="2">
        <f>J6/'Output-Calculation-sheet'!J5*'Output-Calculation-sheet'!J104</f>
        <v>5982181554.347065</v>
      </c>
      <c r="K127" s="2">
        <f>K6/'Output-Calculation-sheet'!K5*'Output-Calculation-sheet'!K104</f>
        <v>5924832001.0603008</v>
      </c>
      <c r="L127" s="2">
        <f>L6/'Output-Calculation-sheet'!L5*'Output-Calculation-sheet'!L104</f>
        <v>4752977888.0383244</v>
      </c>
      <c r="M127" s="2">
        <f>M6/'Output-Calculation-sheet'!M5*'Output-Calculation-sheet'!M104</f>
        <v>4539913656.9567509</v>
      </c>
      <c r="N127" s="2">
        <f>N6/'Output-Calculation-sheet'!N5*'Output-Calculation-sheet'!N104</f>
        <v>4455912430.4274998</v>
      </c>
      <c r="O127" s="2">
        <f>O6/'Output-Calculation-sheet'!O5*'Output-Calculation-sheet'!O104</f>
        <v>4098115870.2133255</v>
      </c>
      <c r="P127" s="2">
        <f>P6/'Output-Calculation-sheet'!P5*'Output-Calculation-sheet'!P104</f>
        <v>4056421579.0101714</v>
      </c>
      <c r="Q127" s="2">
        <f>Q6/'Output-Calculation-sheet'!Q5*'Output-Calculation-sheet'!Q104</f>
        <v>3990862475.1788263</v>
      </c>
      <c r="R127" s="2">
        <f>R6/'Output-Calculation-sheet'!R5*'Output-Calculation-sheet'!R104</f>
        <v>3839392756.8331027</v>
      </c>
      <c r="S127" s="2">
        <f>S6/'Output-Calculation-sheet'!S5*'Output-Calculation-sheet'!S104</f>
        <v>2551857439.3195772</v>
      </c>
      <c r="T127" s="2">
        <f>T6/'Output-Calculation-sheet'!T5*'Output-Calculation-sheet'!T104</f>
        <v>1411327854.2887046</v>
      </c>
      <c r="U127" s="2">
        <f>U6/'Output-Calculation-sheet'!U5*'Output-Calculation-sheet'!U104</f>
        <v>1229218579.6259847</v>
      </c>
      <c r="V127" s="2">
        <f>V6/'Output-Calculation-sheet'!V5*'Output-Calculation-sheet'!V104</f>
        <v>946522890.76973867</v>
      </c>
      <c r="W127" s="2">
        <f>W6/'Output-Calculation-sheet'!W5*'Output-Calculation-sheet'!W104</f>
        <v>819479053.16764808</v>
      </c>
      <c r="X127" s="2">
        <f>X6/'Output-Calculation-sheet'!X5*'Output-Calculation-sheet'!X104</f>
        <v>491687335.42573529</v>
      </c>
      <c r="Y127" s="2">
        <f>Y6/'Output-Calculation-sheet'!Y5*'Output-Calculation-sheet'!Y104</f>
        <v>478161110.30412161</v>
      </c>
      <c r="AA127" s="2">
        <f t="shared" ref="AA127:AA133" si="11">SUM(B127:Y127)/10^6</f>
        <v>178203.51425004512</v>
      </c>
    </row>
    <row r="128" spans="1:27" x14ac:dyDescent="0.25">
      <c r="A128" s="2">
        <v>2030</v>
      </c>
      <c r="B128" s="2">
        <f>B7/'Output-Calculation-sheet'!B6*'Output-Calculation-sheet'!B105</f>
        <v>43248142822.045227</v>
      </c>
      <c r="C128" s="2">
        <f>C7/'Output-Calculation-sheet'!C6*'Output-Calculation-sheet'!C105</f>
        <v>21541787640.322399</v>
      </c>
      <c r="D128" s="2">
        <f>D7/'Output-Calculation-sheet'!D6*'Output-Calculation-sheet'!D105</f>
        <v>18164715163.891808</v>
      </c>
      <c r="E128" s="2">
        <f>E7/'Output-Calculation-sheet'!E6*'Output-Calculation-sheet'!E105</f>
        <v>14411854801.883505</v>
      </c>
      <c r="F128" s="2">
        <f>F7/'Output-Calculation-sheet'!F6*'Output-Calculation-sheet'!F105</f>
        <v>9277430972.7177162</v>
      </c>
      <c r="G128" s="2">
        <f>G7/'Output-Calculation-sheet'!G6*'Output-Calculation-sheet'!G105</f>
        <v>6518577635.0231543</v>
      </c>
      <c r="H128" s="2">
        <f>H7/'Output-Calculation-sheet'!H6*'Output-Calculation-sheet'!H105</f>
        <v>6358621262.0101948</v>
      </c>
      <c r="I128" s="2">
        <f>I7/'Output-Calculation-sheet'!I6*'Output-Calculation-sheet'!I105</f>
        <v>5938937795.9782391</v>
      </c>
      <c r="J128" s="2">
        <f>J7/'Output-Calculation-sheet'!J6*'Output-Calculation-sheet'!J105</f>
        <v>5780550756.903059</v>
      </c>
      <c r="K128" s="2">
        <f>K7/'Output-Calculation-sheet'!K6*'Output-Calculation-sheet'!K105</f>
        <v>5725133584.6753435</v>
      </c>
      <c r="L128" s="2">
        <f>L7/'Output-Calculation-sheet'!L6*'Output-Calculation-sheet'!L105</f>
        <v>4592777678.3558207</v>
      </c>
      <c r="M128" s="2">
        <f>M7/'Output-Calculation-sheet'!M6*'Output-Calculation-sheet'!M105</f>
        <v>4386895049.1196795</v>
      </c>
      <c r="N128" s="2">
        <f>N7/'Output-Calculation-sheet'!N6*'Output-Calculation-sheet'!N105</f>
        <v>4305724655.0365067</v>
      </c>
      <c r="O128" s="2">
        <f>O7/'Output-Calculation-sheet'!O6*'Output-Calculation-sheet'!O105</f>
        <v>4514399727.8106222</v>
      </c>
      <c r="P128" s="2">
        <f>P7/'Output-Calculation-sheet'!P6*'Output-Calculation-sheet'!P105</f>
        <v>3919698346.5097899</v>
      </c>
      <c r="Q128" s="2">
        <f>Q7/'Output-Calculation-sheet'!Q6*'Output-Calculation-sheet'!Q105</f>
        <v>3856348944.4970765</v>
      </c>
      <c r="R128" s="2">
        <f>R7/'Output-Calculation-sheet'!R6*'Output-Calculation-sheet'!R105</f>
        <v>3709985337.7672763</v>
      </c>
      <c r="S128" s="2">
        <f>S7/'Output-Calculation-sheet'!S6*'Output-Calculation-sheet'!S105</f>
        <v>2465846497.8747764</v>
      </c>
      <c r="T128" s="2">
        <f>T7/'Output-Calculation-sheet'!T6*'Output-Calculation-sheet'!T105</f>
        <v>1363758655.0697131</v>
      </c>
      <c r="U128" s="2">
        <f>U7/'Output-Calculation-sheet'!U6*'Output-Calculation-sheet'!U105</f>
        <v>1187787424.2398257</v>
      </c>
      <c r="V128" s="2">
        <f>V7/'Output-Calculation-sheet'!V6*'Output-Calculation-sheet'!V105</f>
        <v>914620072.56297243</v>
      </c>
      <c r="W128" s="2">
        <f>W7/'Output-Calculation-sheet'!W6*'Output-Calculation-sheet'!W105</f>
        <v>791858158.39664316</v>
      </c>
      <c r="X128" s="2">
        <f>X7/'Output-Calculation-sheet'!X6*'Output-Calculation-sheet'!X105</f>
        <v>475114950.97186852</v>
      </c>
      <c r="Y128" s="2">
        <f>Y7/'Output-Calculation-sheet'!Y6*'Output-Calculation-sheet'!Y105</f>
        <v>462044484.47544479</v>
      </c>
      <c r="AA128" s="2">
        <f t="shared" si="11"/>
        <v>173912.6124181386</v>
      </c>
    </row>
    <row r="129" spans="1:27" x14ac:dyDescent="0.25">
      <c r="A129" s="2">
        <v>2031</v>
      </c>
      <c r="B129" s="2">
        <f>B8/'Output-Calculation-sheet'!B7*'Output-Calculation-sheet'!B106</f>
        <v>37177129725.970757</v>
      </c>
      <c r="C129" s="2">
        <f>C8/'Output-Calculation-sheet'!C7*'Output-Calculation-sheet'!C106</f>
        <v>21790199032.401569</v>
      </c>
      <c r="D129" s="2">
        <f>D8/'Output-Calculation-sheet'!D7*'Output-Calculation-sheet'!D106</f>
        <v>15614822589.745697</v>
      </c>
      <c r="E129" s="2">
        <f>E8/'Output-Calculation-sheet'!E7*'Output-Calculation-sheet'!E106</f>
        <v>12388777182.758169</v>
      </c>
      <c r="F129" s="2">
        <f>F8/'Output-Calculation-sheet'!F7*'Output-Calculation-sheet'!F106</f>
        <v>7975100439.5069237</v>
      </c>
      <c r="G129" s="2">
        <f>G8/'Output-Calculation-sheet'!G7*'Output-Calculation-sheet'!G106</f>
        <v>5603524439.5215473</v>
      </c>
      <c r="H129" s="2">
        <f>H8/'Output-Calculation-sheet'!H7*'Output-Calculation-sheet'!H106</f>
        <v>5466022989.4749718</v>
      </c>
      <c r="I129" s="2">
        <f>I8/'Output-Calculation-sheet'!I7*'Output-Calculation-sheet'!I106</f>
        <v>5105251858.1646633</v>
      </c>
      <c r="J129" s="2">
        <f>J8/'Output-Calculation-sheet'!J7*'Output-Calculation-sheet'!J106</f>
        <v>4969100530.4136629</v>
      </c>
      <c r="K129" s="2">
        <f>K8/'Output-Calculation-sheet'!K7*'Output-Calculation-sheet'!K106</f>
        <v>4921461823.5899744</v>
      </c>
      <c r="L129" s="2">
        <f>L8/'Output-Calculation-sheet'!L7*'Output-Calculation-sheet'!L106</f>
        <v>3948060667.5273018</v>
      </c>
      <c r="M129" s="2">
        <f>M8/'Output-Calculation-sheet'!M7*'Output-Calculation-sheet'!M106</f>
        <v>3771079372.5643058</v>
      </c>
      <c r="N129" s="2">
        <f>N8/'Output-Calculation-sheet'!N7*'Output-Calculation-sheet'!N106</f>
        <v>3701304230.1223211</v>
      </c>
      <c r="O129" s="2">
        <f>O8/'Output-Calculation-sheet'!O7*'Output-Calculation-sheet'!O106</f>
        <v>4747220828.3468695</v>
      </c>
      <c r="P129" s="2">
        <f>P8/'Output-Calculation-sheet'!P7*'Output-Calculation-sheet'!P106</f>
        <v>3369466226.3886809</v>
      </c>
      <c r="Q129" s="2">
        <f>Q8/'Output-Calculation-sheet'!Q7*'Output-Calculation-sheet'!Q106</f>
        <v>3315009578.2331014</v>
      </c>
      <c r="R129" s="2">
        <f>R8/'Output-Calculation-sheet'!R7*'Output-Calculation-sheet'!R106</f>
        <v>3189191672.4626927</v>
      </c>
      <c r="S129" s="2">
        <f>S8/'Output-Calculation-sheet'!S7*'Output-Calculation-sheet'!S106</f>
        <v>2119700160.4134099</v>
      </c>
      <c r="T129" s="2">
        <f>T8/'Output-Calculation-sheet'!T7*'Output-Calculation-sheet'!T106</f>
        <v>1172319664.8906024</v>
      </c>
      <c r="U129" s="2">
        <f>U8/'Output-Calculation-sheet'!U7*'Output-Calculation-sheet'!U106</f>
        <v>1021050171.1556271</v>
      </c>
      <c r="V129" s="2">
        <f>V8/'Output-Calculation-sheet'!V7*'Output-Calculation-sheet'!V106</f>
        <v>786229361.75097883</v>
      </c>
      <c r="W129" s="2">
        <f>W8/'Output-Calculation-sheet'!W7*'Output-Calculation-sheet'!W106</f>
        <v>680700113.89527714</v>
      </c>
      <c r="X129" s="2">
        <f>X8/'Output-Calculation-sheet'!X7*'Output-Calculation-sheet'!X106</f>
        <v>408420148.65317369</v>
      </c>
      <c r="Y129" s="2">
        <f>Y8/'Output-Calculation-sheet'!Y7*'Output-Calculation-sheet'!Y106</f>
        <v>397184587.61081046</v>
      </c>
      <c r="AA129" s="2">
        <f t="shared" si="11"/>
        <v>153638.32739556307</v>
      </c>
    </row>
    <row r="130" spans="1:27" x14ac:dyDescent="0.25">
      <c r="A130" s="2">
        <v>2032</v>
      </c>
      <c r="B130" s="2">
        <f>B9/'Output-Calculation-sheet'!B8*'Output-Calculation-sheet'!B107</f>
        <v>27966455413.66238</v>
      </c>
      <c r="C130" s="2">
        <f>C9/'Output-Calculation-sheet'!C8*'Output-Calculation-sheet'!C107</f>
        <v>21031529076.463512</v>
      </c>
      <c r="D130" s="2">
        <f>D9/'Output-Calculation-sheet'!D8*'Output-Calculation-sheet'!D107</f>
        <v>11746230255.994738</v>
      </c>
      <c r="E130" s="2">
        <f>E9/'Output-Calculation-sheet'!E8*'Output-Calculation-sheet'!E107</f>
        <v>9319440520.0346031</v>
      </c>
      <c r="F130" s="2">
        <f>F9/'Output-Calculation-sheet'!F8*'Output-Calculation-sheet'!F107</f>
        <v>5999261383.3039017</v>
      </c>
      <c r="G130" s="2">
        <f>G9/'Output-Calculation-sheet'!G8*'Output-Calculation-sheet'!G107</f>
        <v>4215245716.2265711</v>
      </c>
      <c r="H130" s="2">
        <f>H9/'Output-Calculation-sheet'!H8*'Output-Calculation-sheet'!H107</f>
        <v>4111809315.4631963</v>
      </c>
      <c r="I130" s="2">
        <f>I9/'Output-Calculation-sheet'!I8*'Output-Calculation-sheet'!I107</f>
        <v>3840420153.2863612</v>
      </c>
      <c r="J130" s="2">
        <f>J9/'Output-Calculation-sheet'!J8*'Output-Calculation-sheet'!J107</f>
        <v>3737999007.2641773</v>
      </c>
      <c r="K130" s="2">
        <f>K9/'Output-Calculation-sheet'!K8*'Output-Calculation-sheet'!K107</f>
        <v>3702163823.8439765</v>
      </c>
      <c r="L130" s="2">
        <f>L9/'Output-Calculation-sheet'!L8*'Output-Calculation-sheet'!L107</f>
        <v>2969924343.7580709</v>
      </c>
      <c r="M130" s="2">
        <f>M9/'Output-Calculation-sheet'!M8*'Output-Calculation-sheet'!M107</f>
        <v>2836790720.3652563</v>
      </c>
      <c r="N130" s="2">
        <f>N9/'Output-Calculation-sheet'!N8*'Output-Calculation-sheet'!N107</f>
        <v>2784300641.3402772</v>
      </c>
      <c r="O130" s="2">
        <f>O9/'Output-Calculation-sheet'!O8*'Output-Calculation-sheet'!O107</f>
        <v>4579890284.8709326</v>
      </c>
      <c r="P130" s="2">
        <f>P9/'Output-Calculation-sheet'!P8*'Output-Calculation-sheet'!P107</f>
        <v>2534676643.0315418</v>
      </c>
      <c r="Q130" s="2">
        <f>Q9/'Output-Calculation-sheet'!Q8*'Output-Calculation-sheet'!Q107</f>
        <v>2493712971.5816579</v>
      </c>
      <c r="R130" s="2">
        <f>R9/'Output-Calculation-sheet'!R8*'Output-Calculation-sheet'!R107</f>
        <v>2399066280.7372098</v>
      </c>
      <c r="S130" s="2">
        <f>S9/'Output-Calculation-sheet'!S8*'Output-Calculation-sheet'!S107</f>
        <v>1594542139.5518672</v>
      </c>
      <c r="T130" s="2">
        <f>T9/'Output-Calculation-sheet'!T8*'Output-Calculation-sheet'!T107</f>
        <v>881876194.08263171</v>
      </c>
      <c r="U130" s="2">
        <f>U9/'Output-Calculation-sheet'!U8*'Output-Calculation-sheet'!U107</f>
        <v>768083781.09589028</v>
      </c>
      <c r="V130" s="2">
        <f>V9/'Output-Calculation-sheet'!V8*'Output-Calculation-sheet'!V107</f>
        <v>591439872.95798767</v>
      </c>
      <c r="W130" s="2">
        <f>W9/'Output-Calculation-sheet'!W8*'Output-Calculation-sheet'!W107</f>
        <v>512055988.16848272</v>
      </c>
      <c r="X130" s="2">
        <f>X9/'Output-Calculation-sheet'!X8*'Output-Calculation-sheet'!X107</f>
        <v>307233532.61824739</v>
      </c>
      <c r="Y130" s="2">
        <f>Y9/'Output-Calculation-sheet'!Y8*'Output-Calculation-sheet'!Y107</f>
        <v>298781596.54487926</v>
      </c>
      <c r="AA130" s="2">
        <f t="shared" si="11"/>
        <v>121222.92965624834</v>
      </c>
    </row>
    <row r="131" spans="1:27" x14ac:dyDescent="0.25">
      <c r="A131" s="2">
        <v>2033</v>
      </c>
      <c r="B131" s="2">
        <f>B10/'Output-Calculation-sheet'!B9*'Output-Calculation-sheet'!B108</f>
        <v>18605238428.448532</v>
      </c>
      <c r="C131" s="2">
        <f>C10/'Output-Calculation-sheet'!C9*'Output-Calculation-sheet'!C108</f>
        <v>19469029373.266006</v>
      </c>
      <c r="D131" s="2">
        <f>D10/'Output-Calculation-sheet'!D9*'Output-Calculation-sheet'!D108</f>
        <v>7814414387.4472437</v>
      </c>
      <c r="E131" s="2">
        <f>E10/'Output-Calculation-sheet'!E9*'Output-Calculation-sheet'!E108</f>
        <v>6199942411.4310579</v>
      </c>
      <c r="F131" s="2">
        <f>F10/'Output-Calculation-sheet'!F9*'Output-Calculation-sheet'!F108</f>
        <v>3991125413.0178204</v>
      </c>
      <c r="G131" s="2">
        <f>G10/'Output-Calculation-sheet'!G9*'Output-Calculation-sheet'!G108</f>
        <v>2804274248.6668425</v>
      </c>
      <c r="H131" s="2">
        <f>H10/'Output-Calculation-sheet'!H9*'Output-Calculation-sheet'!H108</f>
        <v>2735461882.5066471</v>
      </c>
      <c r="I131" s="2">
        <f>I10/'Output-Calculation-sheet'!I9*'Output-Calculation-sheet'!I108</f>
        <v>2554915570.6119018</v>
      </c>
      <c r="J131" s="2">
        <f>J10/'Output-Calculation-sheet'!J9*'Output-Calculation-sheet'!J108</f>
        <v>2486777885.3955688</v>
      </c>
      <c r="K131" s="2">
        <f>K10/'Output-Calculation-sheet'!K9*'Output-Calculation-sheet'!K108</f>
        <v>2462937175.8158555</v>
      </c>
      <c r="L131" s="2">
        <f>L10/'Output-Calculation-sheet'!L9*'Output-Calculation-sheet'!L108</f>
        <v>1975800997.592</v>
      </c>
      <c r="M131" s="2">
        <f>M10/'Output-Calculation-sheet'!M9*'Output-Calculation-sheet'!M108</f>
        <v>1887230240.2349741</v>
      </c>
      <c r="N131" s="2">
        <f>N10/'Output-Calculation-sheet'!N9*'Output-Calculation-sheet'!N108</f>
        <v>1852310671.407474</v>
      </c>
      <c r="O131" s="2">
        <f>O10/'Output-Calculation-sheet'!O9*'Output-Calculation-sheet'!O108</f>
        <v>4386757552.6015148</v>
      </c>
      <c r="P131" s="2">
        <f>P10/'Output-Calculation-sheet'!P9*'Output-Calculation-sheet'!P108</f>
        <v>1686244289.3181984</v>
      </c>
      <c r="Q131" s="2">
        <f>Q10/'Output-Calculation-sheet'!Q9*'Output-Calculation-sheet'!Q108</f>
        <v>1658991518.4103248</v>
      </c>
      <c r="R131" s="2">
        <f>R10/'Output-Calculation-sheet'!R9*'Output-Calculation-sheet'!R108</f>
        <v>1596025533.1577516</v>
      </c>
      <c r="S131" s="2">
        <f>S10/'Output-Calculation-sheet'!S9*'Output-Calculation-sheet'!S108</f>
        <v>1060800741.4891908</v>
      </c>
      <c r="T131" s="2">
        <f>T10/'Output-Calculation-sheet'!T9*'Output-Calculation-sheet'!T108</f>
        <v>586685146.10853004</v>
      </c>
      <c r="U131" s="2">
        <f>U10/'Output-Calculation-sheet'!U9*'Output-Calculation-sheet'!U108</f>
        <v>510982816.7026034</v>
      </c>
      <c r="V131" s="2">
        <f>V10/'Output-Calculation-sheet'!V9*'Output-Calculation-sheet'!V108</f>
        <v>393466988.40991771</v>
      </c>
      <c r="W131" s="2">
        <f>W10/'Output-Calculation-sheet'!W9*'Output-Calculation-sheet'!W108</f>
        <v>340655211.03073829</v>
      </c>
      <c r="X131" s="2">
        <f>X10/'Output-Calculation-sheet'!X9*'Output-Calculation-sheet'!X108</f>
        <v>204393086.69342697</v>
      </c>
      <c r="Y131" s="2">
        <f>Y10/'Output-Calculation-sheet'!Y9*'Output-Calculation-sheet'!Y108</f>
        <v>198770272.13526848</v>
      </c>
      <c r="AA131" s="2">
        <f t="shared" si="11"/>
        <v>87463.231841899353</v>
      </c>
    </row>
    <row r="132" spans="1:27" x14ac:dyDescent="0.25">
      <c r="A132" s="2">
        <v>2034</v>
      </c>
      <c r="B132" s="2">
        <f>B11/'Output-Calculation-sheet'!B10*'Output-Calculation-sheet'!B109</f>
        <v>9295068727.7573071</v>
      </c>
      <c r="C132" s="2">
        <f>C11/'Output-Calculation-sheet'!C10*'Output-Calculation-sheet'!C109</f>
        <v>17186497829.936752</v>
      </c>
      <c r="D132" s="2">
        <f>D11/'Output-Calculation-sheet'!D10*'Output-Calculation-sheet'!D109</f>
        <v>3904035901.2296495</v>
      </c>
      <c r="E132" s="2">
        <f>E11/'Output-Calculation-sheet'!E10*'Output-Calculation-sheet'!E109</f>
        <v>3097456076.432538</v>
      </c>
      <c r="F132" s="2">
        <f>F11/'Output-Calculation-sheet'!F10*'Output-Calculation-sheet'!F109</f>
        <v>1993943627.5349081</v>
      </c>
      <c r="G132" s="2">
        <f>G11/'Output-Calculation-sheet'!G10*'Output-Calculation-sheet'!G109</f>
        <v>1400999733.9606311</v>
      </c>
      <c r="H132" s="2">
        <f>H11/'Output-Calculation-sheet'!H10*'Output-Calculation-sheet'!H109</f>
        <v>1660235893.8083007</v>
      </c>
      <c r="I132" s="2">
        <f>I11/'Output-Calculation-sheet'!I10*'Output-Calculation-sheet'!I109</f>
        <v>1276420939.4021344</v>
      </c>
      <c r="J132" s="2">
        <f>J11/'Output-Calculation-sheet'!J10*'Output-Calculation-sheet'!J109</f>
        <v>1242379937.1591501</v>
      </c>
      <c r="K132" s="2">
        <f>K11/'Output-Calculation-sheet'!K10*'Output-Calculation-sheet'!K109</f>
        <v>1230469642.2746239</v>
      </c>
      <c r="L132" s="2">
        <f>L11/'Output-Calculation-sheet'!L10*'Output-Calculation-sheet'!L109</f>
        <v>987098822.13345361</v>
      </c>
      <c r="M132" s="2">
        <f>M11/'Output-Calculation-sheet'!M10*'Output-Calculation-sheet'!M109</f>
        <v>942849527.83840227</v>
      </c>
      <c r="N132" s="2">
        <f>N11/'Output-Calculation-sheet'!N10*'Output-Calculation-sheet'!N109</f>
        <v>925404196.12451971</v>
      </c>
      <c r="O132" s="2">
        <f>O11/'Output-Calculation-sheet'!O10*'Output-Calculation-sheet'!O109</f>
        <v>4078892022.1629715</v>
      </c>
      <c r="P132" s="2">
        <f>P11/'Output-Calculation-sheet'!P10*'Output-Calculation-sheet'!P109</f>
        <v>842437821.27581191</v>
      </c>
      <c r="Q132" s="2">
        <f>Q11/'Output-Calculation-sheet'!Q10*'Output-Calculation-sheet'!Q109</f>
        <v>1037515777.7827837</v>
      </c>
      <c r="R132" s="2">
        <f>R11/'Output-Calculation-sheet'!R10*'Output-Calculation-sheet'!R109</f>
        <v>797365431.88249278</v>
      </c>
      <c r="S132" s="2">
        <f>S11/'Output-Calculation-sheet'!S10*'Output-Calculation-sheet'!S109</f>
        <v>529969953.71338308</v>
      </c>
      <c r="T132" s="2">
        <f>T11/'Output-Calculation-sheet'!T10*'Output-Calculation-sheet'!T109</f>
        <v>293104664.83880258</v>
      </c>
      <c r="U132" s="2">
        <f>U11/'Output-Calculation-sheet'!U10*'Output-Calculation-sheet'!U109</f>
        <v>322386055.56679374</v>
      </c>
      <c r="V132" s="2">
        <f>V11/'Output-Calculation-sheet'!V10*'Output-Calculation-sheet'!V109</f>
        <v>196573907.45761681</v>
      </c>
      <c r="W132" s="2">
        <f>W11/'Output-Calculation-sheet'!W10*'Output-Calculation-sheet'!W109</f>
        <v>170189438.76462883</v>
      </c>
      <c r="X132" s="2">
        <f>X11/'Output-Calculation-sheet'!X10*'Output-Calculation-sheet'!X109</f>
        <v>135137752.2418803</v>
      </c>
      <c r="Y132" s="2">
        <f>Y11/'Output-Calculation-sheet'!Y10*'Output-Calculation-sheet'!Y109</f>
        <v>99304531.876226306</v>
      </c>
      <c r="AA132" s="2">
        <f t="shared" si="11"/>
        <v>53645.738213155775</v>
      </c>
    </row>
    <row r="133" spans="1:27" x14ac:dyDescent="0.25">
      <c r="A133" s="2">
        <v>2035</v>
      </c>
      <c r="B133" s="2">
        <f>B12/'Output-Calculation-sheet'!B11*'Output-Calculation-sheet'!B110</f>
        <v>9938762558.113842</v>
      </c>
      <c r="C133" s="2">
        <f>C12/'Output-Calculation-sheet'!C11*'Output-Calculation-sheet'!C110</f>
        <v>12812308973.884762</v>
      </c>
      <c r="D133" s="2">
        <f>D12/'Output-Calculation-sheet'!D11*'Output-Calculation-sheet'!D110</f>
        <v>3779337117.2045889</v>
      </c>
      <c r="E133" s="2">
        <f>E12/'Output-Calculation-sheet'!E11*'Output-Calculation-sheet'!E110</f>
        <v>1865410840.9542143</v>
      </c>
      <c r="F133" s="2">
        <f>F12/'Output-Calculation-sheet'!F11*'Output-Calculation-sheet'!F110</f>
        <v>1527871529.6243646</v>
      </c>
      <c r="G133" s="2">
        <f>G12/'Output-Calculation-sheet'!G11*'Output-Calculation-sheet'!G110</f>
        <v>1441934271.8008418</v>
      </c>
      <c r="H133" s="2">
        <f>H12/'Output-Calculation-sheet'!H11*'Output-Calculation-sheet'!H110</f>
        <v>1573347364.149173</v>
      </c>
      <c r="I133" s="2">
        <f>I12/'Output-Calculation-sheet'!I11*'Output-Calculation-sheet'!I110</f>
        <v>1237592552.8798873</v>
      </c>
      <c r="J133" s="2">
        <f>J12/'Output-Calculation-sheet'!J11*'Output-Calculation-sheet'!J110</f>
        <v>900509524.94357824</v>
      </c>
      <c r="K133" s="2">
        <f>K12/'Output-Calculation-sheet'!K11*'Output-Calculation-sheet'!K110</f>
        <v>993348103.23915553</v>
      </c>
      <c r="L133" s="2">
        <f>L12/'Output-Calculation-sheet'!L11*'Output-Calculation-sheet'!L110</f>
        <v>434531556.23036152</v>
      </c>
      <c r="M133" s="2">
        <f>M12/'Output-Calculation-sheet'!M11*'Output-Calculation-sheet'!M110</f>
        <v>865425650.12098777</v>
      </c>
      <c r="N133" s="2">
        <f>N12/'Output-Calculation-sheet'!N11*'Output-Calculation-sheet'!N110</f>
        <v>786698043.57304549</v>
      </c>
      <c r="O133" s="2">
        <f>O12/'Output-Calculation-sheet'!O11*'Output-Calculation-sheet'!O110</f>
        <v>3472531599.4427896</v>
      </c>
      <c r="P133" s="2">
        <f>P12/'Output-Calculation-sheet'!P11*'Output-Calculation-sheet'!P110</f>
        <v>665217959.06511688</v>
      </c>
      <c r="Q133" s="2">
        <f>Q12/'Output-Calculation-sheet'!Q11*'Output-Calculation-sheet'!Q110</f>
        <v>956050840.59950137</v>
      </c>
      <c r="R133" s="2">
        <f>R12/'Output-Calculation-sheet'!R11*'Output-Calculation-sheet'!R110</f>
        <v>500039853.51671576</v>
      </c>
      <c r="S133" s="2">
        <f>S12/'Output-Calculation-sheet'!S11*'Output-Calculation-sheet'!S110</f>
        <v>581581306.08789444</v>
      </c>
      <c r="T133" s="2">
        <f>T12/'Output-Calculation-sheet'!T11*'Output-Calculation-sheet'!T110</f>
        <v>139232024.561643</v>
      </c>
      <c r="U133" s="2">
        <f>U12/'Output-Calculation-sheet'!U11*'Output-Calculation-sheet'!U110</f>
        <v>322233486.40076363</v>
      </c>
      <c r="V133" s="2">
        <f>V12/'Output-Calculation-sheet'!V11*'Output-Calculation-sheet'!V110</f>
        <v>48185634.215590149</v>
      </c>
      <c r="W133" s="2">
        <f>W12/'Output-Calculation-sheet'!W11*'Output-Calculation-sheet'!W110</f>
        <v>96528755.409797207</v>
      </c>
      <c r="X133" s="2">
        <f>X12/'Output-Calculation-sheet'!X11*'Output-Calculation-sheet'!X110</f>
        <v>134248816.87986562</v>
      </c>
      <c r="Y133" s="2">
        <f>Y12/'Output-Calculation-sheet'!Y11*'Output-Calculation-sheet'!Y110</f>
        <v>94794602.961481437</v>
      </c>
      <c r="AA133" s="2">
        <f t="shared" si="11"/>
        <v>45167.722965859961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1047.4197671319919</v>
      </c>
      <c r="C19" s="2">
        <f>C8/'Output-Calculation-sheet'!C7*'Output-Calculation-sheet'!C25</f>
        <v>11985.822959517551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4699.2965041767902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3264.6206309787126</v>
      </c>
      <c r="N19" s="2">
        <f>N8/'Output-Calculation-sheet'!N7*'Output-Calculation-sheet'!N25</f>
        <v>1117.9328241161672</v>
      </c>
      <c r="O19" s="2">
        <f>O8/'Output-Calculation-sheet'!O7*'Output-Calculation-sheet'!O25</f>
        <v>1842.6445134528294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398.89607952916936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365.1714341255489</v>
      </c>
      <c r="Y19" s="2">
        <f>Y8/'Output-Calculation-sheet'!Y7*'Output-Calculation-sheet'!Y25</f>
        <v>0</v>
      </c>
      <c r="AA19" s="2">
        <f t="shared" si="0"/>
        <v>24.72180471302876</v>
      </c>
    </row>
    <row r="20" spans="1:27" x14ac:dyDescent="0.25">
      <c r="A20" s="2">
        <v>2032</v>
      </c>
      <c r="B20" s="2">
        <f>B9/'Output-Calculation-sheet'!B8*'Output-Calculation-sheet'!B26</f>
        <v>5708.0489700975231</v>
      </c>
      <c r="C20" s="2">
        <f>C9/'Output-Calculation-sheet'!C8*'Output-Calculation-sheet'!C26</f>
        <v>13499.241285210002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6201.9069984346925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4315.0926934991103</v>
      </c>
      <c r="N20" s="2">
        <f>N9/'Output-Calculation-sheet'!N8*'Output-Calculation-sheet'!N26</f>
        <v>1947.3239355297972</v>
      </c>
      <c r="O20" s="2">
        <f>O9/'Output-Calculation-sheet'!O8*'Output-Calculation-sheet'!O26</f>
        <v>2138.7630660481964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704.09490990895063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482.75289085126121</v>
      </c>
      <c r="Y20" s="2">
        <f>Y9/'Output-Calculation-sheet'!Y8*'Output-Calculation-sheet'!Y26</f>
        <v>0</v>
      </c>
      <c r="AA20" s="2">
        <f t="shared" si="0"/>
        <v>34.99722474957953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15096.05385173773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7522.3570101834221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5224.3504167781093</v>
      </c>
      <c r="N21" s="2">
        <f>N10/'Output-Calculation-sheet'!N9*'Output-Calculation-sheet'!N27</f>
        <v>2857.6564057633591</v>
      </c>
      <c r="O21" s="2">
        <f>O10/'Output-Calculation-sheet'!O9*'Output-Calculation-sheet'!O27</f>
        <v>2317.4296734827158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1244.1004602816083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614.38333429202567</v>
      </c>
      <c r="Y21" s="2">
        <f>Y10/'Output-Calculation-sheet'!Y9*'Output-Calculation-sheet'!Y27</f>
        <v>0</v>
      </c>
      <c r="AA21" s="2">
        <f t="shared" si="0"/>
        <v>48.082221012292358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16731.94785713531</v>
      </c>
      <c r="D22" s="2">
        <f>D11/'Output-Calculation-sheet'!D10*'Output-Calculation-sheet'!D28</f>
        <v>0</v>
      </c>
      <c r="E22" s="2">
        <f>E11/'Output-Calculation-sheet'!E10*'Output-Calculation-sheet'!E28</f>
        <v>1236.2739670283938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8812.9433391299535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724.81538720341757</v>
      </c>
      <c r="M22" s="2">
        <f>M11/'Output-Calculation-sheet'!M10*'Output-Calculation-sheet'!M28</f>
        <v>6588.5257814483357</v>
      </c>
      <c r="N22" s="2">
        <f>N11/'Output-Calculation-sheet'!N10*'Output-Calculation-sheet'!N28</f>
        <v>3791.7332874439126</v>
      </c>
      <c r="O22" s="2">
        <f>O11/'Output-Calculation-sheet'!O10*'Output-Calculation-sheet'!O28</f>
        <v>2519.3126883103491</v>
      </c>
      <c r="P22" s="2">
        <f>P11/'Output-Calculation-sheet'!P10*'Output-Calculation-sheet'!P28</f>
        <v>0</v>
      </c>
      <c r="Q22" s="2">
        <f>Q11/'Output-Calculation-sheet'!Q10*'Output-Calculation-sheet'!Q28</f>
        <v>1095.1395491623946</v>
      </c>
      <c r="R22" s="2">
        <f>R11/'Output-Calculation-sheet'!R10*'Output-Calculation-sheet'!R28</f>
        <v>0</v>
      </c>
      <c r="S22" s="2">
        <f>S11/'Output-Calculation-sheet'!S10*'Output-Calculation-sheet'!S28</f>
        <v>1922.9475112910736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634.5477514400809</v>
      </c>
      <c r="Y22" s="2">
        <f>Y11/'Output-Calculation-sheet'!Y10*'Output-Calculation-sheet'!Y28</f>
        <v>66.215061881612939</v>
      </c>
      <c r="AA22" s="2">
        <f t="shared" si="0"/>
        <v>67.927573020754366</v>
      </c>
    </row>
    <row r="23" spans="1:27" x14ac:dyDescent="0.25">
      <c r="A23" s="2">
        <v>2035</v>
      </c>
      <c r="B23" s="2">
        <f>B12/'Output-Calculation-sheet'!B11*'Output-Calculation-sheet'!B29</f>
        <v>22368.266006249291</v>
      </c>
      <c r="C23" s="2">
        <f>C12/'Output-Calculation-sheet'!C11*'Output-Calculation-sheet'!C29</f>
        <v>19004.96032799028</v>
      </c>
      <c r="D23" s="2">
        <f>D12/'Output-Calculation-sheet'!D11*'Output-Calculation-sheet'!D29</f>
        <v>0</v>
      </c>
      <c r="E23" s="2">
        <f>E12/'Output-Calculation-sheet'!E11*'Output-Calculation-sheet'!E29</f>
        <v>3762.650486431181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8249.37438327167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1361.6003568693341</v>
      </c>
      <c r="M23" s="2">
        <f>M12/'Output-Calculation-sheet'!M11*'Output-Calculation-sheet'!M29</f>
        <v>6253.3331329509774</v>
      </c>
      <c r="N23" s="2">
        <f>N12/'Output-Calculation-sheet'!N11*'Output-Calculation-sheet'!N29</f>
        <v>3682.4118252404492</v>
      </c>
      <c r="O23" s="2">
        <f>O12/'Output-Calculation-sheet'!O11*'Output-Calculation-sheet'!O29</f>
        <v>2847.4795655735657</v>
      </c>
      <c r="P23" s="2">
        <f>P12/'Output-Calculation-sheet'!P11*'Output-Calculation-sheet'!P29</f>
        <v>434.57003862193909</v>
      </c>
      <c r="Q23" s="2">
        <f>Q12/'Output-Calculation-sheet'!Q11*'Output-Calculation-sheet'!Q29</f>
        <v>1162.1629769618166</v>
      </c>
      <c r="R23" s="2">
        <f>R12/'Output-Calculation-sheet'!R11*'Output-Calculation-sheet'!R29</f>
        <v>0</v>
      </c>
      <c r="S23" s="2">
        <f>S12/'Output-Calculation-sheet'!S11*'Output-Calculation-sheet'!S29</f>
        <v>1770.5353636252021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586.19995046052588</v>
      </c>
      <c r="Y23" s="2">
        <f>Y12/'Output-Calculation-sheet'!Y11*'Output-Calculation-sheet'!Y29</f>
        <v>82.736660813611422</v>
      </c>
      <c r="AA23" s="2">
        <f t="shared" si="0"/>
        <v>71.566281075059834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18256.186290615587</v>
      </c>
      <c r="C30" s="2">
        <f>C8/'Output-Calculation-sheet'!C7*'Output-Calculation-sheet'!C16</f>
        <v>0</v>
      </c>
      <c r="D30" s="2">
        <f>D8/'Output-Calculation-sheet'!D7*'Output-Calculation-sheet'!D16</f>
        <v>3074.1004308541637</v>
      </c>
      <c r="E30" s="2">
        <f>E8/'Output-Calculation-sheet'!E7*'Output-Calculation-sheet'!E16</f>
        <v>3307.558383509504</v>
      </c>
      <c r="F30" s="2">
        <f>F8/'Output-Calculation-sheet'!F7*'Output-Calculation-sheet'!F16</f>
        <v>1668.6808048989658</v>
      </c>
      <c r="G30" s="2">
        <f>G8/'Output-Calculation-sheet'!G7*'Output-Calculation-sheet'!G16</f>
        <v>1092.787735293927</v>
      </c>
      <c r="H30" s="2">
        <f>H8/'Output-Calculation-sheet'!H7*'Output-Calculation-sheet'!H16</f>
        <v>0</v>
      </c>
      <c r="I30" s="2">
        <f>I8/'Output-Calculation-sheet'!I7*'Output-Calculation-sheet'!I16</f>
        <v>1065.3044173739431</v>
      </c>
      <c r="J30" s="2">
        <f>J8/'Output-Calculation-sheet'!J7*'Output-Calculation-sheet'!J16</f>
        <v>948.3257722548492</v>
      </c>
      <c r="K30" s="2">
        <f>K8/'Output-Calculation-sheet'!K7*'Output-Calculation-sheet'!K16</f>
        <v>1266.196168766563</v>
      </c>
      <c r="L30" s="2">
        <f>L8/'Output-Calculation-sheet'!L7*'Output-Calculation-sheet'!L16</f>
        <v>1069.524105716238</v>
      </c>
      <c r="M30" s="2">
        <f>M8/'Output-Calculation-sheet'!M7*'Output-Calculation-sheet'!M16</f>
        <v>0</v>
      </c>
      <c r="N30" s="2">
        <f>N8/'Output-Calculation-sheet'!N7*'Output-Calculation-sheet'!N16</f>
        <v>1519.1688860772651</v>
      </c>
      <c r="O30" s="2">
        <f>O8/'Output-Calculation-sheet'!O7*'Output-Calculation-sheet'!O16</f>
        <v>0</v>
      </c>
      <c r="P30" s="2">
        <f>P8/'Output-Calculation-sheet'!P7*'Output-Calculation-sheet'!P16</f>
        <v>1365.3791468943498</v>
      </c>
      <c r="Q30" s="2">
        <f>Q8/'Output-Calculation-sheet'!Q7*'Output-Calculation-sheet'!Q16</f>
        <v>1501.4661316921756</v>
      </c>
      <c r="R30" s="2">
        <f>R8/'Output-Calculation-sheet'!R7*'Output-Calculation-sheet'!R16</f>
        <v>952.68678650726611</v>
      </c>
      <c r="S30" s="2">
        <f>S8/'Output-Calculation-sheet'!S7*'Output-Calculation-sheet'!S16</f>
        <v>958.12354838335284</v>
      </c>
      <c r="T30" s="2">
        <f>T8/'Output-Calculation-sheet'!T7*'Output-Calculation-sheet'!T16</f>
        <v>285.98287916030586</v>
      </c>
      <c r="U30" s="2">
        <f>U8/'Output-Calculation-sheet'!U7*'Output-Calculation-sheet'!U16</f>
        <v>285.47169201567652</v>
      </c>
      <c r="V30" s="2">
        <f>V8/'Output-Calculation-sheet'!V7*'Output-Calculation-sheet'!V16</f>
        <v>222.17719151513506</v>
      </c>
      <c r="W30" s="2">
        <f>W8/'Output-Calculation-sheet'!W7*'Output-Calculation-sheet'!W16</f>
        <v>134.76166716957329</v>
      </c>
      <c r="X30" s="2">
        <f>X8/'Output-Calculation-sheet'!X7*'Output-Calculation-sheet'!X16</f>
        <v>0</v>
      </c>
      <c r="Y30" s="2">
        <f>Y8/'Output-Calculation-sheet'!Y7*'Output-Calculation-sheet'!Y16</f>
        <v>114.06043056261743</v>
      </c>
      <c r="AA30" s="2">
        <f t="shared" si="1"/>
        <v>39.087942469261463</v>
      </c>
    </row>
    <row r="31" spans="1:27" x14ac:dyDescent="0.25">
      <c r="A31" s="2">
        <v>2032</v>
      </c>
      <c r="B31" s="2">
        <f>B9/'Output-Calculation-sheet'!B8*'Output-Calculation-sheet'!B17</f>
        <v>24169.765207373512</v>
      </c>
      <c r="C31" s="2">
        <f>C9/'Output-Calculation-sheet'!C8*'Output-Calculation-sheet'!C17</f>
        <v>0</v>
      </c>
      <c r="D31" s="2">
        <f>D9/'Output-Calculation-sheet'!D8*'Output-Calculation-sheet'!D17</f>
        <v>4053.5869655808833</v>
      </c>
      <c r="E31" s="2">
        <f>E9/'Output-Calculation-sheet'!E8*'Output-Calculation-sheet'!E17</f>
        <v>4764.4376436967987</v>
      </c>
      <c r="F31" s="2">
        <f>F9/'Output-Calculation-sheet'!F8*'Output-Calculation-sheet'!F17</f>
        <v>2200.4185195589703</v>
      </c>
      <c r="G31" s="2">
        <f>G9/'Output-Calculation-sheet'!G8*'Output-Calculation-sheet'!G17</f>
        <v>1440.9994324264208</v>
      </c>
      <c r="H31" s="2">
        <f>H9/'Output-Calculation-sheet'!H8*'Output-Calculation-sheet'!H17</f>
        <v>0</v>
      </c>
      <c r="I31" s="2">
        <f>I9/'Output-Calculation-sheet'!I8*'Output-Calculation-sheet'!I17</f>
        <v>1404.7652637051012</v>
      </c>
      <c r="J31" s="2">
        <f>J9/'Output-Calculation-sheet'!J8*'Output-Calculation-sheet'!J17</f>
        <v>1250.5118528709593</v>
      </c>
      <c r="K31" s="2">
        <f>K9/'Output-Calculation-sheet'!K8*'Output-Calculation-sheet'!K17</f>
        <v>1780.3968495239208</v>
      </c>
      <c r="L31" s="2">
        <f>L9/'Output-Calculation-sheet'!L8*'Output-Calculation-sheet'!L17</f>
        <v>1518.3655267910847</v>
      </c>
      <c r="M31" s="2">
        <f>M9/'Output-Calculation-sheet'!M8*'Output-Calculation-sheet'!M17</f>
        <v>0</v>
      </c>
      <c r="N31" s="2">
        <f>N9/'Output-Calculation-sheet'!N8*'Output-Calculation-sheet'!N17</f>
        <v>1650.6186199083565</v>
      </c>
      <c r="O31" s="2">
        <f>O9/'Output-Calculation-sheet'!O8*'Output-Calculation-sheet'!O17</f>
        <v>0</v>
      </c>
      <c r="P31" s="2">
        <f>P9/'Output-Calculation-sheet'!P8*'Output-Calculation-sheet'!P17</f>
        <v>2048.6739015822859</v>
      </c>
      <c r="Q31" s="2">
        <f>Q9/'Output-Calculation-sheet'!Q8*'Output-Calculation-sheet'!Q17</f>
        <v>2184.0746049954319</v>
      </c>
      <c r="R31" s="2">
        <f>R9/'Output-Calculation-sheet'!R8*'Output-Calculation-sheet'!R17</f>
        <v>1428.9370335926426</v>
      </c>
      <c r="S31" s="2">
        <f>S9/'Output-Calculation-sheet'!S8*'Output-Calculation-sheet'!S17</f>
        <v>1233.9106424015031</v>
      </c>
      <c r="T31" s="2">
        <f>T9/'Output-Calculation-sheet'!T8*'Output-Calculation-sheet'!T17</f>
        <v>387.75250398370633</v>
      </c>
      <c r="U31" s="2">
        <f>U9/'Output-Calculation-sheet'!U8*'Output-Calculation-sheet'!U17</f>
        <v>445.65124318110054</v>
      </c>
      <c r="V31" s="2">
        <f>V9/'Output-Calculation-sheet'!V8*'Output-Calculation-sheet'!V17</f>
        <v>319.19883982252941</v>
      </c>
      <c r="W31" s="2">
        <f>W9/'Output-Calculation-sheet'!W8*'Output-Calculation-sheet'!W17</f>
        <v>177.70552539517101</v>
      </c>
      <c r="X31" s="2">
        <f>X9/'Output-Calculation-sheet'!X8*'Output-Calculation-sheet'!X17</f>
        <v>0</v>
      </c>
      <c r="Y31" s="2">
        <f>Y9/'Output-Calculation-sheet'!Y8*'Output-Calculation-sheet'!Y17</f>
        <v>171.7020378878974</v>
      </c>
      <c r="AA31" s="2">
        <f t="shared" si="1"/>
        <v>52.631472214278268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1608.2761779470752</v>
      </c>
      <c r="O32" s="2">
        <f>O10/'Output-Calculation-sheet'!O9*'Output-Calculation-sheet'!O18</f>
        <v>0</v>
      </c>
      <c r="P32" s="2">
        <f>P10/'Output-Calculation-sheet'!P9*'Output-Calculation-sheet'!P18</f>
        <v>2588.5876392453665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1858.5187364776689</v>
      </c>
      <c r="S32" s="2">
        <f>S10/'Output-Calculation-sheet'!S9*'Output-Calculation-sheet'!S18</f>
        <v>1216.3952651361544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599.95933516360367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63.396605284471022</v>
      </c>
    </row>
    <row r="33" spans="1:27" x14ac:dyDescent="0.25">
      <c r="A33" s="2">
        <v>2034</v>
      </c>
      <c r="B33" s="2">
        <f>B11/'Output-Calculation-sheet'!B10*'Output-Calculation-sheet'!B19</f>
        <v>24008.900217137925</v>
      </c>
      <c r="C33" s="2">
        <f>C11/'Output-Calculation-sheet'!C10*'Output-Calculation-sheet'!C19</f>
        <v>0</v>
      </c>
      <c r="D33" s="2">
        <f>D11/'Output-Calculation-sheet'!D10*'Output-Calculation-sheet'!D19</f>
        <v>7173.8680414723522</v>
      </c>
      <c r="E33" s="2">
        <f>E11/'Output-Calculation-sheet'!E10*'Output-Calculation-sheet'!E19</f>
        <v>8858.7601982046799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2437.8894202416795</v>
      </c>
      <c r="H33" s="2">
        <f>H11/'Output-Calculation-sheet'!H10*'Output-Calculation-sheet'!H19</f>
        <v>0</v>
      </c>
      <c r="I33" s="2">
        <f>I11/'Output-Calculation-sheet'!I10*'Output-Calculation-sheet'!I19</f>
        <v>2663.7785380898135</v>
      </c>
      <c r="J33" s="2">
        <f>J11/'Output-Calculation-sheet'!J10*'Output-Calculation-sheet'!J19</f>
        <v>2249.5674034844674</v>
      </c>
      <c r="K33" s="2">
        <f>K11/'Output-Calculation-sheet'!K10*'Output-Calculation-sheet'!K19</f>
        <v>3121.0894801526401</v>
      </c>
      <c r="L33" s="2">
        <f>L11/'Output-Calculation-sheet'!L10*'Output-Calculation-sheet'!L19</f>
        <v>2540.8175337514908</v>
      </c>
      <c r="M33" s="2">
        <f>M11/'Output-Calculation-sheet'!M10*'Output-Calculation-sheet'!M19</f>
        <v>0</v>
      </c>
      <c r="N33" s="2">
        <f>N11/'Output-Calculation-sheet'!N10*'Output-Calculation-sheet'!N19</f>
        <v>1435.196575041806</v>
      </c>
      <c r="O33" s="2">
        <f>O11/'Output-Calculation-sheet'!O10*'Output-Calculation-sheet'!O19</f>
        <v>0</v>
      </c>
      <c r="P33" s="2">
        <f>P11/'Output-Calculation-sheet'!P10*'Output-Calculation-sheet'!P19</f>
        <v>3160.2222423844128</v>
      </c>
      <c r="Q33" s="2">
        <f>Q11/'Output-Calculation-sheet'!Q10*'Output-Calculation-sheet'!Q19</f>
        <v>2574.3448358657674</v>
      </c>
      <c r="R33" s="2">
        <f>R11/'Output-Calculation-sheet'!R10*'Output-Calculation-sheet'!R19</f>
        <v>2254.574018802412</v>
      </c>
      <c r="S33" s="2">
        <f>S11/'Output-Calculation-sheet'!S10*'Output-Calculation-sheet'!S19</f>
        <v>1053.8268692239874</v>
      </c>
      <c r="T33" s="2">
        <f>T11/'Output-Calculation-sheet'!T10*'Output-Calculation-sheet'!T19</f>
        <v>661.59997089190142</v>
      </c>
      <c r="U33" s="2">
        <f>U11/'Output-Calculation-sheet'!U10*'Output-Calculation-sheet'!U19</f>
        <v>708.89017564729045</v>
      </c>
      <c r="V33" s="2">
        <f>V11/'Output-Calculation-sheet'!V10*'Output-Calculation-sheet'!V19</f>
        <v>518.79949204273703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83.571701180731608</v>
      </c>
      <c r="Y33" s="2">
        <f>Y11/'Output-Calculation-sheet'!Y10*'Output-Calculation-sheet'!Y19</f>
        <v>291.16510767782637</v>
      </c>
      <c r="AA33" s="2">
        <f t="shared" si="1"/>
        <v>70.190711627863209</v>
      </c>
    </row>
    <row r="34" spans="1:27" x14ac:dyDescent="0.25">
      <c r="A34" s="2">
        <v>2035</v>
      </c>
      <c r="B34" s="2">
        <f>B12/'Output-Calculation-sheet'!B11*'Output-Calculation-sheet'!B20</f>
        <v>20460.09877355507</v>
      </c>
      <c r="C34" s="2">
        <f>C12/'Output-Calculation-sheet'!C11*'Output-Calculation-sheet'!C20</f>
        <v>0</v>
      </c>
      <c r="D34" s="2">
        <f>D12/'Output-Calculation-sheet'!D11*'Output-Calculation-sheet'!D20</f>
        <v>6585.2198352907917</v>
      </c>
      <c r="E34" s="2">
        <f>E12/'Output-Calculation-sheet'!E11*'Output-Calculation-sheet'!E20</f>
        <v>7317.1010558802482</v>
      </c>
      <c r="F34" s="2">
        <f>F12/'Output-Calculation-sheet'!F11*'Output-Calculation-sheet'!F20</f>
        <v>4092.7422394790874</v>
      </c>
      <c r="G34" s="2">
        <f>G12/'Output-Calculation-sheet'!G11*'Output-Calculation-sheet'!G20</f>
        <v>2209.2118747727295</v>
      </c>
      <c r="H34" s="2">
        <f>H12/'Output-Calculation-sheet'!H11*'Output-Calculation-sheet'!H20</f>
        <v>0</v>
      </c>
      <c r="I34" s="2">
        <f>I12/'Output-Calculation-sheet'!I11*'Output-Calculation-sheet'!I20</f>
        <v>2456.1206261240936</v>
      </c>
      <c r="J34" s="2">
        <f>J12/'Output-Calculation-sheet'!J11*'Output-Calculation-sheet'!J20</f>
        <v>2276.5818212441595</v>
      </c>
      <c r="K34" s="2">
        <f>K12/'Output-Calculation-sheet'!K11*'Output-Calculation-sheet'!K20</f>
        <v>3027.6244199913544</v>
      </c>
      <c r="L34" s="2">
        <f>L12/'Output-Calculation-sheet'!L11*'Output-Calculation-sheet'!L20</f>
        <v>2416.1712165418239</v>
      </c>
      <c r="M34" s="2">
        <f>M12/'Output-Calculation-sheet'!M11*'Output-Calculation-sheet'!M20</f>
        <v>0</v>
      </c>
      <c r="N34" s="2">
        <f>N12/'Output-Calculation-sheet'!N11*'Output-Calculation-sheet'!N20</f>
        <v>1295.6923640422476</v>
      </c>
      <c r="O34" s="2">
        <f>O12/'Output-Calculation-sheet'!O11*'Output-Calculation-sheet'!O20</f>
        <v>0</v>
      </c>
      <c r="P34" s="2">
        <f>P12/'Output-Calculation-sheet'!P11*'Output-Calculation-sheet'!P20</f>
        <v>2759.72142190778</v>
      </c>
      <c r="Q34" s="2">
        <f>Q12/'Output-Calculation-sheet'!Q11*'Output-Calculation-sheet'!Q20</f>
        <v>2301.5819316277248</v>
      </c>
      <c r="R34" s="2">
        <f>R12/'Output-Calculation-sheet'!R11*'Output-Calculation-sheet'!R20</f>
        <v>2318.4942140317439</v>
      </c>
      <c r="S34" s="2">
        <f>S12/'Output-Calculation-sheet'!S11*'Output-Calculation-sheet'!S20</f>
        <v>885.65722569203842</v>
      </c>
      <c r="T34" s="2">
        <f>T12/'Output-Calculation-sheet'!T11*'Output-Calculation-sheet'!T20</f>
        <v>703.22366900825284</v>
      </c>
      <c r="U34" s="2">
        <f>U12/'Output-Calculation-sheet'!U11*'Output-Calculation-sheet'!U20</f>
        <v>647.28346879152184</v>
      </c>
      <c r="V34" s="2">
        <f>V12/'Output-Calculation-sheet'!V11*'Output-Calculation-sheet'!V20</f>
        <v>637.29772700549631</v>
      </c>
      <c r="W34" s="2">
        <f>W12/'Output-Calculation-sheet'!W11*'Output-Calculation-sheet'!W20</f>
        <v>345.78423692269473</v>
      </c>
      <c r="X34" s="2">
        <f>X12/'Output-Calculation-sheet'!X11*'Output-Calculation-sheet'!X20</f>
        <v>73.004301994538892</v>
      </c>
      <c r="Y34" s="2">
        <f>Y12/'Output-Calculation-sheet'!Y11*'Output-Calculation-sheet'!Y20</f>
        <v>250.96768814154225</v>
      </c>
      <c r="AA34" s="2">
        <f t="shared" si="1"/>
        <v>63.059580112044941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0.99513048670861726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0.19332708229055234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1.1884575689991697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1.0497793269260272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0.20394388176650693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1.2537232086925341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1.0569518487047826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0.20533730979094483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1.2622891584957274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1.016565081174948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0.31293039197792732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0.19749124735594276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0.18542114123436898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5.9160673516684567E-2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1.7951904085480879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0.93030361263392358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0.18073296464842323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7.7976286647253596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11959.024270094786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6664.0679603152066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4548.5507853986064</v>
      </c>
      <c r="N52" s="2">
        <f>N8/'Output-Calculation-sheet'!N7*'Output-Calculation-sheet'!N43</f>
        <v>145.38196909682426</v>
      </c>
      <c r="O52" s="2">
        <f>O8/'Output-Calculation-sheet'!O7*'Output-Calculation-sheet'!O43</f>
        <v>559.63102768317776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586.20858007478591</v>
      </c>
      <c r="Y52" s="2">
        <f>Y8/'Output-Calculation-sheet'!Y7*'Output-Calculation-sheet'!Y43</f>
        <v>0</v>
      </c>
      <c r="AA52" s="2">
        <f t="shared" si="3"/>
        <v>24.462864592663383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15838.775809761111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12444.293384004599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8504.3752485732257</v>
      </c>
      <c r="N53" s="2">
        <f>N9/'Output-Calculation-sheet'!N8*'Output-Calculation-sheet'!N44</f>
        <v>3028.9745989654052</v>
      </c>
      <c r="O53" s="2">
        <f>O9/'Output-Calculation-sheet'!O8*'Output-Calculation-sheet'!O44</f>
        <v>1180.727736542935</v>
      </c>
      <c r="P53" s="2">
        <f>P9/'Output-Calculation-sheet'!P8*'Output-Calculation-sheet'!P44</f>
        <v>141.68236739073703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934.08979635499372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1063.4784681019507</v>
      </c>
      <c r="Y53" s="2">
        <f>Y9/'Output-Calculation-sheet'!Y8*'Output-Calculation-sheet'!Y44</f>
        <v>0</v>
      </c>
      <c r="AA53" s="2">
        <f t="shared" si="3"/>
        <v>43.136397409694951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22529.763090812474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1999.3369637539365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447.84359323133953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96.110897920232262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31388.676190665061</v>
      </c>
      <c r="D55" s="2">
        <f>D11/'Output-Calculation-sheet'!D10*'Output-Calculation-sheet'!D46</f>
        <v>6240.3441528806607</v>
      </c>
      <c r="E55" s="2">
        <f>E11/'Output-Calculation-sheet'!E10*'Output-Calculation-sheet'!E46</f>
        <v>7784.3889662073243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20422.825581717363</v>
      </c>
      <c r="I55" s="2">
        <f>I11/'Output-Calculation-sheet'!I10*'Output-Calculation-sheet'!I46</f>
        <v>1503.7068969382876</v>
      </c>
      <c r="J55" s="2">
        <f>J11/'Output-Calculation-sheet'!J10*'Output-Calculation-sheet'!J46</f>
        <v>1109.8262704159461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14430.668684048933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3152.9304402439984</v>
      </c>
      <c r="P55" s="2">
        <f>P11/'Output-Calculation-sheet'!P10*'Output-Calculation-sheet'!P46</f>
        <v>4047.3894242292363</v>
      </c>
      <c r="Q55" s="2">
        <f>Q11/'Output-Calculation-sheet'!Q10*'Output-Calculation-sheet'!Q46</f>
        <v>3155.4124034620686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5405.9320963130558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965.25309421959025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1452.5379978104943</v>
      </c>
      <c r="Y55" s="2">
        <f>Y11/'Output-Calculation-sheet'!Y10*'Output-Calculation-sheet'!Y46</f>
        <v>381.9253735395323</v>
      </c>
      <c r="AA55" s="2">
        <f t="shared" si="3"/>
        <v>192.489659227869</v>
      </c>
    </row>
    <row r="56" spans="1:27" x14ac:dyDescent="0.25">
      <c r="A56" s="2">
        <v>2035</v>
      </c>
      <c r="B56" s="2">
        <f>B12/'Output-Calculation-sheet'!B11*'Output-Calculation-sheet'!B47</f>
        <v>63788.974890030266</v>
      </c>
      <c r="C56" s="2">
        <f>C12/'Output-Calculation-sheet'!C11*'Output-Calculation-sheet'!C47</f>
        <v>47576.053172419073</v>
      </c>
      <c r="D56" s="2">
        <f>D12/'Output-Calculation-sheet'!D11*'Output-Calculation-sheet'!D47</f>
        <v>6505.9913187864586</v>
      </c>
      <c r="E56" s="2">
        <f>E12/'Output-Calculation-sheet'!E11*'Output-Calculation-sheet'!E47</f>
        <v>16373.33784213648</v>
      </c>
      <c r="F56" s="2">
        <f>F12/'Output-Calculation-sheet'!F11*'Output-Calculation-sheet'!F47</f>
        <v>903.30760730440431</v>
      </c>
      <c r="G56" s="2">
        <f>G12/'Output-Calculation-sheet'!G11*'Output-Calculation-sheet'!G47</f>
        <v>2411.6334994701956</v>
      </c>
      <c r="H56" s="2">
        <f>H12/'Output-Calculation-sheet'!H11*'Output-Calculation-sheet'!H47</f>
        <v>18865.675043430274</v>
      </c>
      <c r="I56" s="2">
        <f>I12/'Output-Calculation-sheet'!I11*'Output-Calculation-sheet'!I47</f>
        <v>1539.3757307268427</v>
      </c>
      <c r="J56" s="2">
        <f>J12/'Output-Calculation-sheet'!J11*'Output-Calculation-sheet'!J47</f>
        <v>2516.0446384889724</v>
      </c>
      <c r="K56" s="2">
        <f>K12/'Output-Calculation-sheet'!K11*'Output-Calculation-sheet'!K47</f>
        <v>3461.4783183570912</v>
      </c>
      <c r="L56" s="2">
        <f>L12/'Output-Calculation-sheet'!L11*'Output-Calculation-sheet'!L47</f>
        <v>3718.4764561954535</v>
      </c>
      <c r="M56" s="2">
        <f>M12/'Output-Calculation-sheet'!M11*'Output-Calculation-sheet'!M47</f>
        <v>13257.998968876098</v>
      </c>
      <c r="N56" s="2">
        <f>N12/'Output-Calculation-sheet'!N11*'Output-Calculation-sheet'!N47</f>
        <v>10601.073008802792</v>
      </c>
      <c r="O56" s="2">
        <f>O12/'Output-Calculation-sheet'!O11*'Output-Calculation-sheet'!O47</f>
        <v>5247.5974823357965</v>
      </c>
      <c r="P56" s="2">
        <f>P12/'Output-Calculation-sheet'!P11*'Output-Calculation-sheet'!P47</f>
        <v>4598.5417066787586</v>
      </c>
      <c r="Q56" s="2">
        <f>Q12/'Output-Calculation-sheet'!Q11*'Output-Calculation-sheet'!Q47</f>
        <v>3349.0870527352322</v>
      </c>
      <c r="R56" s="2">
        <f>R12/'Output-Calculation-sheet'!R11*'Output-Calculation-sheet'!R47</f>
        <v>3896.9266337152085</v>
      </c>
      <c r="S56" s="2">
        <f>S12/'Output-Calculation-sheet'!S11*'Output-Calculation-sheet'!S47</f>
        <v>4937.4686718698913</v>
      </c>
      <c r="T56" s="2">
        <f>T12/'Output-Calculation-sheet'!T11*'Output-Calculation-sheet'!T47</f>
        <v>1277.8934421676722</v>
      </c>
      <c r="U56" s="2">
        <f>U12/'Output-Calculation-sheet'!U11*'Output-Calculation-sheet'!U47</f>
        <v>892.8440880215278</v>
      </c>
      <c r="V56" s="2">
        <f>V12/'Output-Calculation-sheet'!V11*'Output-Calculation-sheet'!V47</f>
        <v>878.88991703242664</v>
      </c>
      <c r="W56" s="2">
        <f>W12/'Output-Calculation-sheet'!W11*'Output-Calculation-sheet'!W47</f>
        <v>313.93418670762981</v>
      </c>
      <c r="X56" s="2">
        <f>X12/'Output-Calculation-sheet'!X11*'Output-Calculation-sheet'!X47</f>
        <v>1338.7630122378362</v>
      </c>
      <c r="Y56" s="2">
        <f>Y12/'Output-Calculation-sheet'!Y11*'Output-Calculation-sheet'!Y47</f>
        <v>408.07456619634502</v>
      </c>
      <c r="AA56" s="2">
        <f t="shared" si="3"/>
        <v>218.65944125472268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7.1099462046324762</v>
      </c>
      <c r="C63" s="2">
        <f>C8*'Output-Calculation-sheet'!C52/10^9</f>
        <v>4.4567786099070474</v>
      </c>
      <c r="D63" s="2">
        <f>D8*'Output-Calculation-sheet'!D52/10^9</f>
        <v>2.4381364183042984</v>
      </c>
      <c r="E63" s="2">
        <f>E8*'Output-Calculation-sheet'!E52/10^9</f>
        <v>2.4241737853955319</v>
      </c>
      <c r="F63" s="2">
        <f>F8*'Output-Calculation-sheet'!F52/10^9</f>
        <v>1.0266382151163116</v>
      </c>
      <c r="G63" s="2">
        <f>G8*'Output-Calculation-sheet'!G52/10^9</f>
        <v>0.73810560149727478</v>
      </c>
      <c r="H63" s="2">
        <f>H8*'Output-Calculation-sheet'!H52/10^9</f>
        <v>1.2893179643222517</v>
      </c>
      <c r="I63" s="2">
        <f>I8*'Output-Calculation-sheet'!I52/10^9</f>
        <v>0.68660966347240082</v>
      </c>
      <c r="J63" s="2">
        <f>J8*'Output-Calculation-sheet'!J52/10^9</f>
        <v>0.94482235946456827</v>
      </c>
      <c r="K63" s="2">
        <f>K8*'Output-Calculation-sheet'!K52/10^9</f>
        <v>0.83010832807159574</v>
      </c>
      <c r="L63" s="2">
        <f>L8*'Output-Calculation-sheet'!L52/10^9</f>
        <v>1.116534068292566</v>
      </c>
      <c r="M63" s="2">
        <f>M8*'Output-Calculation-sheet'!M52/10^9</f>
        <v>1.0465219637726109</v>
      </c>
      <c r="N63" s="2">
        <f>N8*'Output-Calculation-sheet'!N52/10^9</f>
        <v>0.87340399054130979</v>
      </c>
      <c r="O63" s="2">
        <f>O8*'Output-Calculation-sheet'!O52/10^9</f>
        <v>0.91507880851086465</v>
      </c>
      <c r="P63" s="2">
        <f>P8*'Output-Calculation-sheet'!P52/10^9</f>
        <v>0.57358351640911187</v>
      </c>
      <c r="Q63" s="2">
        <f>Q8*'Output-Calculation-sheet'!Q52/10^9</f>
        <v>0.64912491406209782</v>
      </c>
      <c r="R63" s="2">
        <f>R8*'Output-Calculation-sheet'!R52/10^9</f>
        <v>0.58278597351914652</v>
      </c>
      <c r="S63" s="2">
        <f>S8*'Output-Calculation-sheet'!S52/10^9</f>
        <v>0.43186762639601578</v>
      </c>
      <c r="T63" s="2">
        <f>T8*'Output-Calculation-sheet'!T52/10^9</f>
        <v>0.22156780643107388</v>
      </c>
      <c r="U63" s="2">
        <f>U8*'Output-Calculation-sheet'!U52/10^9</f>
        <v>0.15217030585410796</v>
      </c>
      <c r="V63" s="2">
        <f>V8*'Output-Calculation-sheet'!V52/10^9</f>
        <v>0.27006653892485194</v>
      </c>
      <c r="W63" s="2">
        <f>W8*'Output-Calculation-sheet'!W52/10^9</f>
        <v>9.7751623222475437E-2</v>
      </c>
      <c r="X63" s="2">
        <f>X8*'Output-Calculation-sheet'!X52/10^9</f>
        <v>0.112517936212296</v>
      </c>
      <c r="Y63" s="2">
        <f>Y8*'Output-Calculation-sheet'!Y52/10^9</f>
        <v>6.3780153334028672E-2</v>
      </c>
      <c r="AA63" s="2">
        <f t="shared" si="4"/>
        <v>29.05139237566631</v>
      </c>
    </row>
    <row r="64" spans="1:27" x14ac:dyDescent="0.25">
      <c r="A64" s="2">
        <v>2032</v>
      </c>
      <c r="B64" s="2">
        <f>B9*'Output-Calculation-sheet'!B53/10^9</f>
        <v>7.1568221904690139</v>
      </c>
      <c r="C64" s="2">
        <f>C9*'Output-Calculation-sheet'!C53/10^9</f>
        <v>4.7751172963130006</v>
      </c>
      <c r="D64" s="2">
        <f>D9*'Output-Calculation-sheet'!D53/10^9</f>
        <v>2.1179883458019511</v>
      </c>
      <c r="E64" s="2">
        <f>E9*'Output-Calculation-sheet'!E53/10^9</f>
        <v>2.1689233285043366</v>
      </c>
      <c r="F64" s="2">
        <f>F9*'Output-Calculation-sheet'!F53/10^9</f>
        <v>0.91483902773979175</v>
      </c>
      <c r="G64" s="2">
        <f>G9*'Output-Calculation-sheet'!G53/10^9</f>
        <v>0.65115374230448086</v>
      </c>
      <c r="H64" s="2">
        <f>H9*'Output-Calculation-sheet'!H53/10^9</f>
        <v>1.3379463065013504</v>
      </c>
      <c r="I64" s="2">
        <f>I9*'Output-Calculation-sheet'!I53/10^9</f>
        <v>0.60872242808491273</v>
      </c>
      <c r="J64" s="2">
        <f>J9*'Output-Calculation-sheet'!J53/10^9</f>
        <v>0.80582559853882219</v>
      </c>
      <c r="K64" s="2">
        <f>K9*'Output-Calculation-sheet'!K53/10^9</f>
        <v>0.74769459960867357</v>
      </c>
      <c r="L64" s="2">
        <f>L9*'Output-Calculation-sheet'!L53/10^9</f>
        <v>0.96190290871113671</v>
      </c>
      <c r="M64" s="2">
        <f>M9*'Output-Calculation-sheet'!M53/10^9</f>
        <v>1.0486159836174578</v>
      </c>
      <c r="N64" s="2">
        <f>N9*'Output-Calculation-sheet'!N53/10^9</f>
        <v>0.88275959647275848</v>
      </c>
      <c r="O64" s="2">
        <f>O9*'Output-Calculation-sheet'!O53/10^9</f>
        <v>0.97194612585899232</v>
      </c>
      <c r="P64" s="2">
        <f>P9*'Output-Calculation-sheet'!P53/10^9</f>
        <v>0.57005673785080468</v>
      </c>
      <c r="Q64" s="2">
        <f>Q9*'Output-Calculation-sheet'!Q53/10^9</f>
        <v>0.63000836010303995</v>
      </c>
      <c r="R64" s="2">
        <f>R9*'Output-Calculation-sheet'!R53/10^9</f>
        <v>0.54006520626509624</v>
      </c>
      <c r="S64" s="2">
        <f>S9*'Output-Calculation-sheet'!S53/10^9</f>
        <v>0.44621456127940912</v>
      </c>
      <c r="T64" s="2">
        <f>T9*'Output-Calculation-sheet'!T53/10^9</f>
        <v>0.19413938449780097</v>
      </c>
      <c r="U64" s="2">
        <f>U9*'Output-Calculation-sheet'!U53/10^9</f>
        <v>0.14612459682968426</v>
      </c>
      <c r="V64" s="2">
        <f>V9*'Output-Calculation-sheet'!V53/10^9</f>
        <v>0.23043040132652551</v>
      </c>
      <c r="W64" s="2">
        <f>W9*'Output-Calculation-sheet'!W53/10^9</f>
        <v>8.5623783796063779E-2</v>
      </c>
      <c r="X64" s="2">
        <f>X9*'Output-Calculation-sheet'!X53/10^9</f>
        <v>0.11622307654160235</v>
      </c>
      <c r="Y64" s="2">
        <f>Y9*'Output-Calculation-sheet'!Y53/10^9</f>
        <v>5.9990807347773067E-2</v>
      </c>
      <c r="AA64" s="2">
        <f t="shared" si="4"/>
        <v>28.16913439436448</v>
      </c>
    </row>
    <row r="65" spans="1:27" x14ac:dyDescent="0.25">
      <c r="A65" s="2">
        <v>2033</v>
      </c>
      <c r="B65" s="2">
        <f>B10*'Output-Calculation-sheet'!B54/10^9</f>
        <v>7.1681067048961467</v>
      </c>
      <c r="C65" s="2">
        <f>C10*'Output-Calculation-sheet'!C54/10^9</f>
        <v>4.8462738536203585</v>
      </c>
      <c r="D65" s="2">
        <f>D10*'Output-Calculation-sheet'!D54/10^9</f>
        <v>1.6934633981167255</v>
      </c>
      <c r="E65" s="2">
        <f>E10*'Output-Calculation-sheet'!E54/10^9</f>
        <v>1.906820420656852</v>
      </c>
      <c r="F65" s="2">
        <f>F10*'Output-Calculation-sheet'!F54/10^9</f>
        <v>0.77413645933573549</v>
      </c>
      <c r="G65" s="2">
        <f>G10*'Output-Calculation-sheet'!G54/10^9</f>
        <v>0.53151470362235687</v>
      </c>
      <c r="H65" s="2">
        <f>H10*'Output-Calculation-sheet'!H54/10^9</f>
        <v>1.3135404162058237</v>
      </c>
      <c r="I65" s="2">
        <f>I10*'Output-Calculation-sheet'!I54/10^9</f>
        <v>0.51755016277339994</v>
      </c>
      <c r="J65" s="2">
        <f>J10*'Output-Calculation-sheet'!J54/10^9</f>
        <v>0.61858787764087542</v>
      </c>
      <c r="K65" s="2">
        <f>K10*'Output-Calculation-sheet'!K54/10^9</f>
        <v>0.6599513238104191</v>
      </c>
      <c r="L65" s="2">
        <f>L10*'Output-Calculation-sheet'!L54/10^9</f>
        <v>0.77954130934573163</v>
      </c>
      <c r="M65" s="2">
        <f>M10*'Output-Calculation-sheet'!M54/10^9</f>
        <v>0.9917811243833321</v>
      </c>
      <c r="N65" s="2">
        <f>N10*'Output-Calculation-sheet'!N54/10^9</f>
        <v>0.8564710543128834</v>
      </c>
      <c r="O65" s="2">
        <f>O10*'Output-Calculation-sheet'!O54/10^9</f>
        <v>0.98028835060127617</v>
      </c>
      <c r="P65" s="2">
        <f>P10*'Output-Calculation-sheet'!P54/10^9</f>
        <v>0.55839369627641877</v>
      </c>
      <c r="Q65" s="2">
        <f>Q10*'Output-Calculation-sheet'!Q54/10^9</f>
        <v>0.60932780961113153</v>
      </c>
      <c r="R65" s="2">
        <f>R10*'Output-Calculation-sheet'!R54/10^9</f>
        <v>0.49160516017254108</v>
      </c>
      <c r="S65" s="2">
        <f>S10*'Output-Calculation-sheet'!S54/10^9</f>
        <v>0.4465443601093852</v>
      </c>
      <c r="T65" s="2">
        <f>T10*'Output-Calculation-sheet'!T54/10^9</f>
        <v>0.16436527754023358</v>
      </c>
      <c r="U65" s="2">
        <f>U10*'Output-Calculation-sheet'!U54/10^9</f>
        <v>0.14192767344974763</v>
      </c>
      <c r="V65" s="2">
        <f>V10*'Output-Calculation-sheet'!V54/10^9</f>
        <v>0.18189498976565063</v>
      </c>
      <c r="W65" s="2">
        <f>W10*'Output-Calculation-sheet'!W54/10^9</f>
        <v>6.925426398033184E-2</v>
      </c>
      <c r="X65" s="2">
        <f>X10*'Output-Calculation-sheet'!X54/10^9</f>
        <v>0.11406915157262953</v>
      </c>
      <c r="Y65" s="2">
        <f>Y10*'Output-Calculation-sheet'!Y54/10^9</f>
        <v>5.6999971347424197E-2</v>
      </c>
      <c r="AA65" s="2">
        <f t="shared" si="4"/>
        <v>26.472409513147412</v>
      </c>
    </row>
    <row r="66" spans="1:27" x14ac:dyDescent="0.25">
      <c r="A66" s="2">
        <v>2034</v>
      </c>
      <c r="B66" s="2">
        <f>B11*'Output-Calculation-sheet'!B55/10^9</f>
        <v>7.0721130499719838</v>
      </c>
      <c r="C66" s="2">
        <f>C11*'Output-Calculation-sheet'!C55/10^9</f>
        <v>4.6648336336884286</v>
      </c>
      <c r="D66" s="2">
        <f>D11*'Output-Calculation-sheet'!D55/10^9</f>
        <v>1.4792693004715256</v>
      </c>
      <c r="E66" s="2">
        <f>E11*'Output-Calculation-sheet'!E55/10^9</f>
        <v>1.7912968798658504</v>
      </c>
      <c r="F66" s="2">
        <f>F11*'Output-Calculation-sheet'!F55/10^9</f>
        <v>0.68841814158972314</v>
      </c>
      <c r="G66" s="2">
        <f>G11*'Output-Calculation-sheet'!G55/10^9</f>
        <v>0.49206850187771162</v>
      </c>
      <c r="H66" s="2">
        <f>H11*'Output-Calculation-sheet'!H55/10^9</f>
        <v>1.2580012907107483</v>
      </c>
      <c r="I66" s="2">
        <f>I11*'Output-Calculation-sheet'!I55/10^9</f>
        <v>0.48118753171598905</v>
      </c>
      <c r="J66" s="2">
        <f>J11*'Output-Calculation-sheet'!J55/10^9</f>
        <v>0.49482693675355877</v>
      </c>
      <c r="K66" s="2">
        <f>K11*'Output-Calculation-sheet'!K55/10^9</f>
        <v>0.59184064791824065</v>
      </c>
      <c r="L66" s="2">
        <f>L11*'Output-Calculation-sheet'!L55/10^9</f>
        <v>0.62676372107366574</v>
      </c>
      <c r="M66" s="2">
        <f>M11*'Output-Calculation-sheet'!M55/10^9</f>
        <v>0.91139386384391075</v>
      </c>
      <c r="N66" s="2">
        <f>N11*'Output-Calculation-sheet'!N55/10^9</f>
        <v>0.79631519359673575</v>
      </c>
      <c r="O66" s="2">
        <f>O11*'Output-Calculation-sheet'!O55/10^9</f>
        <v>0.93975188973753188</v>
      </c>
      <c r="P66" s="2">
        <f>P11*'Output-Calculation-sheet'!P55/10^9</f>
        <v>0.54739275008754407</v>
      </c>
      <c r="Q66" s="2">
        <f>Q11*'Output-Calculation-sheet'!Q55/10^9</f>
        <v>0.5961851308745455</v>
      </c>
      <c r="R66" s="2">
        <f>R11*'Output-Calculation-sheet'!R55/10^9</f>
        <v>0.44334352748357014</v>
      </c>
      <c r="S66" s="2">
        <f>S11*'Output-Calculation-sheet'!S55/10^9</f>
        <v>0.43623927133915935</v>
      </c>
      <c r="T66" s="2">
        <f>T11*'Output-Calculation-sheet'!T55/10^9</f>
        <v>0.13896884541039775</v>
      </c>
      <c r="U66" s="2">
        <f>U11*'Output-Calculation-sheet'!U55/10^9</f>
        <v>0.14131298820900617</v>
      </c>
      <c r="V66" s="2">
        <f>V11*'Output-Calculation-sheet'!V55/10^9</f>
        <v>0.13183631213633945</v>
      </c>
      <c r="W66" s="2">
        <f>W11*'Output-Calculation-sheet'!W55/10^9</f>
        <v>5.9692514320970586E-2</v>
      </c>
      <c r="X66" s="2">
        <f>X11*'Output-Calculation-sheet'!X55/10^9</f>
        <v>0.11227097168165501</v>
      </c>
      <c r="Y66" s="2">
        <f>Y11*'Output-Calculation-sheet'!Y55/10^9</f>
        <v>5.8576290882434635E-2</v>
      </c>
      <c r="AA66" s="2">
        <f t="shared" si="4"/>
        <v>24.953899185241227</v>
      </c>
    </row>
    <row r="67" spans="1:27" x14ac:dyDescent="0.25">
      <c r="A67" s="2">
        <v>2035</v>
      </c>
      <c r="B67" s="2">
        <f>B12*'Output-Calculation-sheet'!B56/10^9</f>
        <v>6.7241444626448237</v>
      </c>
      <c r="C67" s="2">
        <f>C12*'Output-Calculation-sheet'!C56/10^9</f>
        <v>4.2407511741231128</v>
      </c>
      <c r="D67" s="2">
        <f>D12*'Output-Calculation-sheet'!D56/10^9</f>
        <v>1.4003976345587668</v>
      </c>
      <c r="E67" s="2">
        <f>E12*'Output-Calculation-sheet'!E56/10^9</f>
        <v>1.9001548712803433</v>
      </c>
      <c r="F67" s="2">
        <f>F12*'Output-Calculation-sheet'!F56/10^9</f>
        <v>0.69397493291079126</v>
      </c>
      <c r="G67" s="2">
        <f>G12*'Output-Calculation-sheet'!G56/10^9</f>
        <v>0.48614959477442682</v>
      </c>
      <c r="H67" s="2">
        <f>H12*'Output-Calculation-sheet'!H56/10^9</f>
        <v>1.1733139717528027</v>
      </c>
      <c r="I67" s="2">
        <f>I12*'Output-Calculation-sheet'!I56/10^9</f>
        <v>0.47221961635002851</v>
      </c>
      <c r="J67" s="2">
        <f>J12*'Output-Calculation-sheet'!J56/10^9</f>
        <v>0.46780346391055128</v>
      </c>
      <c r="K67" s="2">
        <f>K12*'Output-Calculation-sheet'!K56/10^9</f>
        <v>0.56340656648801246</v>
      </c>
      <c r="L67" s="2">
        <f>L12*'Output-Calculation-sheet'!L56/10^9</f>
        <v>0.56598233952087451</v>
      </c>
      <c r="M67" s="2">
        <f>M12*'Output-Calculation-sheet'!M56/10^9</f>
        <v>0.85848862905775225</v>
      </c>
      <c r="N67" s="2">
        <f>N12*'Output-Calculation-sheet'!N56/10^9</f>
        <v>0.73717669657508222</v>
      </c>
      <c r="O67" s="2">
        <f>O12*'Output-Calculation-sheet'!O56/10^9</f>
        <v>0.85274305528986816</v>
      </c>
      <c r="P67" s="2">
        <f>P12*'Output-Calculation-sheet'!P56/10^9</f>
        <v>0.54566861078359385</v>
      </c>
      <c r="Q67" s="2">
        <f>Q12*'Output-Calculation-sheet'!Q56/10^9</f>
        <v>0.56114797048879994</v>
      </c>
      <c r="R67" s="2">
        <f>R12*'Output-Calculation-sheet'!R56/10^9</f>
        <v>0.42721919141364062</v>
      </c>
      <c r="S67" s="2">
        <f>S12*'Output-Calculation-sheet'!S56/10^9</f>
        <v>0.40711494701748602</v>
      </c>
      <c r="T67" s="2">
        <f>T12*'Output-Calculation-sheet'!T56/10^9</f>
        <v>0.12955630233004864</v>
      </c>
      <c r="U67" s="2">
        <f>U12*'Output-Calculation-sheet'!U56/10^9</f>
        <v>0.13529079875450975</v>
      </c>
      <c r="V67" s="2">
        <f>V12*'Output-Calculation-sheet'!V56/10^9</f>
        <v>0.10392682720370618</v>
      </c>
      <c r="W67" s="2">
        <f>W12*'Output-Calculation-sheet'!W56/10^9</f>
        <v>6.2703119408130115E-2</v>
      </c>
      <c r="X67" s="2">
        <f>X12*'Output-Calculation-sheet'!X56/10^9</f>
        <v>0.10661378781495233</v>
      </c>
      <c r="Y67" s="2">
        <f>Y12*'Output-Calculation-sheet'!Y56/10^9</f>
        <v>6.0575002062585856E-2</v>
      </c>
      <c r="AA67" s="2">
        <f t="shared" si="4"/>
        <v>23.676523566514696</v>
      </c>
    </row>
    <row r="68" spans="1:27" x14ac:dyDescent="0.25">
      <c r="B68" s="2">
        <f>SUM(B60:B67)</f>
        <v>52.865189811844175</v>
      </c>
      <c r="C68" s="2">
        <f t="shared" ref="C68:Y68" si="5">SUM(C60:C67)</f>
        <v>32.297139996405342</v>
      </c>
      <c r="D68" s="2">
        <f t="shared" si="5"/>
        <v>16.056316477772967</v>
      </c>
      <c r="E68" s="2">
        <f t="shared" si="5"/>
        <v>17.020220252784707</v>
      </c>
      <c r="F68" s="2">
        <f t="shared" si="5"/>
        <v>6.9275479783669915</v>
      </c>
      <c r="G68" s="2">
        <f t="shared" si="5"/>
        <v>4.9582361273672246</v>
      </c>
      <c r="H68" s="2">
        <f t="shared" si="5"/>
        <v>9.2767689859189435</v>
      </c>
      <c r="I68" s="2">
        <f t="shared" si="5"/>
        <v>4.6704923478251006</v>
      </c>
      <c r="J68" s="2">
        <f t="shared" si="5"/>
        <v>6.0728745175533145</v>
      </c>
      <c r="K68" s="2">
        <f t="shared" si="5"/>
        <v>5.7002499510742561</v>
      </c>
      <c r="L68" s="2">
        <f t="shared" si="5"/>
        <v>7.3018097290133976</v>
      </c>
      <c r="M68" s="2">
        <f t="shared" si="5"/>
        <v>7.3485069351739698</v>
      </c>
      <c r="N68" s="2">
        <f t="shared" si="5"/>
        <v>6.3090934550624507</v>
      </c>
      <c r="O68" s="2">
        <f t="shared" si="5"/>
        <v>6.6024078356950886</v>
      </c>
      <c r="P68" s="2">
        <f t="shared" si="5"/>
        <v>4.259307301950308</v>
      </c>
      <c r="Q68" s="2">
        <f t="shared" si="5"/>
        <v>4.7172657445272135</v>
      </c>
      <c r="R68" s="2">
        <f t="shared" si="5"/>
        <v>4.0886928476043742</v>
      </c>
      <c r="S68" s="2">
        <f t="shared" si="5"/>
        <v>3.2157576788320923</v>
      </c>
      <c r="T68" s="2">
        <f t="shared" si="5"/>
        <v>1.4765560331112944</v>
      </c>
      <c r="U68" s="2">
        <f t="shared" si="5"/>
        <v>1.1273345198851348</v>
      </c>
      <c r="V68" s="2">
        <f t="shared" si="5"/>
        <v>1.713040123799948</v>
      </c>
      <c r="W68" s="2">
        <f t="shared" si="5"/>
        <v>0.65006551254388845</v>
      </c>
      <c r="X68" s="2">
        <f t="shared" si="5"/>
        <v>0.8152701366939844</v>
      </c>
      <c r="Y68" s="2">
        <f t="shared" si="5"/>
        <v>0.47326807863820625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2741.4971987342833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1434.5212421831745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962.31433181329453</v>
      </c>
      <c r="N74" s="2">
        <f>N8/'Output-Calculation-sheet'!N7*'Output-Calculation-sheet'!N61</f>
        <v>39.961868755489569</v>
      </c>
      <c r="O74" s="2">
        <f>O8/'Output-Calculation-sheet'!O7*'Output-Calculation-sheet'!O61</f>
        <v>155.49263311597144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120.22144059672141</v>
      </c>
      <c r="Y74" s="2">
        <f>Y8/'Output-Calculation-sheet'!Y7*'Output-Calculation-sheet'!Y61</f>
        <v>0</v>
      </c>
      <c r="AA74" s="2">
        <f t="shared" si="6"/>
        <v>5.4540087151989347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3495.4889009460585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2369.2914114393448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1607.3464274281575</v>
      </c>
      <c r="N75" s="2">
        <f>N9/'Output-Calculation-sheet'!N8*'Output-Calculation-sheet'!N62</f>
        <v>621.13150004100714</v>
      </c>
      <c r="O75" s="2">
        <f>O9/'Output-Calculation-sheet'!O8*'Output-Calculation-sheet'!O62</f>
        <v>303.60803661924467</v>
      </c>
      <c r="P75" s="2">
        <f>P9/'Output-Calculation-sheet'!P8*'Output-Calculation-sheet'!P62</f>
        <v>41.583774829181316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205.45579803121134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194.12868624067059</v>
      </c>
      <c r="Y75" s="2">
        <f>Y9/'Output-Calculation-sheet'!Y8*'Output-Calculation-sheet'!Y62</f>
        <v>0</v>
      </c>
      <c r="AA75" s="2">
        <f t="shared" si="6"/>
        <v>8.8380345355748755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4742.0051977065632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3275.8886265308374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2230.8993368796787</v>
      </c>
      <c r="N76" s="2">
        <f>N10/'Output-Calculation-sheet'!N9*'Output-Calculation-sheet'!N63</f>
        <v>1276.5184286275078</v>
      </c>
      <c r="O76" s="2">
        <f>O10/'Output-Calculation-sheet'!O9*'Output-Calculation-sheet'!O63</f>
        <v>471.48328255155894</v>
      </c>
      <c r="P76" s="2">
        <f>P10/'Output-Calculation-sheet'!P9*'Output-Calculation-sheet'!P63</f>
        <v>437.59793109312841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336.97181891396679</v>
      </c>
      <c r="S76" s="2">
        <f>S10/'Output-Calculation-sheet'!S9*'Output-Calculation-sheet'!S63</f>
        <v>566.04236359675929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119.75229768887168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262.70082914372438</v>
      </c>
      <c r="Y76" s="2">
        <f>Y10/'Output-Calculation-sheet'!Y9*'Output-Calculation-sheet'!Y63</f>
        <v>4.9834854414466232</v>
      </c>
      <c r="AA76" s="2">
        <f t="shared" si="6"/>
        <v>19.055684324831702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6122.9319941926869</v>
      </c>
      <c r="D77" s="2">
        <f>D11/'Output-Calculation-sheet'!D10*'Output-Calculation-sheet'!D64</f>
        <v>1432.9094042184201</v>
      </c>
      <c r="E77" s="2">
        <f>E11/'Output-Calculation-sheet'!E10*'Output-Calculation-sheet'!E64</f>
        <v>1786.6428224053261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759.43365318646204</v>
      </c>
      <c r="H77" s="2">
        <f>H11/'Output-Calculation-sheet'!H10*'Output-Calculation-sheet'!H64</f>
        <v>3799.8808097467104</v>
      </c>
      <c r="I77" s="2">
        <f>I11/'Output-Calculation-sheet'!I10*'Output-Calculation-sheet'!I64</f>
        <v>446.29510969976866</v>
      </c>
      <c r="J77" s="2">
        <f>J11/'Output-Calculation-sheet'!J10*'Output-Calculation-sheet'!J64</f>
        <v>312.56743506805458</v>
      </c>
      <c r="K77" s="2">
        <f>K11/'Output-Calculation-sheet'!K10*'Output-Calculation-sheet'!K64</f>
        <v>679.68700905682067</v>
      </c>
      <c r="L77" s="2">
        <f>L11/'Output-Calculation-sheet'!L10*'Output-Calculation-sheet'!L64</f>
        <v>279.76798374990938</v>
      </c>
      <c r="M77" s="2">
        <f>M11/'Output-Calculation-sheet'!M10*'Output-Calculation-sheet'!M64</f>
        <v>2714.1367878085434</v>
      </c>
      <c r="N77" s="2">
        <f>N11/'Output-Calculation-sheet'!N10*'Output-Calculation-sheet'!N64</f>
        <v>1910.9221918057606</v>
      </c>
      <c r="O77" s="2">
        <f>O11/'Output-Calculation-sheet'!O10*'Output-Calculation-sheet'!O64</f>
        <v>695.91411381891021</v>
      </c>
      <c r="P77" s="2">
        <f>P11/'Output-Calculation-sheet'!P10*'Output-Calculation-sheet'!P64</f>
        <v>847.27638607890344</v>
      </c>
      <c r="Q77" s="2">
        <f>Q11/'Output-Calculation-sheet'!Q10*'Output-Calculation-sheet'!Q64</f>
        <v>596.5843894153877</v>
      </c>
      <c r="R77" s="2">
        <f>R11/'Output-Calculation-sheet'!R10*'Output-Calculation-sheet'!R64</f>
        <v>721.77595880130741</v>
      </c>
      <c r="S77" s="2">
        <f>S11/'Output-Calculation-sheet'!S10*'Output-Calculation-sheet'!S64</f>
        <v>960.93635491549003</v>
      </c>
      <c r="T77" s="2">
        <f>T11/'Output-Calculation-sheet'!T10*'Output-Calculation-sheet'!T64</f>
        <v>198.93709843799223</v>
      </c>
      <c r="U77" s="2">
        <f>U11/'Output-Calculation-sheet'!U10*'Output-Calculation-sheet'!U64</f>
        <v>211.14133006138843</v>
      </c>
      <c r="V77" s="2">
        <f>V11/'Output-Calculation-sheet'!V10*'Output-Calculation-sheet'!V64</f>
        <v>105.22208320424359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271.69091260330129</v>
      </c>
      <c r="Y77" s="2">
        <f>Y11/'Output-Calculation-sheet'!Y10*'Output-Calculation-sheet'!Y64</f>
        <v>66.073089622339083</v>
      </c>
      <c r="AA77" s="2">
        <f t="shared" si="6"/>
        <v>36.766127816543786</v>
      </c>
    </row>
    <row r="78" spans="1:27" x14ac:dyDescent="0.25">
      <c r="A78" s="2">
        <v>2035</v>
      </c>
      <c r="B78" s="2">
        <f>B12/'Output-Calculation-sheet'!B11*'Output-Calculation-sheet'!B65</f>
        <v>11048.731877178827</v>
      </c>
      <c r="C78" s="2">
        <f>C12/'Output-Calculation-sheet'!C11*'Output-Calculation-sheet'!C65</f>
        <v>8562.4654873345989</v>
      </c>
      <c r="D78" s="2">
        <f>D12/'Output-Calculation-sheet'!D11*'Output-Calculation-sheet'!D65</f>
        <v>1475.9202750629238</v>
      </c>
      <c r="E78" s="2">
        <f>E12/'Output-Calculation-sheet'!E11*'Output-Calculation-sheet'!E65</f>
        <v>2557.5153709417182</v>
      </c>
      <c r="F78" s="2">
        <f>F12/'Output-Calculation-sheet'!F11*'Output-Calculation-sheet'!F65</f>
        <v>327.28641227853177</v>
      </c>
      <c r="G78" s="2">
        <f>G12/'Output-Calculation-sheet'!G11*'Output-Calculation-sheet'!G65</f>
        <v>648.13298586836629</v>
      </c>
      <c r="H78" s="2">
        <f>H12/'Output-Calculation-sheet'!H11*'Output-Calculation-sheet'!H65</f>
        <v>3514.5421206739757</v>
      </c>
      <c r="I78" s="2">
        <f>I12/'Output-Calculation-sheet'!I11*'Output-Calculation-sheet'!I65</f>
        <v>429.25259012570928</v>
      </c>
      <c r="J78" s="2">
        <f>J12/'Output-Calculation-sheet'!J11*'Output-Calculation-sheet'!J65</f>
        <v>621.30144485843289</v>
      </c>
      <c r="K78" s="2">
        <f>K12/'Output-Calculation-sheet'!K11*'Output-Calculation-sheet'!K65</f>
        <v>778.64923205056493</v>
      </c>
      <c r="L78" s="2">
        <f>L12/'Output-Calculation-sheet'!L11*'Output-Calculation-sheet'!L65</f>
        <v>660.5217222703659</v>
      </c>
      <c r="M78" s="2">
        <f>M12/'Output-Calculation-sheet'!M11*'Output-Calculation-sheet'!M65</f>
        <v>2560.9026352488927</v>
      </c>
      <c r="N78" s="2">
        <f>N12/'Output-Calculation-sheet'!N11*'Output-Calculation-sheet'!N65</f>
        <v>1816.4530867006322</v>
      </c>
      <c r="O78" s="2">
        <f>O12/'Output-Calculation-sheet'!O11*'Output-Calculation-sheet'!O65</f>
        <v>1019.746118606656</v>
      </c>
      <c r="P78" s="2">
        <f>P12/'Output-Calculation-sheet'!P11*'Output-Calculation-sheet'!P65</f>
        <v>891.89736555338061</v>
      </c>
      <c r="Q78" s="2">
        <f>Q12/'Output-Calculation-sheet'!Q11*'Output-Calculation-sheet'!Q65</f>
        <v>613.98440817011385</v>
      </c>
      <c r="R78" s="2">
        <f>R12/'Output-Calculation-sheet'!R11*'Output-Calculation-sheet'!R65</f>
        <v>831.13769332563834</v>
      </c>
      <c r="S78" s="2">
        <f>S12/'Output-Calculation-sheet'!S11*'Output-Calculation-sheet'!S65</f>
        <v>866.0826457503058</v>
      </c>
      <c r="T78" s="2">
        <f>T12/'Output-Calculation-sheet'!T11*'Output-Calculation-sheet'!T65</f>
        <v>286.70140094171205</v>
      </c>
      <c r="U78" s="2">
        <f>U12/'Output-Calculation-sheet'!U11*'Output-Calculation-sheet'!U65</f>
        <v>196.14549829455913</v>
      </c>
      <c r="V78" s="2">
        <f>V12/'Output-Calculation-sheet'!V11*'Output-Calculation-sheet'!V65</f>
        <v>160.98333646977281</v>
      </c>
      <c r="W78" s="2">
        <f>W12/'Output-Calculation-sheet'!W11*'Output-Calculation-sheet'!W65</f>
        <v>77.525888854829631</v>
      </c>
      <c r="X78" s="2">
        <f>X12/'Output-Calculation-sheet'!X11*'Output-Calculation-sheet'!X65</f>
        <v>250.70328482287832</v>
      </c>
      <c r="Y78" s="2">
        <f>Y12/'Output-Calculation-sheet'!Y11*'Output-Calculation-sheet'!Y65</f>
        <v>68.593125736788323</v>
      </c>
      <c r="AA78" s="2">
        <f t="shared" si="6"/>
        <v>40.265176007120161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261.87644387068872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67.834063961597309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0.329710507832286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460.42952935352071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89.449070950222335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0.54987860030374303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556.29044668672771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108.07226831102361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0.66436271499775124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535.03425324997261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27.450034384028712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103.94276176628566</v>
      </c>
      <c r="P88" s="2">
        <f>P11/'Output-Calculation-sheet'!P10*'Output-Calculation-sheet'!P73</f>
        <v>0</v>
      </c>
      <c r="Q88" s="2">
        <f>Q11/'Output-Calculation-sheet'!Q10*'Output-Calculation-sheet'!Q73</f>
        <v>16.265012388979734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5.1895327646214531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2.0720941480891502</v>
      </c>
      <c r="Y88" s="2">
        <f>Y11/'Output-Calculation-sheet'!Y10*'Output-Calculation-sheet'!Y73</f>
        <v>0</v>
      </c>
      <c r="AA88" s="2">
        <f t="shared" si="7"/>
        <v>0.68995368870197737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408.02790027803667</v>
      </c>
      <c r="D89" s="2">
        <f>D12/'Output-Calculation-sheet'!D11*'Output-Calculation-sheet'!D74</f>
        <v>72.288792430960655</v>
      </c>
      <c r="E89" s="2">
        <f>E12/'Output-Calculation-sheet'!E11*'Output-Calculation-sheet'!E74</f>
        <v>114.90061643604547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25.931543005055865</v>
      </c>
      <c r="H89" s="2">
        <f>H12/'Output-Calculation-sheet'!H11*'Output-Calculation-sheet'!H74</f>
        <v>50.241478144954122</v>
      </c>
      <c r="I89" s="2">
        <f>I12/'Output-Calculation-sheet'!I11*'Output-Calculation-sheet'!I74</f>
        <v>23.323874707982466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22.923697472563518</v>
      </c>
      <c r="L89" s="2">
        <f>L12/'Output-Calculation-sheet'!L11*'Output-Calculation-sheet'!L74</f>
        <v>18.227825765663987</v>
      </c>
      <c r="M89" s="2">
        <f>M12/'Output-Calculation-sheet'!M11*'Output-Calculation-sheet'!M74</f>
        <v>34.571053373862057</v>
      </c>
      <c r="N89" s="2">
        <f>N12/'Output-Calculation-sheet'!N11*'Output-Calculation-sheet'!N74</f>
        <v>16.988899052568577</v>
      </c>
      <c r="O89" s="2">
        <f>O12/'Output-Calculation-sheet'!O11*'Output-Calculation-sheet'!O74</f>
        <v>79.268844144045275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14.884831345489921</v>
      </c>
      <c r="R89" s="2">
        <f>R12/'Output-Calculation-sheet'!R11*'Output-Calculation-sheet'!R74</f>
        <v>14.761085733769729</v>
      </c>
      <c r="S89" s="2">
        <f>S12/'Output-Calculation-sheet'!S11*'Output-Calculation-sheet'!S74</f>
        <v>19.477193971873337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4.7491706809655732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7.5850595594211683</v>
      </c>
      <c r="Y89" s="2">
        <f>Y12/'Output-Calculation-sheet'!Y11*'Output-Calculation-sheet'!Y74</f>
        <v>3.6598615802362779</v>
      </c>
      <c r="AA89" s="2">
        <f t="shared" si="7"/>
        <v>1.3785864257120466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8116195529.8569031</v>
      </c>
      <c r="C96" s="2">
        <f>C8/'Output-Calculation-sheet'!C7*'Output-Calculation-sheet'!C79</f>
        <v>1959925206.1592538</v>
      </c>
      <c r="D96" s="2">
        <f>D8/'Output-Calculation-sheet'!D7*'Output-Calculation-sheet'!D79</f>
        <v>1591167683.1050491</v>
      </c>
      <c r="E96" s="2">
        <f>E8/'Output-Calculation-sheet'!E7*'Output-Calculation-sheet'!E79</f>
        <v>5961526465.8816414</v>
      </c>
      <c r="F96" s="2">
        <f>F8/'Output-Calculation-sheet'!F7*'Output-Calculation-sheet'!F79</f>
        <v>1739068493.0409436</v>
      </c>
      <c r="G96" s="2">
        <f>G8/'Output-Calculation-sheet'!G7*'Output-Calculation-sheet'!G79</f>
        <v>1116231521.7249954</v>
      </c>
      <c r="H96" s="2">
        <f>H8/'Output-Calculation-sheet'!H7*'Output-Calculation-sheet'!H79</f>
        <v>1375158369.7024894</v>
      </c>
      <c r="I96" s="2">
        <f>I8/'Output-Calculation-sheet'!I7*'Output-Calculation-sheet'!I79</f>
        <v>802679022.74799347</v>
      </c>
      <c r="J96" s="2">
        <f>J8/'Output-Calculation-sheet'!J7*'Output-Calculation-sheet'!J79</f>
        <v>608273439.30037749</v>
      </c>
      <c r="K96" s="2">
        <f>K8/'Output-Calculation-sheet'!K7*'Output-Calculation-sheet'!K79</f>
        <v>762853705.05612195</v>
      </c>
      <c r="L96" s="2">
        <f>L8/'Output-Calculation-sheet'!L7*'Output-Calculation-sheet'!L79</f>
        <v>692539524.88287032</v>
      </c>
      <c r="M96" s="2">
        <f>M8/'Output-Calculation-sheet'!M7*'Output-Calculation-sheet'!M79</f>
        <v>1061066327.7713132</v>
      </c>
      <c r="N96" s="2">
        <f>N8/'Output-Calculation-sheet'!N7*'Output-Calculation-sheet'!N79</f>
        <v>689764752.37988269</v>
      </c>
      <c r="O96" s="2">
        <f>O8/'Output-Calculation-sheet'!O7*'Output-Calculation-sheet'!O79</f>
        <v>258814596.39455807</v>
      </c>
      <c r="P96" s="2">
        <f>P8/'Output-Calculation-sheet'!P7*'Output-Calculation-sheet'!P79</f>
        <v>1313663327.852653</v>
      </c>
      <c r="Q96" s="2">
        <f>Q8/'Output-Calculation-sheet'!Q7*'Output-Calculation-sheet'!Q79</f>
        <v>557739712.93532348</v>
      </c>
      <c r="R96" s="2">
        <f>R8/'Output-Calculation-sheet'!R7*'Output-Calculation-sheet'!R79</f>
        <v>740276759.97004676</v>
      </c>
      <c r="S96" s="2">
        <f>S8/'Output-Calculation-sheet'!S7*'Output-Calculation-sheet'!S79</f>
        <v>417487061.96338367</v>
      </c>
      <c r="T96" s="2">
        <f>T8/'Output-Calculation-sheet'!T7*'Output-Calculation-sheet'!T79</f>
        <v>251862322.36698523</v>
      </c>
      <c r="U96" s="2">
        <f>U8/'Output-Calculation-sheet'!U7*'Output-Calculation-sheet'!U79</f>
        <v>198246866.57898927</v>
      </c>
      <c r="V96" s="2">
        <f>V8/'Output-Calculation-sheet'!V7*'Output-Calculation-sheet'!V79</f>
        <v>90988802.875254065</v>
      </c>
      <c r="W96" s="2">
        <f>W8/'Output-Calculation-sheet'!W7*'Output-Calculation-sheet'!W79</f>
        <v>280144062.48377591</v>
      </c>
      <c r="X96" s="2">
        <f>X8/'Output-Calculation-sheet'!X7*'Output-Calculation-sheet'!X79</f>
        <v>126351174.22494632</v>
      </c>
      <c r="Y96" s="2">
        <f>Y8/'Output-Calculation-sheet'!Y7*'Output-Calculation-sheet'!Y79</f>
        <v>173882356.60535404</v>
      </c>
      <c r="AA96" s="2">
        <f t="shared" si="8"/>
        <v>30.885907085861099</v>
      </c>
    </row>
    <row r="97" spans="1:27" x14ac:dyDescent="0.25">
      <c r="A97" s="2">
        <v>2032</v>
      </c>
      <c r="B97" s="2">
        <f>B9/'Output-Calculation-sheet'!B8*'Output-Calculation-sheet'!B80</f>
        <v>9813985183.9037266</v>
      </c>
      <c r="C97" s="2">
        <f>C9/'Output-Calculation-sheet'!C8*'Output-Calculation-sheet'!C80</f>
        <v>2317885128.0809069</v>
      </c>
      <c r="D97" s="2">
        <f>D9/'Output-Calculation-sheet'!D8*'Output-Calculation-sheet'!D80</f>
        <v>1770613116.5991056</v>
      </c>
      <c r="E97" s="2">
        <f>E9/'Output-Calculation-sheet'!E8*'Output-Calculation-sheet'!E80</f>
        <v>7454021136.4158297</v>
      </c>
      <c r="F97" s="2">
        <f>F9/'Output-Calculation-sheet'!F8*'Output-Calculation-sheet'!F80</f>
        <v>2044149989.1049366</v>
      </c>
      <c r="G97" s="2">
        <f>G9/'Output-Calculation-sheet'!G8*'Output-Calculation-sheet'!G80</f>
        <v>1252542925.275898</v>
      </c>
      <c r="H97" s="2">
        <f>H9/'Output-Calculation-sheet'!H8*'Output-Calculation-sheet'!H80</f>
        <v>1640026054.8814287</v>
      </c>
      <c r="I97" s="2">
        <f>I9/'Output-Calculation-sheet'!I8*'Output-Calculation-sheet'!I80</f>
        <v>944654764.80561948</v>
      </c>
      <c r="J97" s="2">
        <f>J9/'Output-Calculation-sheet'!J8*'Output-Calculation-sheet'!J80</f>
        <v>705919658.3601352</v>
      </c>
      <c r="K97" s="2">
        <f>K9/'Output-Calculation-sheet'!K8*'Output-Calculation-sheet'!K80</f>
        <v>870637780.10691226</v>
      </c>
      <c r="L97" s="2">
        <f>L9/'Output-Calculation-sheet'!L8*'Output-Calculation-sheet'!L80</f>
        <v>839788455.16879809</v>
      </c>
      <c r="M97" s="2">
        <f>M9/'Output-Calculation-sheet'!M8*'Output-Calculation-sheet'!M80</f>
        <v>1293870474.4582722</v>
      </c>
      <c r="N97" s="2">
        <f>N9/'Output-Calculation-sheet'!N8*'Output-Calculation-sheet'!N80</f>
        <v>812946684.32357824</v>
      </c>
      <c r="O97" s="2">
        <f>O9/'Output-Calculation-sheet'!O8*'Output-Calculation-sheet'!O80</f>
        <v>302187048.67812943</v>
      </c>
      <c r="P97" s="2">
        <f>P9/'Output-Calculation-sheet'!P8*'Output-Calculation-sheet'!P80</f>
        <v>1524070673.2126663</v>
      </c>
      <c r="Q97" s="2">
        <f>Q9/'Output-Calculation-sheet'!Q8*'Output-Calculation-sheet'!Q80</f>
        <v>659214727.17401218</v>
      </c>
      <c r="R97" s="2">
        <f>R9/'Output-Calculation-sheet'!R8*'Output-Calculation-sheet'!R80</f>
        <v>883350661.62016928</v>
      </c>
      <c r="S97" s="2">
        <f>S9/'Output-Calculation-sheet'!S8*'Output-Calculation-sheet'!S80</f>
        <v>491640251.76594436</v>
      </c>
      <c r="T97" s="2">
        <f>T9/'Output-Calculation-sheet'!T8*'Output-Calculation-sheet'!T80</f>
        <v>286673347.38438237</v>
      </c>
      <c r="U97" s="2">
        <f>U9/'Output-Calculation-sheet'!U8*'Output-Calculation-sheet'!U80</f>
        <v>228112203.54130498</v>
      </c>
      <c r="V97" s="2">
        <f>V9/'Output-Calculation-sheet'!V8*'Output-Calculation-sheet'!V80</f>
        <v>105219043.69532378</v>
      </c>
      <c r="W97" s="2">
        <f>W9/'Output-Calculation-sheet'!W8*'Output-Calculation-sheet'!W80</f>
        <v>325596620.95167625</v>
      </c>
      <c r="X97" s="2">
        <f>X9/'Output-Calculation-sheet'!X8*'Output-Calculation-sheet'!X80</f>
        <v>157697187.81093478</v>
      </c>
      <c r="Y97" s="2">
        <f>Y9/'Output-Calculation-sheet'!Y8*'Output-Calculation-sheet'!Y80</f>
        <v>207009871.04966086</v>
      </c>
      <c r="AA97" s="2">
        <f t="shared" si="8"/>
        <v>36.931812988369344</v>
      </c>
    </row>
    <row r="98" spans="1:27" x14ac:dyDescent="0.25">
      <c r="A98" s="2">
        <v>2033</v>
      </c>
      <c r="B98" s="2">
        <f>B10/'Output-Calculation-sheet'!B9*'Output-Calculation-sheet'!B81</f>
        <v>10816285545.283314</v>
      </c>
      <c r="C98" s="2">
        <f>C10/'Output-Calculation-sheet'!C9*'Output-Calculation-sheet'!C81</f>
        <v>2504627272.7504115</v>
      </c>
      <c r="D98" s="2">
        <f>D10/'Output-Calculation-sheet'!D9*'Output-Calculation-sheet'!D81</f>
        <v>1801821483.6553912</v>
      </c>
      <c r="E98" s="2">
        <f>E10/'Output-Calculation-sheet'!E9*'Output-Calculation-sheet'!E81</f>
        <v>8505286319.55334</v>
      </c>
      <c r="F98" s="2">
        <f>F10/'Output-Calculation-sheet'!F9*'Output-Calculation-sheet'!F81</f>
        <v>2191391733.1527166</v>
      </c>
      <c r="G98" s="2">
        <f>G10/'Output-Calculation-sheet'!G9*'Output-Calculation-sheet'!G81</f>
        <v>1280255970.776844</v>
      </c>
      <c r="H98" s="2">
        <f>H10/'Output-Calculation-sheet'!H9*'Output-Calculation-sheet'!H81</f>
        <v>1782312879.1558049</v>
      </c>
      <c r="I98" s="2">
        <f>I10/'Output-Calculation-sheet'!I9*'Output-Calculation-sheet'!I81</f>
        <v>1015727363.4787321</v>
      </c>
      <c r="J98" s="2">
        <f>J10/'Output-Calculation-sheet'!J9*'Output-Calculation-sheet'!J81</f>
        <v>749295721.12579608</v>
      </c>
      <c r="K98" s="2">
        <f>K10/'Output-Calculation-sheet'!K9*'Output-Calculation-sheet'!K81</f>
        <v>907359411.99434662</v>
      </c>
      <c r="L98" s="2">
        <f>L10/'Output-Calculation-sheet'!L9*'Output-Calculation-sheet'!L81</f>
        <v>929952447.20431292</v>
      </c>
      <c r="M98" s="2">
        <f>M10/'Output-Calculation-sheet'!M9*'Output-Calculation-sheet'!M81</f>
        <v>1441094357.096154</v>
      </c>
      <c r="N98" s="2">
        <f>N10/'Output-Calculation-sheet'!N9*'Output-Calculation-sheet'!N81</f>
        <v>875775025.41507375</v>
      </c>
      <c r="O98" s="2">
        <f>O10/'Output-Calculation-sheet'!O9*'Output-Calculation-sheet'!O81</f>
        <v>323012159.38229728</v>
      </c>
      <c r="P98" s="2">
        <f>P10/'Output-Calculation-sheet'!P9*'Output-Calculation-sheet'!P81</f>
        <v>1602466469.9525228</v>
      </c>
      <c r="Q98" s="2">
        <f>Q10/'Output-Calculation-sheet'!Q9*'Output-Calculation-sheet'!Q81</f>
        <v>712029313.74033654</v>
      </c>
      <c r="R98" s="2">
        <f>R10/'Output-Calculation-sheet'!R9*'Output-Calculation-sheet'!R81</f>
        <v>961078912.9010663</v>
      </c>
      <c r="S98" s="2">
        <f>S10/'Output-Calculation-sheet'!S9*'Output-Calculation-sheet'!S81</f>
        <v>527824684.42111397</v>
      </c>
      <c r="T98" s="2">
        <f>T10/'Output-Calculation-sheet'!T9*'Output-Calculation-sheet'!T81</f>
        <v>297384693.25476438</v>
      </c>
      <c r="U98" s="2">
        <f>U10/'Output-Calculation-sheet'!U9*'Output-Calculation-sheet'!U81</f>
        <v>238957308.92399088</v>
      </c>
      <c r="V98" s="2">
        <f>V10/'Output-Calculation-sheet'!V9*'Output-Calculation-sheet'!V81</f>
        <v>110983268.93623909</v>
      </c>
      <c r="W98" s="2">
        <f>W10/'Output-Calculation-sheet'!W9*'Output-Calculation-sheet'!W81</f>
        <v>343213395.59464514</v>
      </c>
      <c r="X98" s="2">
        <f>X10/'Output-Calculation-sheet'!X9*'Output-Calculation-sheet'!X81</f>
        <v>179925206.00661877</v>
      </c>
      <c r="Y98" s="2">
        <f>Y10/'Output-Calculation-sheet'!Y9*'Output-Calculation-sheet'!Y81</f>
        <v>224002784.82298511</v>
      </c>
      <c r="AA98" s="2">
        <f t="shared" si="8"/>
        <v>40.322063728578811</v>
      </c>
    </row>
    <row r="99" spans="1:27" x14ac:dyDescent="0.25">
      <c r="A99" s="2">
        <v>2034</v>
      </c>
      <c r="B99" s="2">
        <f>B11/'Output-Calculation-sheet'!B10*'Output-Calculation-sheet'!B82</f>
        <v>11013012993.96645</v>
      </c>
      <c r="C99" s="2">
        <f>C11/'Output-Calculation-sheet'!C10*'Output-Calculation-sheet'!C82</f>
        <v>2506923503.2491212</v>
      </c>
      <c r="D99" s="2">
        <f>D11/'Output-Calculation-sheet'!D10*'Output-Calculation-sheet'!D82</f>
        <v>1700519059.0033841</v>
      </c>
      <c r="E99" s="2">
        <f>E11/'Output-Calculation-sheet'!E10*'Output-Calculation-sheet'!E82</f>
        <v>8975048924.9869576</v>
      </c>
      <c r="F99" s="2">
        <f>F11/'Output-Calculation-sheet'!F10*'Output-Calculation-sheet'!F82</f>
        <v>2172466106.272481</v>
      </c>
      <c r="G99" s="2">
        <f>G11/'Output-Calculation-sheet'!G10*'Output-Calculation-sheet'!G82</f>
        <v>1209108427.7421744</v>
      </c>
      <c r="H99" s="2">
        <f>H11/'Output-Calculation-sheet'!H10*'Output-Calculation-sheet'!H82</f>
        <v>1789165242.1159196</v>
      </c>
      <c r="I99" s="2">
        <f>I11/'Output-Calculation-sheet'!I10*'Output-Calculation-sheet'!I82</f>
        <v>1011696039.1846858</v>
      </c>
      <c r="J99" s="2">
        <f>J11/'Output-Calculation-sheet'!J10*'Output-Calculation-sheet'!J82</f>
        <v>737521427.40978003</v>
      </c>
      <c r="K99" s="2">
        <f>K11/'Output-Calculation-sheet'!K10*'Output-Calculation-sheet'!K82</f>
        <v>875699834.94686401</v>
      </c>
      <c r="L99" s="2">
        <f>L11/'Output-Calculation-sheet'!L10*'Output-Calculation-sheet'!L82</f>
        <v>953275245.2876389</v>
      </c>
      <c r="M99" s="2">
        <f>M11/'Output-Calculation-sheet'!M10*'Output-Calculation-sheet'!M82</f>
        <v>1486012651.7384818</v>
      </c>
      <c r="N99" s="2">
        <f>N11/'Output-Calculation-sheet'!N10*'Output-Calculation-sheet'!N82</f>
        <v>874326914.35685825</v>
      </c>
      <c r="O99" s="2">
        <f>O11/'Output-Calculation-sheet'!O10*'Output-Calculation-sheet'!O82</f>
        <v>320439423.39738494</v>
      </c>
      <c r="P99" s="2">
        <f>P11/'Output-Calculation-sheet'!P10*'Output-Calculation-sheet'!P82</f>
        <v>1548882767.7914479</v>
      </c>
      <c r="Q99" s="2">
        <f>Q11/'Output-Calculation-sheet'!Q10*'Output-Calculation-sheet'!Q82</f>
        <v>712469187.03426659</v>
      </c>
      <c r="R99" s="2">
        <f>R11/'Output-Calculation-sheet'!R10*'Output-Calculation-sheet'!R82</f>
        <v>966445879.23092318</v>
      </c>
      <c r="S99" s="2">
        <f>S11/'Output-Calculation-sheet'!S10*'Output-Calculation-sheet'!S82</f>
        <v>523732341.53807467</v>
      </c>
      <c r="T99" s="2">
        <f>T11/'Output-Calculation-sheet'!T10*'Output-Calculation-sheet'!T82</f>
        <v>285194295.63875419</v>
      </c>
      <c r="U99" s="2">
        <f>U11/'Output-Calculation-sheet'!U10*'Output-Calculation-sheet'!U82</f>
        <v>231131202.68939969</v>
      </c>
      <c r="V99" s="2">
        <f>V11/'Output-Calculation-sheet'!V10*'Output-Calculation-sheet'!V82</f>
        <v>108267101.04848276</v>
      </c>
      <c r="W99" s="2">
        <f>W11/'Output-Calculation-sheet'!W10*'Output-Calculation-sheet'!W82</f>
        <v>332810260.56536269</v>
      </c>
      <c r="X99" s="2">
        <f>X11/'Output-Calculation-sheet'!X10*'Output-Calculation-sheet'!X82</f>
        <v>190215031.04865444</v>
      </c>
      <c r="Y99" s="2">
        <f>Y11/'Output-Calculation-sheet'!Y10*'Output-Calculation-sheet'!Y82</f>
        <v>223384151.76470134</v>
      </c>
      <c r="AA99" s="2">
        <f t="shared" si="8"/>
        <v>40.747748012008252</v>
      </c>
    </row>
    <row r="100" spans="1:27" x14ac:dyDescent="0.25">
      <c r="A100" s="2">
        <v>2035</v>
      </c>
      <c r="B100" s="2">
        <f>B12/'Output-Calculation-sheet'!B11*'Output-Calculation-sheet'!B83</f>
        <v>10396585034.483696</v>
      </c>
      <c r="C100" s="2">
        <f>C12/'Output-Calculation-sheet'!C11*'Output-Calculation-sheet'!C83</f>
        <v>2333025192.4329605</v>
      </c>
      <c r="D100" s="2">
        <f>D12/'Output-Calculation-sheet'!D11*'Output-Calculation-sheet'!D83</f>
        <v>1494497048.9418321</v>
      </c>
      <c r="E100" s="2">
        <f>E12/'Output-Calculation-sheet'!E11*'Output-Calculation-sheet'!E83</f>
        <v>8788489624.8061371</v>
      </c>
      <c r="F100" s="2">
        <f>F12/'Output-Calculation-sheet'!F11*'Output-Calculation-sheet'!F83</f>
        <v>1999486925.6591446</v>
      </c>
      <c r="G100" s="2">
        <f>G12/'Output-Calculation-sheet'!G11*'Output-Calculation-sheet'!G83</f>
        <v>1059662683.6271521</v>
      </c>
      <c r="H100" s="2">
        <f>H12/'Output-Calculation-sheet'!H11*'Output-Calculation-sheet'!H83</f>
        <v>1665158334.3060291</v>
      </c>
      <c r="I100" s="2">
        <f>I12/'Output-Calculation-sheet'!I11*'Output-Calculation-sheet'!I83</f>
        <v>937068386.86279845</v>
      </c>
      <c r="J100" s="2">
        <f>J12/'Output-Calculation-sheet'!J11*'Output-Calculation-sheet'!J83</f>
        <v>675738955.98443365</v>
      </c>
      <c r="K100" s="2">
        <f>K12/'Output-Calculation-sheet'!K11*'Output-Calculation-sheet'!K83</f>
        <v>785820452.33090711</v>
      </c>
      <c r="L100" s="2">
        <f>L12/'Output-Calculation-sheet'!L11*'Output-Calculation-sheet'!L83</f>
        <v>907894826.74482965</v>
      </c>
      <c r="M100" s="2">
        <f>M12/'Output-Calculation-sheet'!M11*'Output-Calculation-sheet'!M83</f>
        <v>1423786707.7283494</v>
      </c>
      <c r="N100" s="2">
        <f>N12/'Output-Calculation-sheet'!N11*'Output-Calculation-sheet'!N83</f>
        <v>812019597.238554</v>
      </c>
      <c r="O100" s="2">
        <f>O12/'Output-Calculation-sheet'!O11*'Output-Calculation-sheet'!O83</f>
        <v>296118438.09906667</v>
      </c>
      <c r="P100" s="2">
        <f>P12/'Output-Calculation-sheet'!P11*'Output-Calculation-sheet'!P83</f>
        <v>1382435423.4691823</v>
      </c>
      <c r="Q100" s="2">
        <f>Q12/'Output-Calculation-sheet'!Q11*'Output-Calculation-sheet'!Q83</f>
        <v>662878846.41534638</v>
      </c>
      <c r="R100" s="2">
        <f>R12/'Output-Calculation-sheet'!R11*'Output-Calculation-sheet'!R83</f>
        <v>901562980.97231102</v>
      </c>
      <c r="S100" s="2">
        <f>S12/'Output-Calculation-sheet'!S11*'Output-Calculation-sheet'!S83</f>
        <v>482110412.4204331</v>
      </c>
      <c r="T100" s="2">
        <f>T12/'Output-Calculation-sheet'!T11*'Output-Calculation-sheet'!T83</f>
        <v>253929168.28735176</v>
      </c>
      <c r="U100" s="2">
        <f>U12/'Output-Calculation-sheet'!U11*'Output-Calculation-sheet'!U83</f>
        <v>207296883.49541396</v>
      </c>
      <c r="V100" s="2">
        <f>V12/'Output-Calculation-sheet'!V11*'Output-Calculation-sheet'!V83</f>
        <v>98065914.395453602</v>
      </c>
      <c r="W100" s="2">
        <f>W12/'Output-Calculation-sheet'!W11*'Output-Calculation-sheet'!W83</f>
        <v>298186264.87613386</v>
      </c>
      <c r="X100" s="2">
        <f>X12/'Output-Calculation-sheet'!X11*'Output-Calculation-sheet'!X83</f>
        <v>186996578.17243779</v>
      </c>
      <c r="Y100" s="2">
        <f>Y12/'Output-Calculation-sheet'!Y11*'Output-Calculation-sheet'!Y83</f>
        <v>206127064.06048742</v>
      </c>
      <c r="AA100" s="2">
        <f t="shared" si="8"/>
        <v>38.254941745810449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1347538237.8677583</v>
      </c>
      <c r="C107" s="2">
        <f>C8/'Output-Calculation-sheet'!C7*'Output-Calculation-sheet'!C88</f>
        <v>17376916183.6171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6924165457.9566383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4777095123.316659</v>
      </c>
      <c r="N107" s="2">
        <f>N8/'Output-Calculation-sheet'!N7*'Output-Calculation-sheet'!N88</f>
        <v>1594744975.8024037</v>
      </c>
      <c r="O107" s="2">
        <f>O8/'Output-Calculation-sheet'!O7*'Output-Calculation-sheet'!O88</f>
        <v>2737784517.3416662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479120423.12429291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517360512.16856313</v>
      </c>
      <c r="Y107" s="2">
        <f>Y8/'Output-Calculation-sheet'!Y7*'Output-Calculation-sheet'!Y88</f>
        <v>0</v>
      </c>
      <c r="AA107" s="2">
        <f t="shared" si="9"/>
        <v>35754.725431195075</v>
      </c>
    </row>
    <row r="108" spans="1:27" x14ac:dyDescent="0.25">
      <c r="A108" s="2">
        <v>2032</v>
      </c>
      <c r="B108" s="2">
        <f>B9/'Output-Calculation-sheet'!B8*'Output-Calculation-sheet'!B89</f>
        <v>5837987602.193162</v>
      </c>
      <c r="C108" s="2">
        <f>C9/'Output-Calculation-sheet'!C8*'Output-Calculation-sheet'!C89</f>
        <v>19831362847.778404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9130596327.0493145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6299317532.0290041</v>
      </c>
      <c r="N108" s="2">
        <f>N9/'Output-Calculation-sheet'!N8*'Output-Calculation-sheet'!N89</f>
        <v>2964327079.0753345</v>
      </c>
      <c r="O108" s="2">
        <f>O9/'Output-Calculation-sheet'!O8*'Output-Calculation-sheet'!O89</f>
        <v>3173665560.1838217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882141765.99217594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682234918.00037742</v>
      </c>
      <c r="Y108" s="2">
        <f>Y9/'Output-Calculation-sheet'!Y8*'Output-Calculation-sheet'!Y89</f>
        <v>0</v>
      </c>
      <c r="AA108" s="2">
        <f t="shared" si="9"/>
        <v>48801.633632301593</v>
      </c>
    </row>
    <row r="109" spans="1:27" x14ac:dyDescent="0.25">
      <c r="A109" s="2">
        <v>2033</v>
      </c>
      <c r="B109" s="2">
        <f>B10/'Output-Calculation-sheet'!B9*'Output-Calculation-sheet'!B90</f>
        <v>15075137739.236868</v>
      </c>
      <c r="C109" s="2">
        <f>C10/'Output-Calculation-sheet'!C9*'Output-Calculation-sheet'!C90</f>
        <v>22236403323.752228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11031907426.097496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7611057442.8485432</v>
      </c>
      <c r="N109" s="2">
        <f>N10/'Output-Calculation-sheet'!N9*'Output-Calculation-sheet'!N90</f>
        <v>4483537671.1641455</v>
      </c>
      <c r="O109" s="2">
        <f>O10/'Output-Calculation-sheet'!O9*'Output-Calculation-sheet'!O90</f>
        <v>3473766920.3212314</v>
      </c>
      <c r="P109" s="2">
        <f>P10/'Output-Calculation-sheet'!P9*'Output-Calculation-sheet'!P90</f>
        <v>0</v>
      </c>
      <c r="Q109" s="2">
        <f>Q10/'Output-Calculation-sheet'!Q9*'Output-Calculation-sheet'!Q90</f>
        <v>145924185.24838427</v>
      </c>
      <c r="R109" s="2">
        <f>R10/'Output-Calculation-sheet'!R9*'Output-Calculation-sheet'!R90</f>
        <v>-3.0066345341609501E-7</v>
      </c>
      <c r="S109" s="2">
        <f>S10/'Output-Calculation-sheet'!S9*'Output-Calculation-sheet'!S90</f>
        <v>1802220731.3367763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824300548.63628912</v>
      </c>
      <c r="Y109" s="2">
        <f>Y10/'Output-Calculation-sheet'!Y9*'Output-Calculation-sheet'!Y90</f>
        <v>0</v>
      </c>
      <c r="AA109" s="2">
        <f t="shared" si="9"/>
        <v>66684.255988641962</v>
      </c>
    </row>
    <row r="110" spans="1:27" x14ac:dyDescent="0.25">
      <c r="A110" s="2">
        <v>2034</v>
      </c>
      <c r="B110" s="2">
        <f>B11/'Output-Calculation-sheet'!B10*'Output-Calculation-sheet'!B91</f>
        <v>33103284790.811375</v>
      </c>
      <c r="C110" s="2">
        <f>C11/'Output-Calculation-sheet'!C10*'Output-Calculation-sheet'!C91</f>
        <v>24401958146.312958</v>
      </c>
      <c r="D110" s="2">
        <f>D11/'Output-Calculation-sheet'!D10*'Output-Calculation-sheet'!D91</f>
        <v>0</v>
      </c>
      <c r="E110" s="2">
        <f>E11/'Output-Calculation-sheet'!E10*'Output-Calculation-sheet'!E91</f>
        <v>700637695.54331255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12067150405.363434</v>
      </c>
      <c r="I110" s="2">
        <f>I11/'Output-Calculation-sheet'!I10*'Output-Calculation-sheet'!I91</f>
        <v>-1.1617766918533087E-6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563140923.17252958</v>
      </c>
      <c r="M110" s="2">
        <f>M11/'Output-Calculation-sheet'!M10*'Output-Calculation-sheet'!M91</f>
        <v>8540455048.739995</v>
      </c>
      <c r="N110" s="2">
        <f>N11/'Output-Calculation-sheet'!N10*'Output-Calculation-sheet'!N91</f>
        <v>5910576125.4807653</v>
      </c>
      <c r="O110" s="2">
        <f>O11/'Output-Calculation-sheet'!O10*'Output-Calculation-sheet'!O91</f>
        <v>3747670134.5183315</v>
      </c>
      <c r="P110" s="2">
        <f>P11/'Output-Calculation-sheet'!P10*'Output-Calculation-sheet'!P91</f>
        <v>0</v>
      </c>
      <c r="Q110" s="2">
        <f>Q11/'Output-Calculation-sheet'!Q10*'Output-Calculation-sheet'!Q91</f>
        <v>946185216.30461359</v>
      </c>
      <c r="R110" s="2">
        <f>R11/'Output-Calculation-sheet'!R10*'Output-Calculation-sheet'!R91</f>
        <v>0</v>
      </c>
      <c r="S110" s="2">
        <f>S11/'Output-Calculation-sheet'!S10*'Output-Calculation-sheet'!S91</f>
        <v>2893479395.6775193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833735675.38291323</v>
      </c>
      <c r="Y110" s="2">
        <f>Y11/'Output-Calculation-sheet'!Y10*'Output-Calculation-sheet'!Y91</f>
        <v>37074835.747703716</v>
      </c>
      <c r="AA110" s="2">
        <f t="shared" si="9"/>
        <v>93745.348393055436</v>
      </c>
    </row>
    <row r="111" spans="1:27" x14ac:dyDescent="0.25">
      <c r="A111" s="2">
        <v>2035</v>
      </c>
      <c r="B111" s="2">
        <f>B12/'Output-Calculation-sheet'!B11*'Output-Calculation-sheet'!B92</f>
        <v>31227935641.898743</v>
      </c>
      <c r="C111" s="2">
        <f>C12/'Output-Calculation-sheet'!C11*'Output-Calculation-sheet'!C92</f>
        <v>27379096457.67255</v>
      </c>
      <c r="D111" s="2">
        <f>D12/'Output-Calculation-sheet'!D11*'Output-Calculation-sheet'!D92</f>
        <v>-8.1735491825838597E-7</v>
      </c>
      <c r="E111" s="2">
        <f>E12/'Output-Calculation-sheet'!E11*'Output-Calculation-sheet'!E92</f>
        <v>2532842761.5744061</v>
      </c>
      <c r="F111" s="2">
        <f>F12/'Output-Calculation-sheet'!F11*'Output-Calculation-sheet'!F92</f>
        <v>-1.7955876353388364E-7</v>
      </c>
      <c r="G111" s="2">
        <f>G12/'Output-Calculation-sheet'!G11*'Output-Calculation-sheet'!G92</f>
        <v>0</v>
      </c>
      <c r="H111" s="2">
        <f>H12/'Output-Calculation-sheet'!H11*'Output-Calculation-sheet'!H92</f>
        <v>11380659436.212492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1232419937.946331</v>
      </c>
      <c r="M111" s="2">
        <f>M12/'Output-Calculation-sheet'!M11*'Output-Calculation-sheet'!M92</f>
        <v>8109879941.1027985</v>
      </c>
      <c r="N111" s="2">
        <f>N12/'Output-Calculation-sheet'!N11*'Output-Calculation-sheet'!N92</f>
        <v>5709805878.137394</v>
      </c>
      <c r="O111" s="2">
        <f>O12/'Output-Calculation-sheet'!O11*'Output-Calculation-sheet'!O92</f>
        <v>4137167806.0283532</v>
      </c>
      <c r="P111" s="2">
        <f>P12/'Output-Calculation-sheet'!P11*'Output-Calculation-sheet'!P92</f>
        <v>245350405.88195938</v>
      </c>
      <c r="Q111" s="2">
        <f>Q12/'Output-Calculation-sheet'!Q11*'Output-Calculation-sheet'!Q92</f>
        <v>1085113880.2265899</v>
      </c>
      <c r="R111" s="2">
        <f>R12/'Output-Calculation-sheet'!R11*'Output-Calculation-sheet'!R92</f>
        <v>0</v>
      </c>
      <c r="S111" s="2">
        <f>S12/'Output-Calculation-sheet'!S11*'Output-Calculation-sheet'!S92</f>
        <v>2727714793.3013563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792733916.45698285</v>
      </c>
      <c r="Y111" s="2">
        <f>Y12/'Output-Calculation-sheet'!Y11*'Output-Calculation-sheet'!Y92</f>
        <v>53681733.401123755</v>
      </c>
      <c r="AA111" s="2">
        <f t="shared" si="9"/>
        <v>96614.402589841076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45756022151.418518</v>
      </c>
      <c r="C118" s="2">
        <f>C8/'Output-Calculation-sheet'!C7*'Output-Calculation-sheet'!C97</f>
        <v>0</v>
      </c>
      <c r="D118" s="2">
        <f>D8/'Output-Calculation-sheet'!D7*'Output-Calculation-sheet'!D97</f>
        <v>19784038134.193344</v>
      </c>
      <c r="E118" s="2">
        <f>E8/'Output-Calculation-sheet'!E7*'Output-Calculation-sheet'!E97</f>
        <v>15696626638.631807</v>
      </c>
      <c r="F118" s="2">
        <f>F8/'Output-Calculation-sheet'!F7*'Output-Calculation-sheet'!F97</f>
        <v>10104481835.281401</v>
      </c>
      <c r="G118" s="2">
        <f>G8/'Output-Calculation-sheet'!G7*'Output-Calculation-sheet'!G97</f>
        <v>7099686247.4877567</v>
      </c>
      <c r="H118" s="2">
        <f>H8/'Output-Calculation-sheet'!H7*'Output-Calculation-sheet'!H97</f>
        <v>0</v>
      </c>
      <c r="I118" s="2">
        <f>I8/'Output-Calculation-sheet'!I7*'Output-Calculation-sheet'!I97</f>
        <v>6468373038.8918934</v>
      </c>
      <c r="J118" s="2">
        <f>J8/'Output-Calculation-sheet'!J7*'Output-Calculation-sheet'!J97</f>
        <v>6295868801.6669521</v>
      </c>
      <c r="K118" s="2">
        <f>K8/'Output-Calculation-sheet'!K7*'Output-Calculation-sheet'!K97</f>
        <v>6235510383.4366703</v>
      </c>
      <c r="L118" s="2">
        <f>L8/'Output-Calculation-sheet'!L7*'Output-Calculation-sheet'!L97</f>
        <v>5002207508.5094547</v>
      </c>
      <c r="M118" s="2">
        <f>M8/'Output-Calculation-sheet'!M7*'Output-Calculation-sheet'!M97</f>
        <v>0</v>
      </c>
      <c r="N118" s="2">
        <f>N8/'Output-Calculation-sheet'!N7*'Output-Calculation-sheet'!N97</f>
        <v>3094784138.9309859</v>
      </c>
      <c r="O118" s="2">
        <f>O8/'Output-Calculation-sheet'!O7*'Output-Calculation-sheet'!O97</f>
        <v>0</v>
      </c>
      <c r="P118" s="2">
        <f>P8/'Output-Calculation-sheet'!P7*'Output-Calculation-sheet'!P97</f>
        <v>4269126205.6686525</v>
      </c>
      <c r="Q118" s="2">
        <f>Q8/'Output-Calculation-sheet'!Q7*'Output-Calculation-sheet'!Q97</f>
        <v>4200129430.4841647</v>
      </c>
      <c r="R118" s="2">
        <f>R8/'Output-Calculation-sheet'!R7*'Output-Calculation-sheet'!R97</f>
        <v>4040717677.2337141</v>
      </c>
      <c r="S118" s="2">
        <f>S8/'Output-Calculation-sheet'!S7*'Output-Calculation-sheet'!S97</f>
        <v>2206547854.2792716</v>
      </c>
      <c r="T118" s="2">
        <f>T8/'Output-Calculation-sheet'!T7*'Output-Calculation-sheet'!T97</f>
        <v>1485333363.3704872</v>
      </c>
      <c r="U118" s="2">
        <f>U8/'Output-Calculation-sheet'!U7*'Output-Calculation-sheet'!U97</f>
        <v>1293674353.7728887</v>
      </c>
      <c r="V118" s="2">
        <f>V8/'Output-Calculation-sheet'!V7*'Output-Calculation-sheet'!V97</f>
        <v>996155517.34278035</v>
      </c>
      <c r="W118" s="2">
        <f>W8/'Output-Calculation-sheet'!W7*'Output-Calculation-sheet'!W97</f>
        <v>862449568.91778803</v>
      </c>
      <c r="X118" s="2">
        <f>X8/'Output-Calculation-sheet'!X7*'Output-Calculation-sheet'!X97</f>
        <v>0</v>
      </c>
      <c r="Y118" s="2">
        <f>Y8/'Output-Calculation-sheet'!Y7*'Output-Calculation-sheet'!Y97</f>
        <v>503234345.59970278</v>
      </c>
      <c r="AA118" s="2">
        <f t="shared" si="10"/>
        <v>145394.96719511822</v>
      </c>
    </row>
    <row r="119" spans="1:27" x14ac:dyDescent="0.25">
      <c r="A119" s="2">
        <v>2032</v>
      </c>
      <c r="B119" s="2">
        <f>B9/'Output-Calculation-sheet'!B8*'Output-Calculation-sheet'!B98</f>
        <v>56274902001.153954</v>
      </c>
      <c r="C119" s="2">
        <f>C9/'Output-Calculation-sheet'!C8*'Output-Calculation-sheet'!C98</f>
        <v>0</v>
      </c>
      <c r="D119" s="2">
        <f>D9/'Output-Calculation-sheet'!D8*'Output-Calculation-sheet'!D98</f>
        <v>26088131327.119591</v>
      </c>
      <c r="E119" s="2">
        <f>E9/'Output-Calculation-sheet'!E8*'Output-Calculation-sheet'!E98</f>
        <v>20698280008.61216</v>
      </c>
      <c r="F119" s="2">
        <f>F9/'Output-Calculation-sheet'!F8*'Output-Calculation-sheet'!F98</f>
        <v>13324229717.384197</v>
      </c>
      <c r="G119" s="2">
        <f>G9/'Output-Calculation-sheet'!G8*'Output-Calculation-sheet'!G98</f>
        <v>9361969503.7416553</v>
      </c>
      <c r="H119" s="2">
        <f>H9/'Output-Calculation-sheet'!H8*'Output-Calculation-sheet'!H98</f>
        <v>1.9655713210288674E-7</v>
      </c>
      <c r="I119" s="2">
        <f>I9/'Output-Calculation-sheet'!I8*'Output-Calculation-sheet'!I98</f>
        <v>8529491806.8992891</v>
      </c>
      <c r="J119" s="2">
        <f>J9/'Output-Calculation-sheet'!J8*'Output-Calculation-sheet'!J98</f>
        <v>8302016625.5586739</v>
      </c>
      <c r="K119" s="2">
        <f>K9/'Output-Calculation-sheet'!K8*'Output-Calculation-sheet'!K98</f>
        <v>8222426582.235116</v>
      </c>
      <c r="L119" s="2">
        <f>L9/'Output-Calculation-sheet'!L8*'Output-Calculation-sheet'!L98</f>
        <v>6596139061.2600803</v>
      </c>
      <c r="M119" s="2">
        <f>M9/'Output-Calculation-sheet'!M8*'Output-Calculation-sheet'!M98</f>
        <v>0</v>
      </c>
      <c r="N119" s="2">
        <f>N9/'Output-Calculation-sheet'!N8*'Output-Calculation-sheet'!N98</f>
        <v>3218981408.7294927</v>
      </c>
      <c r="O119" s="2">
        <f>O9/'Output-Calculation-sheet'!O8*'Output-Calculation-sheet'!O98</f>
        <v>0</v>
      </c>
      <c r="P119" s="2">
        <f>P9/'Output-Calculation-sheet'!P8*'Output-Calculation-sheet'!P98</f>
        <v>5629426540.8851223</v>
      </c>
      <c r="Q119" s="2">
        <f>Q9/'Output-Calculation-sheet'!Q8*'Output-Calculation-sheet'!Q98</f>
        <v>5538481434.9978514</v>
      </c>
      <c r="R119" s="2">
        <f>R9/'Output-Calculation-sheet'!R8*'Output-Calculation-sheet'!R98</f>
        <v>5328274285.6191425</v>
      </c>
      <c r="S119" s="2">
        <f>S9/'Output-Calculation-sheet'!S8*'Output-Calculation-sheet'!S98</f>
        <v>2659115182.5923038</v>
      </c>
      <c r="T119" s="2">
        <f>T9/'Output-Calculation-sheet'!T8*'Output-Calculation-sheet'!T98</f>
        <v>1958627733.5455921</v>
      </c>
      <c r="U119" s="2">
        <f>U9/'Output-Calculation-sheet'!U8*'Output-Calculation-sheet'!U98</f>
        <v>1705898167.5565486</v>
      </c>
      <c r="V119" s="2">
        <f>V9/'Output-Calculation-sheet'!V8*'Output-Calculation-sheet'!V98</f>
        <v>1313575707.1970673</v>
      </c>
      <c r="W119" s="2">
        <f>W9/'Output-Calculation-sheet'!W8*'Output-Calculation-sheet'!W98</f>
        <v>1137265266.3316894</v>
      </c>
      <c r="X119" s="2">
        <f>X9/'Output-Calculation-sheet'!X8*'Output-Calculation-sheet'!X98</f>
        <v>0</v>
      </c>
      <c r="Y119" s="2">
        <f>Y9/'Output-Calculation-sheet'!Y8*'Output-Calculation-sheet'!Y98</f>
        <v>663587459.60011601</v>
      </c>
      <c r="AA119" s="2">
        <f t="shared" si="10"/>
        <v>186550.81982101972</v>
      </c>
    </row>
    <row r="120" spans="1:27" x14ac:dyDescent="0.25">
      <c r="A120" s="2">
        <v>2033</v>
      </c>
      <c r="B120" s="2">
        <f>B10/'Output-Calculation-sheet'!B9*'Output-Calculation-sheet'!B99</f>
        <v>59965022548.365639</v>
      </c>
      <c r="C120" s="2">
        <f>C10/'Output-Calculation-sheet'!C9*'Output-Calculation-sheet'!C99</f>
        <v>0</v>
      </c>
      <c r="D120" s="2">
        <f>D10/'Output-Calculation-sheet'!D9*'Output-Calculation-sheet'!D99</f>
        <v>31519652976.782566</v>
      </c>
      <c r="E120" s="2">
        <f>E10/'Output-Calculation-sheet'!E9*'Output-Calculation-sheet'!E99</f>
        <v>25007642865.515732</v>
      </c>
      <c r="F120" s="2">
        <f>F10/'Output-Calculation-sheet'!F9*'Output-Calculation-sheet'!F99</f>
        <v>16098317103.109348</v>
      </c>
      <c r="G120" s="2">
        <f>G10/'Output-Calculation-sheet'!G9*'Output-Calculation-sheet'!G99</f>
        <v>11311119403.032646</v>
      </c>
      <c r="H120" s="2">
        <f>H10/'Output-Calculation-sheet'!H9*'Output-Calculation-sheet'!H99</f>
        <v>0</v>
      </c>
      <c r="I120" s="2">
        <f>I10/'Output-Calculation-sheet'!I9*'Output-Calculation-sheet'!I99</f>
        <v>10305321480.779398</v>
      </c>
      <c r="J120" s="2">
        <f>J10/'Output-Calculation-sheet'!J9*'Output-Calculation-sheet'!J99</f>
        <v>10030486229.931845</v>
      </c>
      <c r="K120" s="2">
        <f>K10/'Output-Calculation-sheet'!K9*'Output-Calculation-sheet'!K99</f>
        <v>9934326676.8808975</v>
      </c>
      <c r="L120" s="2">
        <f>L10/'Output-Calculation-sheet'!L9*'Output-Calculation-sheet'!L99</f>
        <v>7969447069.4382811</v>
      </c>
      <c r="M120" s="2">
        <f>M10/'Output-Calculation-sheet'!M9*'Output-Calculation-sheet'!M99</f>
        <v>0</v>
      </c>
      <c r="N120" s="2">
        <f>N10/'Output-Calculation-sheet'!N9*'Output-Calculation-sheet'!N99</f>
        <v>2986692181.0572371</v>
      </c>
      <c r="O120" s="2">
        <f>O10/'Output-Calculation-sheet'!O9*'Output-Calculation-sheet'!O99</f>
        <v>0</v>
      </c>
      <c r="P120" s="2">
        <f>P10/'Output-Calculation-sheet'!P9*'Output-Calculation-sheet'!P99</f>
        <v>6801112773.2909746</v>
      </c>
      <c r="Q120" s="2">
        <f>Q10/'Output-Calculation-sheet'!Q9*'Output-Calculation-sheet'!Q99</f>
        <v>6545598152.9643717</v>
      </c>
      <c r="R120" s="2">
        <f>R10/'Output-Calculation-sheet'!R9*'Output-Calculation-sheet'!R99</f>
        <v>6437308850.8179922</v>
      </c>
      <c r="S120" s="2">
        <f>S10/'Output-Calculation-sheet'!S9*'Output-Calculation-sheet'!S99</f>
        <v>2476032320.874331</v>
      </c>
      <c r="T120" s="2">
        <f>T10/'Output-Calculation-sheet'!T9*'Output-Calculation-sheet'!T99</f>
        <v>2366391256.2304101</v>
      </c>
      <c r="U120" s="2">
        <f>U10/'Output-Calculation-sheet'!U9*'Output-Calculation-sheet'!U99</f>
        <v>2061512009.6507194</v>
      </c>
      <c r="V120" s="2">
        <f>V10/'Output-Calculation-sheet'!V9*'Output-Calculation-sheet'!V99</f>
        <v>1587060629.292017</v>
      </c>
      <c r="W120" s="2">
        <f>W10/'Output-Calculation-sheet'!W9*'Output-Calculation-sheet'!W99</f>
        <v>1374042777.5119307</v>
      </c>
      <c r="X120" s="2">
        <f>X10/'Output-Calculation-sheet'!X9*'Output-Calculation-sheet'!X99</f>
        <v>0</v>
      </c>
      <c r="Y120" s="2">
        <f>Y10/'Output-Calculation-sheet'!Y9*'Output-Calculation-sheet'!Y99</f>
        <v>801746755.36881399</v>
      </c>
      <c r="AA120" s="2">
        <f t="shared" si="10"/>
        <v>215578.8340608952</v>
      </c>
    </row>
    <row r="121" spans="1:27" x14ac:dyDescent="0.25">
      <c r="A121" s="2">
        <v>2034</v>
      </c>
      <c r="B121" s="2">
        <f>B11/'Output-Calculation-sheet'!B10*'Output-Calculation-sheet'!B100</f>
        <v>51092825232.878807</v>
      </c>
      <c r="C121" s="2">
        <f>C11/'Output-Calculation-sheet'!C10*'Output-Calculation-sheet'!C100</f>
        <v>0</v>
      </c>
      <c r="D121" s="2">
        <f>D11/'Output-Calculation-sheet'!D10*'Output-Calculation-sheet'!D100</f>
        <v>35367806117.545685</v>
      </c>
      <c r="E121" s="2">
        <f>E11/'Output-Calculation-sheet'!E10*'Output-Calculation-sheet'!E100</f>
        <v>27364763864.094395</v>
      </c>
      <c r="F121" s="2">
        <f>F11/'Output-Calculation-sheet'!F10*'Output-Calculation-sheet'!F100</f>
        <v>18063858696.759132</v>
      </c>
      <c r="G121" s="2">
        <f>G11/'Output-Calculation-sheet'!G10*'Output-Calculation-sheet'!G100</f>
        <v>12691377179.030809</v>
      </c>
      <c r="H121" s="2">
        <f>H11/'Output-Calculation-sheet'!H10*'Output-Calculation-sheet'!H100</f>
        <v>0</v>
      </c>
      <c r="I121" s="2">
        <f>I11/'Output-Calculation-sheet'!I10*'Output-Calculation-sheet'!I100</f>
        <v>11563067668.665138</v>
      </c>
      <c r="J121" s="2">
        <f>J11/'Output-Calculation-sheet'!J10*'Output-Calculation-sheet'!J100</f>
        <v>11254801177.269197</v>
      </c>
      <c r="K121" s="2">
        <f>K11/'Output-Calculation-sheet'!K10*'Output-Calculation-sheet'!K100</f>
        <v>11147187579.242992</v>
      </c>
      <c r="L121" s="2">
        <f>L11/'Output-Calculation-sheet'!L10*'Output-Calculation-sheet'!L100</f>
        <v>8379023228.1341314</v>
      </c>
      <c r="M121" s="2">
        <f>M11/'Output-Calculation-sheet'!M10*'Output-Calculation-sheet'!M100</f>
        <v>5.9864741285216598E-7</v>
      </c>
      <c r="N121" s="2">
        <f>N11/'Output-Calculation-sheet'!N10*'Output-Calculation-sheet'!N100</f>
        <v>2471855527.6200886</v>
      </c>
      <c r="O121" s="2">
        <f>O11/'Output-Calculation-sheet'!O10*'Output-Calculation-sheet'!O100</f>
        <v>0</v>
      </c>
      <c r="P121" s="2">
        <f>P11/'Output-Calculation-sheet'!P10*'Output-Calculation-sheet'!P100</f>
        <v>7631121234.9891949</v>
      </c>
      <c r="Q121" s="2">
        <f>Q11/'Output-Calculation-sheet'!Q10*'Output-Calculation-sheet'!Q100</f>
        <v>6323953924.9245214</v>
      </c>
      <c r="R121" s="2">
        <f>R11/'Output-Calculation-sheet'!R10*'Output-Calculation-sheet'!R100</f>
        <v>7222911443.7662058</v>
      </c>
      <c r="S121" s="2">
        <f>S11/'Output-Calculation-sheet'!S10*'Output-Calculation-sheet'!S100</f>
        <v>1907056412.0796087</v>
      </c>
      <c r="T121" s="2">
        <f>T11/'Output-Calculation-sheet'!T10*'Output-Calculation-sheet'!T100</f>
        <v>2655140417.1513758</v>
      </c>
      <c r="U121" s="2">
        <f>U11/'Output-Calculation-sheet'!U10*'Output-Calculation-sheet'!U100</f>
        <v>2237582259.093914</v>
      </c>
      <c r="V121" s="2">
        <f>V11/'Output-Calculation-sheet'!V10*'Output-Calculation-sheet'!V100</f>
        <v>1781325234.7988317</v>
      </c>
      <c r="W121" s="2">
        <f>W11/'Output-Calculation-sheet'!W10*'Output-Calculation-sheet'!W100</f>
        <v>1541841911.5507326</v>
      </c>
      <c r="X121" s="2">
        <f>X11/'Output-Calculation-sheet'!X10*'Output-Calculation-sheet'!X100</f>
        <v>59378551.535887115</v>
      </c>
      <c r="Y121" s="2">
        <f>Y11/'Output-Calculation-sheet'!Y10*'Output-Calculation-sheet'!Y100</f>
        <v>862538863.87517989</v>
      </c>
      <c r="AA121" s="2">
        <f t="shared" si="10"/>
        <v>221619.4165250058</v>
      </c>
    </row>
    <row r="122" spans="1:27" x14ac:dyDescent="0.25">
      <c r="A122" s="2">
        <v>2035</v>
      </c>
      <c r="B122" s="2">
        <f>B12/'Output-Calculation-sheet'!B11*'Output-Calculation-sheet'!B101</f>
        <v>46783057703.667213</v>
      </c>
      <c r="C122" s="2">
        <f>C12/'Output-Calculation-sheet'!C11*'Output-Calculation-sheet'!C101</f>
        <v>0</v>
      </c>
      <c r="D122" s="2">
        <f>D12/'Output-Calculation-sheet'!D11*'Output-Calculation-sheet'!D101</f>
        <v>32738039882.944817</v>
      </c>
      <c r="E122" s="2">
        <f>E12/'Output-Calculation-sheet'!E11*'Output-Calculation-sheet'!E101</f>
        <v>25424059398.80378</v>
      </c>
      <c r="F122" s="2">
        <f>F12/'Output-Calculation-sheet'!F11*'Output-Calculation-sheet'!F101</f>
        <v>17320226016.589115</v>
      </c>
      <c r="G122" s="2">
        <f>G12/'Output-Calculation-sheet'!G11*'Output-Calculation-sheet'!G101</f>
        <v>11735802113.637926</v>
      </c>
      <c r="H122" s="2">
        <f>H12/'Output-Calculation-sheet'!H11*'Output-Calculation-sheet'!H101</f>
        <v>0</v>
      </c>
      <c r="I122" s="2">
        <f>I12/'Output-Calculation-sheet'!I11*'Output-Calculation-sheet'!I101</f>
        <v>10768518665.689436</v>
      </c>
      <c r="J122" s="2">
        <f>J12/'Output-Calculation-sheet'!J11*'Output-Calculation-sheet'!J101</f>
        <v>10780274865.941687</v>
      </c>
      <c r="K122" s="2">
        <f>K12/'Output-Calculation-sheet'!K11*'Output-Calculation-sheet'!K101</f>
        <v>10583786305.401928</v>
      </c>
      <c r="L122" s="2">
        <f>L12/'Output-Calculation-sheet'!L11*'Output-Calculation-sheet'!L101</f>
        <v>7667265136.5052242</v>
      </c>
      <c r="M122" s="2">
        <f>M12/'Output-Calculation-sheet'!M11*'Output-Calculation-sheet'!M101</f>
        <v>0</v>
      </c>
      <c r="N122" s="2">
        <f>N12/'Output-Calculation-sheet'!N11*'Output-Calculation-sheet'!N101</f>
        <v>2232482343.3696475</v>
      </c>
      <c r="O122" s="2">
        <f>O12/'Output-Calculation-sheet'!O11*'Output-Calculation-sheet'!O101</f>
        <v>0</v>
      </c>
      <c r="P122" s="2">
        <f>P12/'Output-Calculation-sheet'!P11*'Output-Calculation-sheet'!P101</f>
        <v>7117169277.2993517</v>
      </c>
      <c r="Q122" s="2">
        <f>Q12/'Output-Calculation-sheet'!Q11*'Output-Calculation-sheet'!Q101</f>
        <v>5753865520.0812387</v>
      </c>
      <c r="R122" s="2">
        <f>R12/'Output-Calculation-sheet'!R11*'Output-Calculation-sheet'!R101</f>
        <v>7049577183.1051464</v>
      </c>
      <c r="S122" s="2">
        <f>S12/'Output-Calculation-sheet'!S11*'Output-Calculation-sheet'!S101</f>
        <v>1686243911.2731256</v>
      </c>
      <c r="T122" s="2">
        <f>T12/'Output-Calculation-sheet'!T11*'Output-Calculation-sheet'!T101</f>
        <v>2630663248.4217405</v>
      </c>
      <c r="U122" s="2">
        <f>U12/'Output-Calculation-sheet'!U11*'Output-Calculation-sheet'!U101</f>
        <v>2077675738.0160446</v>
      </c>
      <c r="V122" s="2">
        <f>V12/'Output-Calculation-sheet'!V11*'Output-Calculation-sheet'!V101</f>
        <v>1809173288.1674564</v>
      </c>
      <c r="W122" s="2">
        <f>W12/'Output-Calculation-sheet'!W11*'Output-Calculation-sheet'!W101</f>
        <v>1524723168.5273547</v>
      </c>
      <c r="X122" s="2">
        <f>X12/'Output-Calculation-sheet'!X11*'Output-Calculation-sheet'!X101</f>
        <v>53759868.133353472</v>
      </c>
      <c r="Y122" s="2">
        <f>Y12/'Output-Calculation-sheet'!Y11*'Output-Calculation-sheet'!Y101</f>
        <v>805425371.97643971</v>
      </c>
      <c r="AA122" s="2">
        <f t="shared" si="10"/>
        <v>206541.789007552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47103561247.085358</v>
      </c>
      <c r="C129" s="2">
        <f>C8/'Output-Calculation-sheet'!C7*'Output-Calculation-sheet'!C106</f>
        <v>27608262990.563789</v>
      </c>
      <c r="D129" s="2">
        <f>D8/'Output-Calculation-sheet'!D7*'Output-Calculation-sheet'!D106</f>
        <v>19784038134.193344</v>
      </c>
      <c r="E129" s="2">
        <f>E8/'Output-Calculation-sheet'!E7*'Output-Calculation-sheet'!E106</f>
        <v>15696626638.631807</v>
      </c>
      <c r="F129" s="2">
        <f>F8/'Output-Calculation-sheet'!F7*'Output-Calculation-sheet'!F106</f>
        <v>10104481835.281401</v>
      </c>
      <c r="G129" s="2">
        <f>G8/'Output-Calculation-sheet'!G7*'Output-Calculation-sheet'!G106</f>
        <v>7099686247.4877567</v>
      </c>
      <c r="H129" s="2">
        <f>H8/'Output-Calculation-sheet'!H7*'Output-Calculation-sheet'!H106</f>
        <v>6925471400.3069258</v>
      </c>
      <c r="I129" s="2">
        <f>I8/'Output-Calculation-sheet'!I7*'Output-Calculation-sheet'!I106</f>
        <v>6468373038.8918934</v>
      </c>
      <c r="J129" s="2">
        <f>J8/'Output-Calculation-sheet'!J7*'Output-Calculation-sheet'!J106</f>
        <v>6295868801.6669521</v>
      </c>
      <c r="K129" s="2">
        <f>K8/'Output-Calculation-sheet'!K7*'Output-Calculation-sheet'!K106</f>
        <v>6235510383.4366703</v>
      </c>
      <c r="L129" s="2">
        <f>L8/'Output-Calculation-sheet'!L7*'Output-Calculation-sheet'!L106</f>
        <v>5002207508.5094547</v>
      </c>
      <c r="M129" s="2">
        <f>M8/'Output-Calculation-sheet'!M7*'Output-Calculation-sheet'!M106</f>
        <v>4777971551.3948212</v>
      </c>
      <c r="N129" s="2">
        <f>N8/'Output-Calculation-sheet'!N7*'Output-Calculation-sheet'!N106</f>
        <v>4689566187.1355095</v>
      </c>
      <c r="O129" s="2">
        <f>O8/'Output-Calculation-sheet'!O7*'Output-Calculation-sheet'!O106</f>
        <v>6014746396.2304897</v>
      </c>
      <c r="P129" s="2">
        <f>P8/'Output-Calculation-sheet'!P7*'Output-Calculation-sheet'!P106</f>
        <v>4269126205.6686525</v>
      </c>
      <c r="Q129" s="2">
        <f>Q8/'Output-Calculation-sheet'!Q7*'Output-Calculation-sheet'!Q106</f>
        <v>4200129430.4841647</v>
      </c>
      <c r="R129" s="2">
        <f>R8/'Output-Calculation-sheet'!R7*'Output-Calculation-sheet'!R106</f>
        <v>4040717677.2337141</v>
      </c>
      <c r="S129" s="2">
        <f>S8/'Output-Calculation-sheet'!S7*'Output-Calculation-sheet'!S106</f>
        <v>2685667964.8870497</v>
      </c>
      <c r="T129" s="2">
        <f>T8/'Output-Calculation-sheet'!T7*'Output-Calculation-sheet'!T106</f>
        <v>1485333363.3704872</v>
      </c>
      <c r="U129" s="2">
        <f>U8/'Output-Calculation-sheet'!U7*'Output-Calculation-sheet'!U106</f>
        <v>1293674353.7728887</v>
      </c>
      <c r="V129" s="2">
        <f>V8/'Output-Calculation-sheet'!V7*'Output-Calculation-sheet'!V106</f>
        <v>996155517.34278035</v>
      </c>
      <c r="W129" s="2">
        <f>W8/'Output-Calculation-sheet'!W7*'Output-Calculation-sheet'!W106</f>
        <v>862449568.91778803</v>
      </c>
      <c r="X129" s="2">
        <f>X8/'Output-Calculation-sheet'!X7*'Output-Calculation-sheet'!X106</f>
        <v>517469843.11135215</v>
      </c>
      <c r="Y129" s="2">
        <f>Y8/'Output-Calculation-sheet'!Y7*'Output-Calculation-sheet'!Y106</f>
        <v>503234345.59970278</v>
      </c>
      <c r="AA129" s="2">
        <f t="shared" si="11"/>
        <v>194660.33063120474</v>
      </c>
    </row>
    <row r="130" spans="1:27" x14ac:dyDescent="0.25">
      <c r="A130" s="2">
        <v>2032</v>
      </c>
      <c r="B130" s="2">
        <f>B9/'Output-Calculation-sheet'!B8*'Output-Calculation-sheet'!B107</f>
        <v>37267739194.549774</v>
      </c>
      <c r="C130" s="2">
        <f>C9/'Output-Calculation-sheet'!C8*'Output-Calculation-sheet'!C107</f>
        <v>28026345451.748806</v>
      </c>
      <c r="D130" s="2">
        <f>D9/'Output-Calculation-sheet'!D8*'Output-Calculation-sheet'!D107</f>
        <v>15652875533.367952</v>
      </c>
      <c r="E130" s="2">
        <f>E9/'Output-Calculation-sheet'!E8*'Output-Calculation-sheet'!E107</f>
        <v>12418966708.598196</v>
      </c>
      <c r="F130" s="2">
        <f>F9/'Output-Calculation-sheet'!F8*'Output-Calculation-sheet'!F107</f>
        <v>7994538645.8835716</v>
      </c>
      <c r="G130" s="2">
        <f>G9/'Output-Calculation-sheet'!G8*'Output-Calculation-sheet'!G107</f>
        <v>5617182287.481842</v>
      </c>
      <c r="H130" s="2">
        <f>H9/'Output-Calculation-sheet'!H8*'Output-Calculation-sheet'!H107</f>
        <v>5479344268.6891861</v>
      </c>
      <c r="I130" s="2">
        <f>I9/'Output-Calculation-sheet'!I8*'Output-Calculation-sheet'!I107</f>
        <v>5117694557.7539692</v>
      </c>
      <c r="J130" s="2">
        <f>J9/'Output-Calculation-sheet'!J8*'Output-Calculation-sheet'!J107</f>
        <v>4981209454.3862772</v>
      </c>
      <c r="K130" s="2">
        <f>K9/'Output-Calculation-sheet'!K8*'Output-Calculation-sheet'!K107</f>
        <v>4933455949.3410692</v>
      </c>
      <c r="L130" s="2">
        <f>L9/'Output-Calculation-sheet'!L8*'Output-Calculation-sheet'!L107</f>
        <v>3957683025.3807855</v>
      </c>
      <c r="M130" s="2">
        <f>M9/'Output-Calculation-sheet'!M8*'Output-Calculation-sheet'!M107</f>
        <v>3780270869.2372885</v>
      </c>
      <c r="N130" s="2">
        <f>N9/'Output-Calculation-sheet'!N8*'Output-Calculation-sheet'!N107</f>
        <v>3710323264.2773633</v>
      </c>
      <c r="O130" s="2">
        <f>O9/'Output-Calculation-sheet'!O8*'Output-Calculation-sheet'!O107</f>
        <v>6103102955.0079947</v>
      </c>
      <c r="P130" s="2">
        <f>P9/'Output-Calculation-sheet'!P8*'Output-Calculation-sheet'!P107</f>
        <v>3377677531.0921001</v>
      </c>
      <c r="Q130" s="2">
        <f>Q9/'Output-Calculation-sheet'!Q8*'Output-Calculation-sheet'!Q107</f>
        <v>3323089868.7850738</v>
      </c>
      <c r="R130" s="2">
        <f>R9/'Output-Calculation-sheet'!R8*'Output-Calculation-sheet'!R107</f>
        <v>3196964904.5075159</v>
      </c>
      <c r="S130" s="2">
        <f>S9/'Output-Calculation-sheet'!S8*'Output-Calculation-sheet'!S107</f>
        <v>2124866369.8191676</v>
      </c>
      <c r="T130" s="2">
        <f>T9/'Output-Calculation-sheet'!T8*'Output-Calculation-sheet'!T107</f>
        <v>1175176886.6246083</v>
      </c>
      <c r="U130" s="2">
        <f>U9/'Output-Calculation-sheet'!U8*'Output-Calculation-sheet'!U107</f>
        <v>1023538578.9885025</v>
      </c>
      <c r="V130" s="2">
        <f>V9/'Output-Calculation-sheet'!V8*'Output-Calculation-sheet'!V107</f>
        <v>788145176.37755382</v>
      </c>
      <c r="W130" s="2">
        <f>W9/'Output-Calculation-sheet'!W8*'Output-Calculation-sheet'!W107</f>
        <v>682359231.3650099</v>
      </c>
      <c r="X130" s="2">
        <f>X9/'Output-Calculation-sheet'!X8*'Output-Calculation-sheet'!X107</f>
        <v>409415458.48686486</v>
      </c>
      <c r="Y130" s="2">
        <f>Y9/'Output-Calculation-sheet'!Y8*'Output-Calculation-sheet'!Y107</f>
        <v>398152517.05892062</v>
      </c>
      <c r="AA130" s="2">
        <f t="shared" si="11"/>
        <v>161540.11868880939</v>
      </c>
    </row>
    <row r="131" spans="1:27" x14ac:dyDescent="0.25">
      <c r="A131" s="2">
        <v>2033</v>
      </c>
      <c r="B131" s="2">
        <f>B10/'Output-Calculation-sheet'!B9*'Output-Calculation-sheet'!B108</f>
        <v>25014918267.013206</v>
      </c>
      <c r="C131" s="2">
        <f>C10/'Output-Calculation-sheet'!C9*'Output-Calculation-sheet'!C108</f>
        <v>26176293326.381199</v>
      </c>
      <c r="D131" s="2">
        <f>D10/'Output-Calculation-sheet'!D9*'Output-Calculation-sheet'!D108</f>
        <v>10506553729.925268</v>
      </c>
      <c r="E131" s="2">
        <f>E10/'Output-Calculation-sheet'!E9*'Output-Calculation-sheet'!E108</f>
        <v>8335880955.1719112</v>
      </c>
      <c r="F131" s="2">
        <f>F10/'Output-Calculation-sheet'!F9*'Output-Calculation-sheet'!F108</f>
        <v>5366105701.0364494</v>
      </c>
      <c r="G131" s="2">
        <f>G10/'Output-Calculation-sheet'!G9*'Output-Calculation-sheet'!G108</f>
        <v>3770373134.3442154</v>
      </c>
      <c r="H131" s="2">
        <f>H10/'Output-Calculation-sheet'!H9*'Output-Calculation-sheet'!H108</f>
        <v>3677854260.0563669</v>
      </c>
      <c r="I131" s="2">
        <f>I10/'Output-Calculation-sheet'!I9*'Output-Calculation-sheet'!I108</f>
        <v>3435108043.5632772</v>
      </c>
      <c r="J131" s="2">
        <f>J10/'Output-Calculation-sheet'!J9*'Output-Calculation-sheet'!J108</f>
        <v>3343496284.1577206</v>
      </c>
      <c r="K131" s="2">
        <f>K10/'Output-Calculation-sheet'!K9*'Output-Calculation-sheet'!K108</f>
        <v>3311442225.626966</v>
      </c>
      <c r="L131" s="2">
        <f>L10/'Output-Calculation-sheet'!L9*'Output-Calculation-sheet'!L108</f>
        <v>2656483046.7893386</v>
      </c>
      <c r="M131" s="2">
        <f>M10/'Output-Calculation-sheet'!M9*'Output-Calculation-sheet'!M108</f>
        <v>2537398829.4784927</v>
      </c>
      <c r="N131" s="2">
        <f>N10/'Output-Calculation-sheet'!N9*'Output-Calculation-sheet'!N108</f>
        <v>2490449140.3627863</v>
      </c>
      <c r="O131" s="2">
        <f>O10/'Output-Calculation-sheet'!O9*'Output-Calculation-sheet'!O108</f>
        <v>5898036838.2562256</v>
      </c>
      <c r="P131" s="2">
        <f>P10/'Output-Calculation-sheet'!P9*'Output-Calculation-sheet'!P108</f>
        <v>2267171325.8463173</v>
      </c>
      <c r="Q131" s="2">
        <f>Q10/'Output-Calculation-sheet'!Q9*'Output-Calculation-sheet'!Q108</f>
        <v>2230529718.7294912</v>
      </c>
      <c r="R131" s="2">
        <f>R10/'Output-Calculation-sheet'!R9*'Output-Calculation-sheet'!R108</f>
        <v>2145871358.6255603</v>
      </c>
      <c r="S131" s="2">
        <f>S10/'Output-Calculation-sheet'!S9*'Output-Calculation-sheet'!S108</f>
        <v>1426256586.1754398</v>
      </c>
      <c r="T131" s="2">
        <f>T10/'Output-Calculation-sheet'!T9*'Output-Calculation-sheet'!T108</f>
        <v>788803703.58142102</v>
      </c>
      <c r="U131" s="2">
        <f>U10/'Output-Calculation-sheet'!U9*'Output-Calculation-sheet'!U108</f>
        <v>687021208.82896459</v>
      </c>
      <c r="V131" s="2">
        <f>V10/'Output-Calculation-sheet'!V9*'Output-Calculation-sheet'!V108</f>
        <v>529020071.07805085</v>
      </c>
      <c r="W131" s="2">
        <f>W10/'Output-Calculation-sheet'!W9*'Output-Calculation-sheet'!W108</f>
        <v>458014139.07903618</v>
      </c>
      <c r="X131" s="2">
        <f>X10/'Output-Calculation-sheet'!X9*'Output-Calculation-sheet'!X108</f>
        <v>274808429.76786178</v>
      </c>
      <c r="Y131" s="2">
        <f>Y10/'Output-Calculation-sheet'!Y9*'Output-Calculation-sheet'!Y108</f>
        <v>267248502.6460551</v>
      </c>
      <c r="AA131" s="2">
        <f t="shared" si="11"/>
        <v>117595.13882652164</v>
      </c>
    </row>
    <row r="132" spans="1:27" x14ac:dyDescent="0.25">
      <c r="A132" s="2">
        <v>2034</v>
      </c>
      <c r="B132" s="2">
        <f>B11/'Output-Calculation-sheet'!B10*'Output-Calculation-sheet'!B109</f>
        <v>12029537819.825062</v>
      </c>
      <c r="C132" s="2">
        <f>C11/'Output-Calculation-sheet'!C10*'Output-Calculation-sheet'!C109</f>
        <v>22242506396.770741</v>
      </c>
      <c r="D132" s="2">
        <f>D11/'Output-Calculation-sheet'!D10*'Output-Calculation-sheet'!D109</f>
        <v>5052544408.1496534</v>
      </c>
      <c r="E132" s="2">
        <f>E11/'Output-Calculation-sheet'!E10*'Output-Calculation-sheet'!E109</f>
        <v>4008680958.4766135</v>
      </c>
      <c r="F132" s="2">
        <f>F11/'Output-Calculation-sheet'!F10*'Output-Calculation-sheet'!F109</f>
        <v>2580531783.0950232</v>
      </c>
      <c r="G132" s="2">
        <f>G11/'Output-Calculation-sheet'!G10*'Output-Calculation-sheet'!G109</f>
        <v>1813152734.9460068</v>
      </c>
      <c r="H132" s="2">
        <f>H11/'Output-Calculation-sheet'!H10*'Output-Calculation-sheet'!H109</f>
        <v>2148652264.9108791</v>
      </c>
      <c r="I132" s="2">
        <f>I11/'Output-Calculation-sheet'!I10*'Output-Calculation-sheet'!I109</f>
        <v>1651924737.1137371</v>
      </c>
      <c r="J132" s="2">
        <f>J11/'Output-Calculation-sheet'!J10*'Output-Calculation-sheet'!J109</f>
        <v>1607869385.1953733</v>
      </c>
      <c r="K132" s="2">
        <f>K11/'Output-Calculation-sheet'!K10*'Output-Calculation-sheet'!K109</f>
        <v>1592455261.109252</v>
      </c>
      <c r="L132" s="2">
        <f>L11/'Output-Calculation-sheet'!L10*'Output-Calculation-sheet'!L109</f>
        <v>1277488414.614893</v>
      </c>
      <c r="M132" s="2">
        <f>M11/'Output-Calculation-sheet'!M10*'Output-Calculation-sheet'!M109</f>
        <v>1220221645.0176637</v>
      </c>
      <c r="N132" s="2">
        <f>N11/'Output-Calculation-sheet'!N10*'Output-Calculation-sheet'!N109</f>
        <v>1197644159.7103357</v>
      </c>
      <c r="O132" s="2">
        <f>O11/'Output-Calculation-sheet'!O10*'Output-Calculation-sheet'!O109</f>
        <v>5278840563.8213091</v>
      </c>
      <c r="P132" s="2">
        <f>P11/'Output-Calculation-sheet'!P10*'Output-Calculation-sheet'!P109</f>
        <v>1090270328.1392031</v>
      </c>
      <c r="Q132" s="2">
        <f>Q11/'Output-Calculation-sheet'!Q10*'Output-Calculation-sheet'!Q109</f>
        <v>1342737278.5563641</v>
      </c>
      <c r="R132" s="2">
        <f>R11/'Output-Calculation-sheet'!R10*'Output-Calculation-sheet'!R109</f>
        <v>1031938321.2743509</v>
      </c>
      <c r="S132" s="2">
        <f>S11/'Output-Calculation-sheet'!S10*'Output-Calculation-sheet'!S109</f>
        <v>685879124.54352498</v>
      </c>
      <c r="T132" s="2">
        <f>T11/'Output-Calculation-sheet'!T10*'Output-Calculation-sheet'!T109</f>
        <v>379331638.54036921</v>
      </c>
      <c r="U132" s="2">
        <f>U11/'Output-Calculation-sheet'!U10*'Output-Calculation-sheet'!U109</f>
        <v>417227172.98946559</v>
      </c>
      <c r="V132" s="2">
        <f>V11/'Output-Calculation-sheet'!V10*'Output-Calculation-sheet'!V109</f>
        <v>254402987.58530438</v>
      </c>
      <c r="W132" s="2">
        <f>W11/'Output-Calculation-sheet'!W10*'Output-Calculation-sheet'!W109</f>
        <v>220256605.96141413</v>
      </c>
      <c r="X132" s="2">
        <f>X11/'Output-Calculation-sheet'!X10*'Output-Calculation-sheet'!X109</f>
        <v>174893241.68473142</v>
      </c>
      <c r="Y132" s="2">
        <f>Y11/'Output-Calculation-sheet'!Y10*'Output-Calculation-sheet'!Y109</f>
        <v>128518428.09055972</v>
      </c>
      <c r="AA132" s="2">
        <f t="shared" si="11"/>
        <v>69427.505660121838</v>
      </c>
    </row>
    <row r="133" spans="1:27" x14ac:dyDescent="0.25">
      <c r="A133" s="2">
        <v>2035</v>
      </c>
      <c r="B133" s="2">
        <f>B12/'Output-Calculation-sheet'!B11*'Output-Calculation-sheet'!B110</f>
        <v>11772788323.561983</v>
      </c>
      <c r="C133" s="2">
        <f>C12/'Output-Calculation-sheet'!C11*'Output-Calculation-sheet'!C110</f>
        <v>15176597750.841574</v>
      </c>
      <c r="D133" s="2">
        <f>D12/'Output-Calculation-sheet'!D11*'Output-Calculation-sheet'!D110</f>
        <v>4476748048.2675362</v>
      </c>
      <c r="E133" s="2">
        <f>E12/'Output-Calculation-sheet'!E11*'Output-Calculation-sheet'!E110</f>
        <v>2209639966.6076179</v>
      </c>
      <c r="F133" s="2">
        <f>F12/'Output-Calculation-sheet'!F11*'Output-Calculation-sheet'!F110</f>
        <v>1809813646.184752</v>
      </c>
      <c r="G133" s="2">
        <f>G12/'Output-Calculation-sheet'!G11*'Output-Calculation-sheet'!G110</f>
        <v>1708018162.1345017</v>
      </c>
      <c r="H133" s="2">
        <f>H12/'Output-Calculation-sheet'!H11*'Output-Calculation-sheet'!H110</f>
        <v>1863681255.0110471</v>
      </c>
      <c r="I133" s="2">
        <f>I12/'Output-Calculation-sheet'!I11*'Output-Calculation-sheet'!I110</f>
        <v>1465968733.0971565</v>
      </c>
      <c r="J133" s="2">
        <f>J12/'Output-Calculation-sheet'!J11*'Output-Calculation-sheet'!J110</f>
        <v>1066682895.2319835</v>
      </c>
      <c r="K133" s="2">
        <f>K12/'Output-Calculation-sheet'!K11*'Output-Calculation-sheet'!K110</f>
        <v>1176653218.4129095</v>
      </c>
      <c r="L133" s="2">
        <f>L12/'Output-Calculation-sheet'!L11*'Output-Calculation-sheet'!L110</f>
        <v>514716797.13604671</v>
      </c>
      <c r="M133" s="2">
        <f>M12/'Output-Calculation-sheet'!M11*'Output-Calculation-sheet'!M110</f>
        <v>1025124901.5238526</v>
      </c>
      <c r="N133" s="2">
        <f>N12/'Output-Calculation-sheet'!N11*'Output-Calculation-sheet'!N110</f>
        <v>931869484.49480426</v>
      </c>
      <c r="O133" s="2">
        <f>O12/'Output-Calculation-sheet'!O11*'Output-Calculation-sheet'!O110</f>
        <v>4113326908.4635901</v>
      </c>
      <c r="P133" s="2">
        <f>P12/'Output-Calculation-sheet'!P11*'Output-Calculation-sheet'!P110</f>
        <v>787972363.29104769</v>
      </c>
      <c r="Q133" s="2">
        <f>Q12/'Output-Calculation-sheet'!Q11*'Output-Calculation-sheet'!Q110</f>
        <v>1132473394.6634755</v>
      </c>
      <c r="R133" s="2">
        <f>R12/'Output-Calculation-sheet'!R11*'Output-Calculation-sheet'!R110</f>
        <v>592313511.30240047</v>
      </c>
      <c r="S133" s="2">
        <f>S12/'Output-Calculation-sheet'!S11*'Output-Calculation-sheet'!S110</f>
        <v>688902020.69711912</v>
      </c>
      <c r="T133" s="2">
        <f>T12/'Output-Calculation-sheet'!T11*'Output-Calculation-sheet'!T110</f>
        <v>164924873.03532892</v>
      </c>
      <c r="U133" s="2">
        <f>U12/'Output-Calculation-sheet'!U11*'Output-Calculation-sheet'!U110</f>
        <v>381696071.7169522</v>
      </c>
      <c r="V133" s="2">
        <f>V12/'Output-Calculation-sheet'!V11*'Output-Calculation-sheet'!V110</f>
        <v>57077454.918531202</v>
      </c>
      <c r="W133" s="2">
        <f>W12/'Output-Calculation-sheet'!W11*'Output-Calculation-sheet'!W110</f>
        <v>114341458.29841593</v>
      </c>
      <c r="X133" s="2">
        <f>X12/'Output-Calculation-sheet'!X11*'Output-Calculation-sheet'!X110</f>
        <v>159022101.0486877</v>
      </c>
      <c r="Y133" s="2">
        <f>Y12/'Output-Calculation-sheet'!Y11*'Output-Calculation-sheet'!Y110</f>
        <v>112287298.17783418</v>
      </c>
      <c r="AA133" s="2">
        <f t="shared" si="11"/>
        <v>53502.640638119148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1064.2096895669563</v>
      </c>
      <c r="C19" s="2">
        <f>C8/'Output-Calculation-sheet'!C7*'Output-Calculation-sheet'!C25</f>
        <v>12177.953224884364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4774.6252561059919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3316.9518251128497</v>
      </c>
      <c r="N19" s="2">
        <f>N8/'Output-Calculation-sheet'!N7*'Output-Calculation-sheet'!N25</f>
        <v>1135.8530562842179</v>
      </c>
      <c r="O19" s="2">
        <f>O8/'Output-Calculation-sheet'!O7*'Output-Calculation-sheet'!O25</f>
        <v>1872.1817242511308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405.29030125867206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371.02505675787791</v>
      </c>
      <c r="Y19" s="2">
        <f>Y8/'Output-Calculation-sheet'!Y7*'Output-Calculation-sheet'!Y25</f>
        <v>0</v>
      </c>
      <c r="AA19" s="2">
        <f t="shared" si="0"/>
        <v>25.118090134222061</v>
      </c>
    </row>
    <row r="20" spans="1:27" x14ac:dyDescent="0.25">
      <c r="A20" s="2">
        <v>2032</v>
      </c>
      <c r="B20" s="2">
        <f>B9/'Output-Calculation-sheet'!B8*'Output-Calculation-sheet'!B26</f>
        <v>6033.7681656120976</v>
      </c>
      <c r="C20" s="2">
        <f>C9/'Output-Calculation-sheet'!C8*'Output-Calculation-sheet'!C26</f>
        <v>14269.550375848487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6555.8072835879675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4561.3254304746197</v>
      </c>
      <c r="N20" s="2">
        <f>N9/'Output-Calculation-sheet'!N8*'Output-Calculation-sheet'!N26</f>
        <v>2058.4443532083801</v>
      </c>
      <c r="O20" s="2">
        <f>O9/'Output-Calculation-sheet'!O8*'Output-Calculation-sheet'!O26</f>
        <v>2260.8076015661886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744.27277608053896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510.30028647875912</v>
      </c>
      <c r="Y20" s="2">
        <f>Y9/'Output-Calculation-sheet'!Y8*'Output-Calculation-sheet'!Y26</f>
        <v>0</v>
      </c>
      <c r="AA20" s="2">
        <f t="shared" si="0"/>
        <v>36.994276272857029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17024.919207284434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8483.5097704676209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5891.8803966740979</v>
      </c>
      <c r="N21" s="2">
        <f>N10/'Output-Calculation-sheet'!N9*'Output-Calculation-sheet'!N27</f>
        <v>3222.7872202972876</v>
      </c>
      <c r="O21" s="2">
        <f>O10/'Output-Calculation-sheet'!O9*'Output-Calculation-sheet'!O27</f>
        <v>2613.5341955649656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1403.0626831396476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692.88482482590712</v>
      </c>
      <c r="Y21" s="2">
        <f>Y10/'Output-Calculation-sheet'!Y9*'Output-Calculation-sheet'!Y27</f>
        <v>0</v>
      </c>
      <c r="AA21" s="2">
        <f t="shared" si="0"/>
        <v>54.225821932056853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20798.300091235582</v>
      </c>
      <c r="D22" s="2">
        <f>D11/'Output-Calculation-sheet'!D10*'Output-Calculation-sheet'!D28</f>
        <v>0</v>
      </c>
      <c r="E22" s="2">
        <f>E11/'Output-Calculation-sheet'!E10*'Output-Calculation-sheet'!E28</f>
        <v>1536.7246647421159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10954.746083320781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900.96670528250024</v>
      </c>
      <c r="M22" s="2">
        <f>M11/'Output-Calculation-sheet'!M10*'Output-Calculation-sheet'!M28</f>
        <v>8189.7300620004426</v>
      </c>
      <c r="N22" s="2">
        <f>N11/'Output-Calculation-sheet'!N10*'Output-Calculation-sheet'!N28</f>
        <v>4713.2352701275795</v>
      </c>
      <c r="O22" s="2">
        <f>O11/'Output-Calculation-sheet'!O10*'Output-Calculation-sheet'!O28</f>
        <v>3131.5792854799806</v>
      </c>
      <c r="P22" s="2">
        <f>P11/'Output-Calculation-sheet'!P10*'Output-Calculation-sheet'!P28</f>
        <v>0</v>
      </c>
      <c r="Q22" s="2">
        <f>Q11/'Output-Calculation-sheet'!Q10*'Output-Calculation-sheet'!Q28</f>
        <v>1361.2904594097629</v>
      </c>
      <c r="R22" s="2">
        <f>R11/'Output-Calculation-sheet'!R10*'Output-Calculation-sheet'!R28</f>
        <v>0</v>
      </c>
      <c r="S22" s="2">
        <f>S11/'Output-Calculation-sheet'!S10*'Output-Calculation-sheet'!S28</f>
        <v>2390.2799447507837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788.7613964229223</v>
      </c>
      <c r="Y22" s="2">
        <f>Y11/'Output-Calculation-sheet'!Y10*'Output-Calculation-sheet'!Y28</f>
        <v>82.307256712268114</v>
      </c>
      <c r="AA22" s="2">
        <f t="shared" si="0"/>
        <v>84.435958097520071</v>
      </c>
    </row>
    <row r="23" spans="1:27" x14ac:dyDescent="0.25">
      <c r="A23" s="2">
        <v>2035</v>
      </c>
      <c r="B23" s="2">
        <f>B12/'Output-Calculation-sheet'!B11*'Output-Calculation-sheet'!B29</f>
        <v>31886.336873846445</v>
      </c>
      <c r="C23" s="2">
        <f>C12/'Output-Calculation-sheet'!C11*'Output-Calculation-sheet'!C29</f>
        <v>27091.888442451473</v>
      </c>
      <c r="D23" s="2">
        <f>D12/'Output-Calculation-sheet'!D11*'Output-Calculation-sheet'!D29</f>
        <v>0</v>
      </c>
      <c r="E23" s="2">
        <f>E12/'Output-Calculation-sheet'!E11*'Output-Calculation-sheet'!E29</f>
        <v>5363.7211268574592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11759.620996548882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1940.9840554719503</v>
      </c>
      <c r="M23" s="2">
        <f>M12/'Output-Calculation-sheet'!M11*'Output-Calculation-sheet'!M29</f>
        <v>8914.2308485580797</v>
      </c>
      <c r="N23" s="2">
        <f>N12/'Output-Calculation-sheet'!N11*'Output-Calculation-sheet'!N29</f>
        <v>5249.3395748712956</v>
      </c>
      <c r="O23" s="2">
        <f>O12/'Output-Calculation-sheet'!O11*'Output-Calculation-sheet'!O29</f>
        <v>4059.1296904241908</v>
      </c>
      <c r="P23" s="2">
        <f>P12/'Output-Calculation-sheet'!P11*'Output-Calculation-sheet'!P29</f>
        <v>619.48684993768643</v>
      </c>
      <c r="Q23" s="2">
        <f>Q12/'Output-Calculation-sheet'!Q11*'Output-Calculation-sheet'!Q29</f>
        <v>1656.6827386335463</v>
      </c>
      <c r="R23" s="2">
        <f>R12/'Output-Calculation-sheet'!R11*'Output-Calculation-sheet'!R29</f>
        <v>0</v>
      </c>
      <c r="S23" s="2">
        <f>S12/'Output-Calculation-sheet'!S11*'Output-Calculation-sheet'!S29</f>
        <v>2523.927739228362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835.63782237721432</v>
      </c>
      <c r="Y23" s="2">
        <f>Y12/'Output-Calculation-sheet'!Y11*'Output-Calculation-sheet'!Y29</f>
        <v>117.94249217990016</v>
      </c>
      <c r="AA23" s="2">
        <f t="shared" si="0"/>
        <v>102.0189292513865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18548.829184511887</v>
      </c>
      <c r="C30" s="2">
        <f>C8/'Output-Calculation-sheet'!C7*'Output-Calculation-sheet'!C16</f>
        <v>0</v>
      </c>
      <c r="D30" s="2">
        <f>D8/'Output-Calculation-sheet'!D7*'Output-Calculation-sheet'!D16</f>
        <v>3123.3776255481876</v>
      </c>
      <c r="E30" s="2">
        <f>E8/'Output-Calculation-sheet'!E7*'Output-Calculation-sheet'!E16</f>
        <v>3360.577860944325</v>
      </c>
      <c r="F30" s="2">
        <f>F8/'Output-Calculation-sheet'!F7*'Output-Calculation-sheet'!F16</f>
        <v>1695.4294133959036</v>
      </c>
      <c r="G30" s="2">
        <f>G8/'Output-Calculation-sheet'!G7*'Output-Calculation-sheet'!G16</f>
        <v>1110.3048968839785</v>
      </c>
      <c r="H30" s="2">
        <f>H8/'Output-Calculation-sheet'!H7*'Output-Calculation-sheet'!H16</f>
        <v>0</v>
      </c>
      <c r="I30" s="2">
        <f>I8/'Output-Calculation-sheet'!I7*'Output-Calculation-sheet'!I16</f>
        <v>1082.3810270567153</v>
      </c>
      <c r="J30" s="2">
        <f>J8/'Output-Calculation-sheet'!J7*'Output-Calculation-sheet'!J16</f>
        <v>963.52723842808598</v>
      </c>
      <c r="K30" s="2">
        <f>K8/'Output-Calculation-sheet'!K7*'Output-Calculation-sheet'!K16</f>
        <v>1286.4930317131648</v>
      </c>
      <c r="L30" s="2">
        <f>L8/'Output-Calculation-sheet'!L7*'Output-Calculation-sheet'!L16</f>
        <v>1086.6683561312077</v>
      </c>
      <c r="M30" s="2">
        <f>M8/'Output-Calculation-sheet'!M7*'Output-Calculation-sheet'!M16</f>
        <v>0</v>
      </c>
      <c r="N30" s="2">
        <f>N8/'Output-Calculation-sheet'!N7*'Output-Calculation-sheet'!N16</f>
        <v>1543.5208494096833</v>
      </c>
      <c r="O30" s="2">
        <f>O8/'Output-Calculation-sheet'!O7*'Output-Calculation-sheet'!O16</f>
        <v>0</v>
      </c>
      <c r="P30" s="2">
        <f>P8/'Output-Calculation-sheet'!P7*'Output-Calculation-sheet'!P16</f>
        <v>1387.2658924857997</v>
      </c>
      <c r="Q30" s="2">
        <f>Q8/'Output-Calculation-sheet'!Q7*'Output-Calculation-sheet'!Q16</f>
        <v>1525.5343235297855</v>
      </c>
      <c r="R30" s="2">
        <f>R8/'Output-Calculation-sheet'!R7*'Output-Calculation-sheet'!R16</f>
        <v>967.95815883783678</v>
      </c>
      <c r="S30" s="2">
        <f>S8/'Output-Calculation-sheet'!S7*'Output-Calculation-sheet'!S16</f>
        <v>973.48207088337927</v>
      </c>
      <c r="T30" s="2">
        <f>T8/'Output-Calculation-sheet'!T7*'Output-Calculation-sheet'!T16</f>
        <v>290.56712561956158</v>
      </c>
      <c r="U30" s="2">
        <f>U8/'Output-Calculation-sheet'!U7*'Output-Calculation-sheet'!U16</f>
        <v>290.04774425063232</v>
      </c>
      <c r="V30" s="2">
        <f>V8/'Output-Calculation-sheet'!V7*'Output-Calculation-sheet'!V16</f>
        <v>225.73864598584035</v>
      </c>
      <c r="W30" s="2">
        <f>W8/'Output-Calculation-sheet'!W7*'Output-Calculation-sheet'!W16</f>
        <v>136.92186884800742</v>
      </c>
      <c r="X30" s="2">
        <f>X8/'Output-Calculation-sheet'!X7*'Output-Calculation-sheet'!X16</f>
        <v>0</v>
      </c>
      <c r="Y30" s="2">
        <f>Y8/'Output-Calculation-sheet'!Y7*'Output-Calculation-sheet'!Y16</f>
        <v>115.88879569581397</v>
      </c>
      <c r="AA30" s="2">
        <f t="shared" si="1"/>
        <v>39.714514110159797</v>
      </c>
    </row>
    <row r="31" spans="1:27" x14ac:dyDescent="0.25">
      <c r="A31" s="2">
        <v>2032</v>
      </c>
      <c r="B31" s="2">
        <f>B9/'Output-Calculation-sheet'!B8*'Output-Calculation-sheet'!B17</f>
        <v>25548.967894730162</v>
      </c>
      <c r="C31" s="2">
        <f>C9/'Output-Calculation-sheet'!C8*'Output-Calculation-sheet'!C17</f>
        <v>0</v>
      </c>
      <c r="D31" s="2">
        <f>D9/'Output-Calculation-sheet'!D8*'Output-Calculation-sheet'!D17</f>
        <v>4284.897364684698</v>
      </c>
      <c r="E31" s="2">
        <f>E9/'Output-Calculation-sheet'!E8*'Output-Calculation-sheet'!E17</f>
        <v>5036.311414316845</v>
      </c>
      <c r="F31" s="2">
        <f>F9/'Output-Calculation-sheet'!F8*'Output-Calculation-sheet'!F17</f>
        <v>2325.9813088308842</v>
      </c>
      <c r="G31" s="2">
        <f>G9/'Output-Calculation-sheet'!G8*'Output-Calculation-sheet'!G17</f>
        <v>1523.2273842757681</v>
      </c>
      <c r="H31" s="2">
        <f>H9/'Output-Calculation-sheet'!H8*'Output-Calculation-sheet'!H17</f>
        <v>0</v>
      </c>
      <c r="I31" s="2">
        <f>I9/'Output-Calculation-sheet'!I8*'Output-Calculation-sheet'!I17</f>
        <v>1484.9255801245711</v>
      </c>
      <c r="J31" s="2">
        <f>J9/'Output-Calculation-sheet'!J8*'Output-Calculation-sheet'!J17</f>
        <v>1321.8699853663802</v>
      </c>
      <c r="K31" s="2">
        <f>K9/'Output-Calculation-sheet'!K8*'Output-Calculation-sheet'!K17</f>
        <v>1881.9918835822411</v>
      </c>
      <c r="L31" s="2">
        <f>L9/'Output-Calculation-sheet'!L8*'Output-Calculation-sheet'!L17</f>
        <v>1605.0082308874034</v>
      </c>
      <c r="M31" s="2">
        <f>M9/'Output-Calculation-sheet'!M8*'Output-Calculation-sheet'!M17</f>
        <v>0</v>
      </c>
      <c r="N31" s="2">
        <f>N9/'Output-Calculation-sheet'!N8*'Output-Calculation-sheet'!N17</f>
        <v>1744.8081007264834</v>
      </c>
      <c r="O31" s="2">
        <f>O9/'Output-Calculation-sheet'!O8*'Output-Calculation-sheet'!O17</f>
        <v>0</v>
      </c>
      <c r="P31" s="2">
        <f>P9/'Output-Calculation-sheet'!P8*'Output-Calculation-sheet'!P17</f>
        <v>2165.5776665273311</v>
      </c>
      <c r="Q31" s="2">
        <f>Q9/'Output-Calculation-sheet'!Q8*'Output-Calculation-sheet'!Q17</f>
        <v>2308.7047591881656</v>
      </c>
      <c r="R31" s="2">
        <f>R9/'Output-Calculation-sheet'!R8*'Output-Calculation-sheet'!R17</f>
        <v>1510.4766670928138</v>
      </c>
      <c r="S31" s="2">
        <f>S9/'Output-Calculation-sheet'!S8*'Output-Calculation-sheet'!S17</f>
        <v>1304.3214577055323</v>
      </c>
      <c r="T31" s="2">
        <f>T9/'Output-Calculation-sheet'!T8*'Output-Calculation-sheet'!T17</f>
        <v>409.87887926849606</v>
      </c>
      <c r="U31" s="2">
        <f>U9/'Output-Calculation-sheet'!U8*'Output-Calculation-sheet'!U17</f>
        <v>471.08150230631941</v>
      </c>
      <c r="V31" s="2">
        <f>V9/'Output-Calculation-sheet'!V8*'Output-Calculation-sheet'!V17</f>
        <v>337.41332779571241</v>
      </c>
      <c r="W31" s="2">
        <f>W9/'Output-Calculation-sheet'!W8*'Output-Calculation-sheet'!W17</f>
        <v>187.84596060752366</v>
      </c>
      <c r="X31" s="2">
        <f>X9/'Output-Calculation-sheet'!X8*'Output-Calculation-sheet'!X17</f>
        <v>0</v>
      </c>
      <c r="Y31" s="2">
        <f>Y9/'Output-Calculation-sheet'!Y8*'Output-Calculation-sheet'!Y17</f>
        <v>181.49989525423035</v>
      </c>
      <c r="AA31" s="2">
        <f t="shared" si="1"/>
        <v>55.634789263271564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1813.7701588416969</v>
      </c>
      <c r="O32" s="2">
        <f>O10/'Output-Calculation-sheet'!O9*'Output-Calculation-sheet'!O18</f>
        <v>0</v>
      </c>
      <c r="P32" s="2">
        <f>P10/'Output-Calculation-sheet'!P9*'Output-Calculation-sheet'!P18</f>
        <v>2919.338778991867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2095.9869144951667</v>
      </c>
      <c r="S32" s="2">
        <f>S10/'Output-Calculation-sheet'!S9*'Output-Calculation-sheet'!S18</f>
        <v>1371.8175171111025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676.61783066842008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71.49696825306286</v>
      </c>
    </row>
    <row r="33" spans="1:27" x14ac:dyDescent="0.25">
      <c r="A33" s="2">
        <v>2034</v>
      </c>
      <c r="B33" s="2">
        <f>B11/'Output-Calculation-sheet'!B10*'Output-Calculation-sheet'!B19</f>
        <v>29843.764506092524</v>
      </c>
      <c r="C33" s="2">
        <f>C11/'Output-Calculation-sheet'!C10*'Output-Calculation-sheet'!C19</f>
        <v>0</v>
      </c>
      <c r="D33" s="2">
        <f>D11/'Output-Calculation-sheet'!D10*'Output-Calculation-sheet'!D19</f>
        <v>8917.3275948166774</v>
      </c>
      <c r="E33" s="2">
        <f>E11/'Output-Calculation-sheet'!E10*'Output-Calculation-sheet'!E19</f>
        <v>11011.697777911893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3030.3677840958712</v>
      </c>
      <c r="H33" s="2">
        <f>H11/'Output-Calculation-sheet'!H10*'Output-Calculation-sheet'!H19</f>
        <v>0</v>
      </c>
      <c r="I33" s="2">
        <f>I11/'Output-Calculation-sheet'!I10*'Output-Calculation-sheet'!I19</f>
        <v>3311.1545580246739</v>
      </c>
      <c r="J33" s="2">
        <f>J11/'Output-Calculation-sheet'!J10*'Output-Calculation-sheet'!J19</f>
        <v>2796.2780145277161</v>
      </c>
      <c r="K33" s="2">
        <f>K11/'Output-Calculation-sheet'!K10*'Output-Calculation-sheet'!K19</f>
        <v>3879.6054215606996</v>
      </c>
      <c r="L33" s="2">
        <f>L11/'Output-Calculation-sheet'!L10*'Output-Calculation-sheet'!L19</f>
        <v>3158.3104367314331</v>
      </c>
      <c r="M33" s="2">
        <f>M11/'Output-Calculation-sheet'!M10*'Output-Calculation-sheet'!M19</f>
        <v>0</v>
      </c>
      <c r="N33" s="2">
        <f>N11/'Output-Calculation-sheet'!N10*'Output-Calculation-sheet'!N19</f>
        <v>1783.9912789892935</v>
      </c>
      <c r="O33" s="2">
        <f>O11/'Output-Calculation-sheet'!O10*'Output-Calculation-sheet'!O19</f>
        <v>0</v>
      </c>
      <c r="P33" s="2">
        <f>P11/'Output-Calculation-sheet'!P10*'Output-Calculation-sheet'!P19</f>
        <v>3928.2485884677917</v>
      </c>
      <c r="Q33" s="2">
        <f>Q11/'Output-Calculation-sheet'!Q10*'Output-Calculation-sheet'!Q19</f>
        <v>3199.9858529218372</v>
      </c>
      <c r="R33" s="2">
        <f>R11/'Output-Calculation-sheet'!R10*'Output-Calculation-sheet'!R19</f>
        <v>2802.5013836604126</v>
      </c>
      <c r="S33" s="2">
        <f>S11/'Output-Calculation-sheet'!S10*'Output-Calculation-sheet'!S19</f>
        <v>1309.9375910964818</v>
      </c>
      <c r="T33" s="2">
        <f>T11/'Output-Calculation-sheet'!T10*'Output-Calculation-sheet'!T19</f>
        <v>822.38809566302234</v>
      </c>
      <c r="U33" s="2">
        <f>U11/'Output-Calculation-sheet'!U10*'Output-Calculation-sheet'!U19</f>
        <v>881.1712019861227</v>
      </c>
      <c r="V33" s="2">
        <f>V11/'Output-Calculation-sheet'!V10*'Output-Calculation-sheet'!V19</f>
        <v>644.88292784656244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103.88206651927213</v>
      </c>
      <c r="Y33" s="2">
        <f>Y11/'Output-Calculation-sheet'!Y10*'Output-Calculation-sheet'!Y19</f>
        <v>361.92673664099993</v>
      </c>
      <c r="AA33" s="2">
        <f t="shared" si="1"/>
        <v>87.249105514701256</v>
      </c>
    </row>
    <row r="34" spans="1:27" x14ac:dyDescent="0.25">
      <c r="A34" s="2">
        <v>2035</v>
      </c>
      <c r="B34" s="2">
        <f>B12/'Output-Calculation-sheet'!B11*'Output-Calculation-sheet'!B20</f>
        <v>29166.212605996428</v>
      </c>
      <c r="C34" s="2">
        <f>C12/'Output-Calculation-sheet'!C11*'Output-Calculation-sheet'!C20</f>
        <v>0</v>
      </c>
      <c r="D34" s="2">
        <f>D12/'Output-Calculation-sheet'!D11*'Output-Calculation-sheet'!D20</f>
        <v>9387.3408872084037</v>
      </c>
      <c r="E34" s="2">
        <f>E12/'Output-Calculation-sheet'!E11*'Output-Calculation-sheet'!E20</f>
        <v>10430.649793890638</v>
      </c>
      <c r="F34" s="2">
        <f>F12/'Output-Calculation-sheet'!F11*'Output-Calculation-sheet'!F20</f>
        <v>5834.2724353059302</v>
      </c>
      <c r="G34" s="2">
        <f>G12/'Output-Calculation-sheet'!G11*'Output-Calculation-sheet'!G20</f>
        <v>3149.2684343535798</v>
      </c>
      <c r="H34" s="2">
        <f>H12/'Output-Calculation-sheet'!H11*'Output-Calculation-sheet'!H20</f>
        <v>0</v>
      </c>
      <c r="I34" s="2">
        <f>I12/'Output-Calculation-sheet'!I11*'Output-Calculation-sheet'!I20</f>
        <v>3501.2409842370093</v>
      </c>
      <c r="J34" s="2">
        <f>J12/'Output-Calculation-sheet'!J11*'Output-Calculation-sheet'!J20</f>
        <v>3245.3054185239616</v>
      </c>
      <c r="K34" s="2">
        <f>K12/'Output-Calculation-sheet'!K11*'Output-Calculation-sheet'!K20</f>
        <v>4315.929189878053</v>
      </c>
      <c r="L34" s="2">
        <f>L12/'Output-Calculation-sheet'!L11*'Output-Calculation-sheet'!L20</f>
        <v>3444.2924334867794</v>
      </c>
      <c r="M34" s="2">
        <f>M12/'Output-Calculation-sheet'!M11*'Output-Calculation-sheet'!M20</f>
        <v>0</v>
      </c>
      <c r="N34" s="2">
        <f>N12/'Output-Calculation-sheet'!N11*'Output-Calculation-sheet'!N20</f>
        <v>1847.0311106448282</v>
      </c>
      <c r="O34" s="2">
        <f>O12/'Output-Calculation-sheet'!O11*'Output-Calculation-sheet'!O20</f>
        <v>0</v>
      </c>
      <c r="P34" s="2">
        <f>P12/'Output-Calculation-sheet'!P11*'Output-Calculation-sheet'!P20</f>
        <v>3934.0289905501431</v>
      </c>
      <c r="Q34" s="2">
        <f>Q12/'Output-Calculation-sheet'!Q11*'Output-Calculation-sheet'!Q20</f>
        <v>3280.943493524991</v>
      </c>
      <c r="R34" s="2">
        <f>R12/'Output-Calculation-sheet'!R11*'Output-Calculation-sheet'!R20</f>
        <v>3305.0522346267603</v>
      </c>
      <c r="S34" s="2">
        <f>S12/'Output-Calculation-sheet'!S11*'Output-Calculation-sheet'!S20</f>
        <v>1262.5191709219987</v>
      </c>
      <c r="T34" s="2">
        <f>T12/'Output-Calculation-sheet'!T11*'Output-Calculation-sheet'!T20</f>
        <v>1002.4570881531358</v>
      </c>
      <c r="U34" s="2">
        <f>U12/'Output-Calculation-sheet'!U11*'Output-Calculation-sheet'!U20</f>
        <v>922.71339821298773</v>
      </c>
      <c r="V34" s="2">
        <f>V12/'Output-Calculation-sheet'!V11*'Output-Calculation-sheet'!V20</f>
        <v>908.47855647623885</v>
      </c>
      <c r="W34" s="2">
        <f>W12/'Output-Calculation-sheet'!W11*'Output-Calculation-sheet'!W20</f>
        <v>492.92120636899472</v>
      </c>
      <c r="X34" s="2">
        <f>X12/'Output-Calculation-sheet'!X11*'Output-Calculation-sheet'!X20</f>
        <v>104.06885209553259</v>
      </c>
      <c r="Y34" s="2">
        <f>Y12/'Output-Calculation-sheet'!Y11*'Output-Calculation-sheet'!Y20</f>
        <v>357.75863208600589</v>
      </c>
      <c r="AA34" s="2">
        <f t="shared" si="1"/>
        <v>89.892484916542401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1.0110822227831193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0.1964260754717907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1.2075082982549099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1.1096830312609844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0.21558155997268597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1.3252645912336705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1.1920015659004468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0.23157383669703566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1.4235754025974825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1.2636200997680918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0.38898162100412054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0.24548739112581591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0.23048389653014656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7.3538445846572473E-2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2.2314741329993262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1.3261633413655782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0.25763786041253933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11.115649927943871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12150.724958007662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6770.8915926984246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4621.4631146049296</v>
      </c>
      <c r="N52" s="2">
        <f>N8/'Output-Calculation-sheet'!N7*'Output-Calculation-sheet'!N43</f>
        <v>147.71241202064053</v>
      </c>
      <c r="O52" s="2">
        <f>O8/'Output-Calculation-sheet'!O7*'Output-Calculation-sheet'!O43</f>
        <v>568.60179741834145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595.60538248297064</v>
      </c>
      <c r="Y52" s="2">
        <f>Y8/'Output-Calculation-sheet'!Y7*'Output-Calculation-sheet'!Y43</f>
        <v>0</v>
      </c>
      <c r="AA52" s="2">
        <f t="shared" si="3"/>
        <v>24.854999257232969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16742.586085692044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13154.403835232226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8989.6616010258076</v>
      </c>
      <c r="N53" s="2">
        <f>N9/'Output-Calculation-sheet'!N8*'Output-Calculation-sheet'!N44</f>
        <v>3201.8173995050506</v>
      </c>
      <c r="O53" s="2">
        <f>O9/'Output-Calculation-sheet'!O8*'Output-Calculation-sheet'!O44</f>
        <v>1248.1037682629187</v>
      </c>
      <c r="P53" s="2">
        <f>P9/'Output-Calculation-sheet'!P8*'Output-Calculation-sheet'!P44</f>
        <v>149.76720810721793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987.39189285083444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1124.1638884429265</v>
      </c>
      <c r="Y53" s="2">
        <f>Y9/'Output-Calculation-sheet'!Y8*'Output-Calculation-sheet'!Y44</f>
        <v>0</v>
      </c>
      <c r="AA53" s="2">
        <f t="shared" si="3"/>
        <v>45.597895679119027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25408.45443103584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2254.7978836290313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505.06583158391675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108.39125827861037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39017.041677049849</v>
      </c>
      <c r="D55" s="2">
        <f>D11/'Output-Calculation-sheet'!D10*'Output-Calculation-sheet'!D46</f>
        <v>7756.9301238798198</v>
      </c>
      <c r="E55" s="2">
        <f>E11/'Output-Calculation-sheet'!E10*'Output-Calculation-sheet'!E46</f>
        <v>9676.2229435851496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25386.168949742601</v>
      </c>
      <c r="I55" s="2">
        <f>I11/'Output-Calculation-sheet'!I10*'Output-Calculation-sheet'!I46</f>
        <v>1869.1516109671707</v>
      </c>
      <c r="J55" s="2">
        <f>J11/'Output-Calculation-sheet'!J10*'Output-Calculation-sheet'!J46</f>
        <v>1379.5464830715528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17937.742836083133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3919.1846653419734</v>
      </c>
      <c r="P55" s="2">
        <f>P11/'Output-Calculation-sheet'!P10*'Output-Calculation-sheet'!P46</f>
        <v>5031.0233183828013</v>
      </c>
      <c r="Q55" s="2">
        <f>Q11/'Output-Calculation-sheet'!Q10*'Output-Calculation-sheet'!Q46</f>
        <v>3922.269818144599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6719.7315561806417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1199.8378006546034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1805.547174204348</v>
      </c>
      <c r="Y55" s="2">
        <f>Y11/'Output-Calculation-sheet'!Y10*'Output-Calculation-sheet'!Y46</f>
        <v>474.74439910742313</v>
      </c>
      <c r="AA55" s="2">
        <f t="shared" si="3"/>
        <v>239.27027093702216</v>
      </c>
    </row>
    <row r="56" spans="1:27" x14ac:dyDescent="0.25">
      <c r="A56" s="2">
        <v>2035</v>
      </c>
      <c r="B56" s="2">
        <f>B12/'Output-Calculation-sheet'!B11*'Output-Calculation-sheet'!B47</f>
        <v>90932.24935775419</v>
      </c>
      <c r="C56" s="2">
        <f>C12/'Output-Calculation-sheet'!C11*'Output-Calculation-sheet'!C47</f>
        <v>67820.458597906327</v>
      </c>
      <c r="D56" s="2">
        <f>D12/'Output-Calculation-sheet'!D11*'Output-Calculation-sheet'!D47</f>
        <v>9274.3993133480744</v>
      </c>
      <c r="E56" s="2">
        <f>E12/'Output-Calculation-sheet'!E11*'Output-Calculation-sheet'!E47</f>
        <v>23340.466625253852</v>
      </c>
      <c r="F56" s="2">
        <f>F12/'Output-Calculation-sheet'!F11*'Output-Calculation-sheet'!F47</f>
        <v>1287.6800847758761</v>
      </c>
      <c r="G56" s="2">
        <f>G12/'Output-Calculation-sheet'!G11*'Output-Calculation-sheet'!G47</f>
        <v>3437.8238419945405</v>
      </c>
      <c r="H56" s="2">
        <f>H12/'Output-Calculation-sheet'!H11*'Output-Calculation-sheet'!H47</f>
        <v>26893.33494242563</v>
      </c>
      <c r="I56" s="2">
        <f>I12/'Output-Calculation-sheet'!I11*'Output-Calculation-sheet'!I47</f>
        <v>2194.4058208028355</v>
      </c>
      <c r="J56" s="2">
        <f>J12/'Output-Calculation-sheet'!J11*'Output-Calculation-sheet'!J47</f>
        <v>3586.6636649474967</v>
      </c>
      <c r="K56" s="2">
        <f>K12/'Output-Calculation-sheet'!K11*'Output-Calculation-sheet'!K47</f>
        <v>4934.3951699167583</v>
      </c>
      <c r="L56" s="2">
        <f>L12/'Output-Calculation-sheet'!L11*'Output-Calculation-sheet'!L47</f>
        <v>5300.7503087896475</v>
      </c>
      <c r="M56" s="2">
        <f>M12/'Output-Calculation-sheet'!M11*'Output-Calculation-sheet'!M47</f>
        <v>18899.49901689222</v>
      </c>
      <c r="N56" s="2">
        <f>N12/'Output-Calculation-sheet'!N11*'Output-Calculation-sheet'!N47</f>
        <v>15112.006674477467</v>
      </c>
      <c r="O56" s="2">
        <f>O12/'Output-Calculation-sheet'!O11*'Output-Calculation-sheet'!O47</f>
        <v>7480.5378768903956</v>
      </c>
      <c r="P56" s="2">
        <f>P12/'Output-Calculation-sheet'!P11*'Output-Calculation-sheet'!P47</f>
        <v>6555.2980256326391</v>
      </c>
      <c r="Q56" s="2">
        <f>Q12/'Output-Calculation-sheet'!Q11*'Output-Calculation-sheet'!Q47</f>
        <v>4774.179543175941</v>
      </c>
      <c r="R56" s="2">
        <f>R12/'Output-Calculation-sheet'!R11*'Output-Calculation-sheet'!R47</f>
        <v>5555.1340180142661</v>
      </c>
      <c r="S56" s="2">
        <f>S12/'Output-Calculation-sheet'!S11*'Output-Calculation-sheet'!S47</f>
        <v>7038.4440765914187</v>
      </c>
      <c r="T56" s="2">
        <f>T12/'Output-Calculation-sheet'!T11*'Output-Calculation-sheet'!T47</f>
        <v>1821.6584501656735</v>
      </c>
      <c r="U56" s="2">
        <f>U12/'Output-Calculation-sheet'!U11*'Output-Calculation-sheet'!U47</f>
        <v>1272.7641632356647</v>
      </c>
      <c r="V56" s="2">
        <f>V12/'Output-Calculation-sheet'!V11*'Output-Calculation-sheet'!V47</f>
        <v>1252.8722593737637</v>
      </c>
      <c r="W56" s="2">
        <f>W12/'Output-Calculation-sheet'!W11*'Output-Calculation-sheet'!W47</f>
        <v>447.51842770377539</v>
      </c>
      <c r="X56" s="2">
        <f>X12/'Output-Calculation-sheet'!X11*'Output-Calculation-sheet'!X47</f>
        <v>1908.4290391814336</v>
      </c>
      <c r="Y56" s="2">
        <f>Y12/'Output-Calculation-sheet'!Y11*'Output-Calculation-sheet'!Y47</f>
        <v>581.71711136438046</v>
      </c>
      <c r="AA56" s="2">
        <f t="shared" si="3"/>
        <v>311.70268641061421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7.2239171731386547</v>
      </c>
      <c r="C63" s="2">
        <f>C8*'Output-Calculation-sheet'!C52/10^9</f>
        <v>4.5282198501034605</v>
      </c>
      <c r="D63" s="2">
        <f>D8*'Output-Calculation-sheet'!D52/10^9</f>
        <v>2.4772192412887084</v>
      </c>
      <c r="E63" s="2">
        <f>E8*'Output-Calculation-sheet'!E52/10^9</f>
        <v>2.4630327902595628</v>
      </c>
      <c r="F63" s="2">
        <f>F8*'Output-Calculation-sheet'!F52/10^9</f>
        <v>1.0430950135666324</v>
      </c>
      <c r="G63" s="2">
        <f>G8*'Output-Calculation-sheet'!G52/10^9</f>
        <v>0.74993728177182717</v>
      </c>
      <c r="H63" s="2">
        <f>H8*'Output-Calculation-sheet'!H52/10^9</f>
        <v>1.3099854648738705</v>
      </c>
      <c r="I63" s="2">
        <f>I8*'Output-Calculation-sheet'!I52/10^9</f>
        <v>0.69761587450120766</v>
      </c>
      <c r="J63" s="2">
        <f>J8*'Output-Calculation-sheet'!J52/10^9</f>
        <v>0.95996766665469979</v>
      </c>
      <c r="K63" s="2">
        <f>K8*'Output-Calculation-sheet'!K52/10^9</f>
        <v>0.84341479304227607</v>
      </c>
      <c r="L63" s="2">
        <f>L8*'Output-Calculation-sheet'!L52/10^9</f>
        <v>1.1344318786937946</v>
      </c>
      <c r="M63" s="2">
        <f>M8*'Output-Calculation-sheet'!M52/10^9</f>
        <v>1.0632974946052407</v>
      </c>
      <c r="N63" s="2">
        <f>N8*'Output-Calculation-sheet'!N52/10^9</f>
        <v>0.88740447603503914</v>
      </c>
      <c r="O63" s="2">
        <f>O8*'Output-Calculation-sheet'!O52/10^9</f>
        <v>0.92974733272522636</v>
      </c>
      <c r="P63" s="2">
        <f>P8*'Output-Calculation-sheet'!P52/10^9</f>
        <v>0.58277794165549868</v>
      </c>
      <c r="Q63" s="2">
        <f>Q8*'Output-Calculation-sheet'!Q52/10^9</f>
        <v>0.65953025230346785</v>
      </c>
      <c r="R63" s="2">
        <f>R8*'Output-Calculation-sheet'!R52/10^9</f>
        <v>0.59212791225146999</v>
      </c>
      <c r="S63" s="2">
        <f>S8*'Output-Calculation-sheet'!S52/10^9</f>
        <v>0.43879037520876324</v>
      </c>
      <c r="T63" s="2">
        <f>T8*'Output-Calculation-sheet'!T52/10^9</f>
        <v>0.2251194925848011</v>
      </c>
      <c r="U63" s="2">
        <f>U8*'Output-Calculation-sheet'!U52/10^9</f>
        <v>0.1546095644134447</v>
      </c>
      <c r="V63" s="2">
        <f>V8*'Output-Calculation-sheet'!V52/10^9</f>
        <v>0.27439564973898473</v>
      </c>
      <c r="W63" s="2">
        <f>W8*'Output-Calculation-sheet'!W52/10^9</f>
        <v>9.9318561543957767E-2</v>
      </c>
      <c r="X63" s="2">
        <f>X8*'Output-Calculation-sheet'!X52/10^9</f>
        <v>0.11432157547978811</v>
      </c>
      <c r="Y63" s="2">
        <f>Y8*'Output-Calculation-sheet'!Y52/10^9</f>
        <v>6.4802536012847745E-2</v>
      </c>
      <c r="AA63" s="2">
        <f t="shared" si="4"/>
        <v>29.517080192453232</v>
      </c>
    </row>
    <row r="64" spans="1:27" x14ac:dyDescent="0.25">
      <c r="A64" s="2">
        <v>2032</v>
      </c>
      <c r="B64" s="2">
        <f>B9*'Output-Calculation-sheet'!B53/10^9</f>
        <v>7.5652129345800621</v>
      </c>
      <c r="C64" s="2">
        <f>C9*'Output-Calculation-sheet'!C53/10^9</f>
        <v>5.0476004814417079</v>
      </c>
      <c r="D64" s="2">
        <f>D9*'Output-Calculation-sheet'!D53/10^9</f>
        <v>2.2388474105573244</v>
      </c>
      <c r="E64" s="2">
        <f>E9*'Output-Calculation-sheet'!E53/10^9</f>
        <v>2.2926889032907702</v>
      </c>
      <c r="F64" s="2">
        <f>F9*'Output-Calculation-sheet'!F53/10^9</f>
        <v>0.96704261493775701</v>
      </c>
      <c r="G64" s="2">
        <f>G9*'Output-Calculation-sheet'!G53/10^9</f>
        <v>0.6883106192357763</v>
      </c>
      <c r="H64" s="2">
        <f>H9*'Output-Calculation-sheet'!H53/10^9</f>
        <v>1.4142937234345785</v>
      </c>
      <c r="I64" s="2">
        <f>I9*'Output-Calculation-sheet'!I53/10^9</f>
        <v>0.64345804100732784</v>
      </c>
      <c r="J64" s="2">
        <f>J9*'Output-Calculation-sheet'!J53/10^9</f>
        <v>0.85180853720247429</v>
      </c>
      <c r="K64" s="2">
        <f>K9*'Output-Calculation-sheet'!K53/10^9</f>
        <v>0.79036040096233107</v>
      </c>
      <c r="L64" s="2">
        <f>L9*'Output-Calculation-sheet'!L53/10^9</f>
        <v>1.0167921087214811</v>
      </c>
      <c r="M64" s="2">
        <f>M9*'Output-Calculation-sheet'!M53/10^9</f>
        <v>1.108453303930736</v>
      </c>
      <c r="N64" s="2">
        <f>N9*'Output-Calculation-sheet'!N53/10^9</f>
        <v>0.9331326306044132</v>
      </c>
      <c r="O64" s="2">
        <f>O9*'Output-Calculation-sheet'!O53/10^9</f>
        <v>1.0274084233719885</v>
      </c>
      <c r="P64" s="2">
        <f>P9*'Output-Calculation-sheet'!P53/10^9</f>
        <v>0.60258596509169415</v>
      </c>
      <c r="Q64" s="2">
        <f>Q9*'Output-Calculation-sheet'!Q53/10^9</f>
        <v>0.6659586151368041</v>
      </c>
      <c r="R64" s="2">
        <f>R9*'Output-Calculation-sheet'!R53/10^9</f>
        <v>0.5708830225507675</v>
      </c>
      <c r="S64" s="2">
        <f>S9*'Output-Calculation-sheet'!S53/10^9</f>
        <v>0.47167696510393958</v>
      </c>
      <c r="T64" s="2">
        <f>T9*'Output-Calculation-sheet'!T53/10^9</f>
        <v>0.20521758730712944</v>
      </c>
      <c r="U64" s="2">
        <f>U9*'Output-Calculation-sheet'!U53/10^9</f>
        <v>0.15446292510500098</v>
      </c>
      <c r="V64" s="2">
        <f>V9*'Output-Calculation-sheet'!V53/10^9</f>
        <v>0.24357948349722294</v>
      </c>
      <c r="W64" s="2">
        <f>W9*'Output-Calculation-sheet'!W53/10^9</f>
        <v>9.0509745728252919E-2</v>
      </c>
      <c r="X64" s="2">
        <f>X9*'Output-Calculation-sheet'!X53/10^9</f>
        <v>0.12285513018894745</v>
      </c>
      <c r="Y64" s="2">
        <f>Y9*'Output-Calculation-sheet'!Y53/10^9</f>
        <v>6.3414071165226377E-2</v>
      </c>
      <c r="AA64" s="2">
        <f t="shared" si="4"/>
        <v>29.776553644153712</v>
      </c>
    </row>
    <row r="65" spans="1:27" x14ac:dyDescent="0.25">
      <c r="A65" s="2">
        <v>2033</v>
      </c>
      <c r="B65" s="2">
        <f>B10*'Output-Calculation-sheet'!B54/10^9</f>
        <v>8.0839959050624941</v>
      </c>
      <c r="C65" s="2">
        <f>C10*'Output-Calculation-sheet'!C54/10^9</f>
        <v>5.4654959252655306</v>
      </c>
      <c r="D65" s="2">
        <f>D10*'Output-Calculation-sheet'!D54/10^9</f>
        <v>1.9098419902703123</v>
      </c>
      <c r="E65" s="2">
        <f>E10*'Output-Calculation-sheet'!E54/10^9</f>
        <v>2.1504602410216025</v>
      </c>
      <c r="F65" s="2">
        <f>F10*'Output-Calculation-sheet'!F54/10^9</f>
        <v>0.87305005699135074</v>
      </c>
      <c r="G65" s="2">
        <f>G10*'Output-Calculation-sheet'!G54/10^9</f>
        <v>0.59942783561365665</v>
      </c>
      <c r="H65" s="2">
        <f>H10*'Output-Calculation-sheet'!H54/10^9</f>
        <v>1.4813751779795536</v>
      </c>
      <c r="I65" s="2">
        <f>I10*'Output-Calculation-sheet'!I54/10^9</f>
        <v>0.58367900601518874</v>
      </c>
      <c r="J65" s="2">
        <f>J10*'Output-Calculation-sheet'!J54/10^9</f>
        <v>0.69762659453080611</v>
      </c>
      <c r="K65" s="2">
        <f>K10*'Output-Calculation-sheet'!K54/10^9</f>
        <v>0.74427516481861522</v>
      </c>
      <c r="L65" s="2">
        <f>L10*'Output-Calculation-sheet'!L54/10^9</f>
        <v>0.87914549992308633</v>
      </c>
      <c r="M65" s="2">
        <f>M10*'Output-Calculation-sheet'!M54/10^9</f>
        <v>1.1185037944199092</v>
      </c>
      <c r="N65" s="2">
        <f>N10*'Output-Calculation-sheet'!N54/10^9</f>
        <v>0.96590477526523078</v>
      </c>
      <c r="O65" s="2">
        <f>O10*'Output-Calculation-sheet'!O54/10^9</f>
        <v>1.1055425565342496</v>
      </c>
      <c r="P65" s="2">
        <f>P10*'Output-Calculation-sheet'!P54/10^9</f>
        <v>0.62974123292946715</v>
      </c>
      <c r="Q65" s="2">
        <f>Q10*'Output-Calculation-sheet'!Q54/10^9</f>
        <v>0.68718334150530092</v>
      </c>
      <c r="R65" s="2">
        <f>R10*'Output-Calculation-sheet'!R54/10^9</f>
        <v>0.55441893729454339</v>
      </c>
      <c r="S65" s="2">
        <f>S10*'Output-Calculation-sheet'!S54/10^9</f>
        <v>0.50360059178350669</v>
      </c>
      <c r="T65" s="2">
        <f>T10*'Output-Calculation-sheet'!T54/10^9</f>
        <v>0.18536669238784156</v>
      </c>
      <c r="U65" s="2">
        <f>U10*'Output-Calculation-sheet'!U54/10^9</f>
        <v>0.1600621723723949</v>
      </c>
      <c r="V65" s="2">
        <f>V10*'Output-Calculation-sheet'!V54/10^9</f>
        <v>0.20513622535955373</v>
      </c>
      <c r="W65" s="2">
        <f>W10*'Output-Calculation-sheet'!W54/10^9</f>
        <v>7.8103076512897815E-2</v>
      </c>
      <c r="X65" s="2">
        <f>X10*'Output-Calculation-sheet'!X54/10^9</f>
        <v>0.12864408862346174</v>
      </c>
      <c r="Y65" s="2">
        <f>Y10*'Output-Calculation-sheet'!Y54/10^9</f>
        <v>6.4283018366135328E-2</v>
      </c>
      <c r="AA65" s="2">
        <f t="shared" si="4"/>
        <v>29.854863900846684</v>
      </c>
    </row>
    <row r="66" spans="1:27" x14ac:dyDescent="0.25">
      <c r="A66" s="2">
        <v>2034</v>
      </c>
      <c r="B66" s="2">
        <f>B11*'Output-Calculation-sheet'!B55/10^9</f>
        <v>8.790843167117286</v>
      </c>
      <c r="C66" s="2">
        <f>C11*'Output-Calculation-sheet'!C55/10^9</f>
        <v>5.798524512360741</v>
      </c>
      <c r="D66" s="2">
        <f>D11*'Output-Calculation-sheet'!D55/10^9</f>
        <v>1.8387749644963605</v>
      </c>
      <c r="E66" s="2">
        <f>E11*'Output-Calculation-sheet'!E55/10^9</f>
        <v>2.2266343630790248</v>
      </c>
      <c r="F66" s="2">
        <f>F11*'Output-Calculation-sheet'!F55/10^9</f>
        <v>0.85572386546303492</v>
      </c>
      <c r="G66" s="2">
        <f>G11*'Output-Calculation-sheet'!G55/10^9</f>
        <v>0.61165552599621653</v>
      </c>
      <c r="H66" s="2">
        <f>H11*'Output-Calculation-sheet'!H55/10^9</f>
        <v>1.5637323629481745</v>
      </c>
      <c r="I66" s="2">
        <f>I11*'Output-Calculation-sheet'!I55/10^9</f>
        <v>0.59813016214500325</v>
      </c>
      <c r="J66" s="2">
        <f>J11*'Output-Calculation-sheet'!J55/10^9</f>
        <v>0.61508434114791655</v>
      </c>
      <c r="K66" s="2">
        <f>K11*'Output-Calculation-sheet'!K55/10^9</f>
        <v>0.73567521885060161</v>
      </c>
      <c r="L66" s="2">
        <f>L11*'Output-Calculation-sheet'!L55/10^9</f>
        <v>0.77908561922935682</v>
      </c>
      <c r="M66" s="2">
        <f>M11*'Output-Calculation-sheet'!M55/10^9</f>
        <v>1.1328892035396132</v>
      </c>
      <c r="N66" s="2">
        <f>N11*'Output-Calculation-sheet'!N55/10^9</f>
        <v>0.98984305384219995</v>
      </c>
      <c r="O66" s="2">
        <f>O11*'Output-Calculation-sheet'!O55/10^9</f>
        <v>1.1681390583423248</v>
      </c>
      <c r="P66" s="2">
        <f>P11*'Output-Calculation-sheet'!P55/10^9</f>
        <v>0.68042518308664357</v>
      </c>
      <c r="Q66" s="2">
        <f>Q11*'Output-Calculation-sheet'!Q55/10^9</f>
        <v>0.74107553811037918</v>
      </c>
      <c r="R66" s="2">
        <f>R11*'Output-Calculation-sheet'!R55/10^9</f>
        <v>0.55108895908840938</v>
      </c>
      <c r="S66" s="2">
        <f>S11*'Output-Calculation-sheet'!S55/10^9</f>
        <v>0.54225816111568892</v>
      </c>
      <c r="T66" s="2">
        <f>T11*'Output-Calculation-sheet'!T55/10^9</f>
        <v>0.17274233549236223</v>
      </c>
      <c r="U66" s="2">
        <f>U11*'Output-Calculation-sheet'!U55/10^9</f>
        <v>0.17565617348650678</v>
      </c>
      <c r="V66" s="2">
        <f>V11*'Output-Calculation-sheet'!V55/10^9</f>
        <v>0.16387638822123646</v>
      </c>
      <c r="W66" s="2">
        <f>W11*'Output-Calculation-sheet'!W55/10^9</f>
        <v>7.4199539506602463E-2</v>
      </c>
      <c r="X66" s="2">
        <f>X11*'Output-Calculation-sheet'!X55/10^9</f>
        <v>0.13955609833997282</v>
      </c>
      <c r="Y66" s="2">
        <f>Y11*'Output-Calculation-sheet'!Y55/10^9</f>
        <v>7.2812041156633547E-2</v>
      </c>
      <c r="AA66" s="2">
        <f t="shared" si="4"/>
        <v>31.01842583616229</v>
      </c>
    </row>
    <row r="67" spans="1:27" x14ac:dyDescent="0.25">
      <c r="A67" s="2">
        <v>2035</v>
      </c>
      <c r="B67" s="2">
        <f>B12*'Output-Calculation-sheet'!B56/10^9</f>
        <v>9.5853802643620298</v>
      </c>
      <c r="C67" s="2">
        <f>C12*'Output-Calculation-sheet'!C56/10^9</f>
        <v>6.0452616442629408</v>
      </c>
      <c r="D67" s="2">
        <f>D12*'Output-Calculation-sheet'!D56/10^9</f>
        <v>1.9962902229615451</v>
      </c>
      <c r="E67" s="2">
        <f>E12*'Output-Calculation-sheet'!E56/10^9</f>
        <v>2.7087025128008531</v>
      </c>
      <c r="F67" s="2">
        <f>F12*'Output-Calculation-sheet'!F56/10^9</f>
        <v>0.98927286033777595</v>
      </c>
      <c r="G67" s="2">
        <f>G12*'Output-Calculation-sheet'!G56/10^9</f>
        <v>0.69301436891578738</v>
      </c>
      <c r="H67" s="2">
        <f>H12*'Output-Calculation-sheet'!H56/10^9</f>
        <v>1.6725786679954626</v>
      </c>
      <c r="I67" s="2">
        <f>I12*'Output-Calculation-sheet'!I56/10^9</f>
        <v>0.67315695195902892</v>
      </c>
      <c r="J67" s="2">
        <f>J12*'Output-Calculation-sheet'!J56/10^9</f>
        <v>0.66686165288076837</v>
      </c>
      <c r="K67" s="2">
        <f>K12*'Output-Calculation-sheet'!K56/10^9</f>
        <v>0.80314547274048154</v>
      </c>
      <c r="L67" s="2">
        <f>L12*'Output-Calculation-sheet'!L56/10^9</f>
        <v>0.80681728022942401</v>
      </c>
      <c r="M67" s="2">
        <f>M12*'Output-Calculation-sheet'!M56/10^9</f>
        <v>1.223789882544059</v>
      </c>
      <c r="N67" s="2">
        <f>N12*'Output-Calculation-sheet'!N56/10^9</f>
        <v>1.0508576961654175</v>
      </c>
      <c r="O67" s="2">
        <f>O12*'Output-Calculation-sheet'!O56/10^9</f>
        <v>1.2155994711529792</v>
      </c>
      <c r="P67" s="2">
        <f>P12*'Output-Calculation-sheet'!P56/10^9</f>
        <v>0.77785972055537977</v>
      </c>
      <c r="Q67" s="2">
        <f>Q12*'Output-Calculation-sheet'!Q56/10^9</f>
        <v>0.79992580641173305</v>
      </c>
      <c r="R67" s="2">
        <f>R12*'Output-Calculation-sheet'!R56/10^9</f>
        <v>0.60900809443976389</v>
      </c>
      <c r="S67" s="2">
        <f>S12*'Output-Calculation-sheet'!S56/10^9</f>
        <v>0.58034915819361843</v>
      </c>
      <c r="T67" s="2">
        <f>T12*'Output-Calculation-sheet'!T56/10^9</f>
        <v>0.18468467332566949</v>
      </c>
      <c r="U67" s="2">
        <f>U12*'Output-Calculation-sheet'!U56/10^9</f>
        <v>0.19285929377864289</v>
      </c>
      <c r="V67" s="2">
        <f>V12*'Output-Calculation-sheet'!V56/10^9</f>
        <v>0.14814942836970801</v>
      </c>
      <c r="W67" s="2">
        <f>W12*'Output-Calculation-sheet'!W56/10^9</f>
        <v>8.9384344228116169E-2</v>
      </c>
      <c r="X67" s="2">
        <f>X12*'Output-Calculation-sheet'!X56/10^9</f>
        <v>0.15197973560912545</v>
      </c>
      <c r="Y67" s="2">
        <f>Y12*'Output-Calculation-sheet'!Y56/10^9</f>
        <v>8.6350677399934558E-2</v>
      </c>
      <c r="AA67" s="2">
        <f t="shared" si="4"/>
        <v>33.751279881620249</v>
      </c>
    </row>
    <row r="68" spans="1:27" x14ac:dyDescent="0.25">
      <c r="B68" s="2">
        <f>SUM(B60:B67)</f>
        <v>58.883406643490261</v>
      </c>
      <c r="C68" s="2">
        <f t="shared" ref="C68:Y68" si="5">SUM(C60:C67)</f>
        <v>36.198487842187774</v>
      </c>
      <c r="D68" s="2">
        <f t="shared" si="5"/>
        <v>17.388035210093953</v>
      </c>
      <c r="E68" s="2">
        <f t="shared" si="5"/>
        <v>18.670369777533608</v>
      </c>
      <c r="F68" s="2">
        <f t="shared" si="5"/>
        <v>7.5577256129711889</v>
      </c>
      <c r="G68" s="2">
        <f t="shared" si="5"/>
        <v>5.4015896148242373</v>
      </c>
      <c r="H68" s="2">
        <f t="shared" si="5"/>
        <v>10.346614433657606</v>
      </c>
      <c r="I68" s="2">
        <f t="shared" si="5"/>
        <v>5.1002429810561249</v>
      </c>
      <c r="J68" s="2">
        <f t="shared" si="5"/>
        <v>6.5323570736616041</v>
      </c>
      <c r="K68" s="2">
        <f t="shared" si="5"/>
        <v>6.224119535591619</v>
      </c>
      <c r="L68" s="2">
        <f t="shared" si="5"/>
        <v>7.867357768866567</v>
      </c>
      <c r="M68" s="2">
        <f t="shared" si="5"/>
        <v>8.1386390495384635</v>
      </c>
      <c r="N68" s="2">
        <f t="shared" si="5"/>
        <v>6.990109555475982</v>
      </c>
      <c r="O68" s="2">
        <f t="shared" si="5"/>
        <v>7.3890364478233241</v>
      </c>
      <c r="P68" s="2">
        <f t="shared" si="5"/>
        <v>4.7376020338615179</v>
      </c>
      <c r="Q68" s="2">
        <f t="shared" si="5"/>
        <v>5.2251451128552837</v>
      </c>
      <c r="R68" s="2">
        <f t="shared" si="5"/>
        <v>4.4812007143753334</v>
      </c>
      <c r="S68" s="2">
        <f t="shared" si="5"/>
        <v>3.5844521640961542</v>
      </c>
      <c r="T68" s="2">
        <f t="shared" si="5"/>
        <v>1.6010891979995439</v>
      </c>
      <c r="U68" s="2">
        <f t="shared" si="5"/>
        <v>1.2481582859440692</v>
      </c>
      <c r="V68" s="2">
        <f t="shared" si="5"/>
        <v>1.8300222296295801</v>
      </c>
      <c r="W68" s="2">
        <f t="shared" si="5"/>
        <v>0.70655547533574392</v>
      </c>
      <c r="X68" s="2">
        <f t="shared" si="5"/>
        <v>0.91093184111214487</v>
      </c>
      <c r="Y68" s="2">
        <f t="shared" si="5"/>
        <v>0.52500819776473728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2785.4428323444426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1457.5163212750217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977.74003170574622</v>
      </c>
      <c r="N74" s="2">
        <f>N8/'Output-Calculation-sheet'!N7*'Output-Calculation-sheet'!N61</f>
        <v>40.602449254173564</v>
      </c>
      <c r="O74" s="2">
        <f>O8/'Output-Calculation-sheet'!O7*'Output-Calculation-sheet'!O61</f>
        <v>157.98514789481132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122.14856544769268</v>
      </c>
      <c r="Y74" s="2">
        <f>Y8/'Output-Calculation-sheet'!Y7*'Output-Calculation-sheet'!Y61</f>
        <v>0</v>
      </c>
      <c r="AA74" s="2">
        <f t="shared" si="6"/>
        <v>5.5414353479218876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3694.9524722487467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2504.4906181238721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1699.0666610837882</v>
      </c>
      <c r="N75" s="2">
        <f>N9/'Output-Calculation-sheet'!N8*'Output-Calculation-sheet'!N62</f>
        <v>656.57521356939014</v>
      </c>
      <c r="O75" s="2">
        <f>O9/'Output-Calculation-sheet'!O8*'Output-Calculation-sheet'!O62</f>
        <v>320.9328644119696</v>
      </c>
      <c r="P75" s="2">
        <f>P9/'Output-Calculation-sheet'!P8*'Output-Calculation-sheet'!P62</f>
        <v>43.95667557946846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217.17975092634356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205.20627857385836</v>
      </c>
      <c r="Y75" s="2">
        <f>Y9/'Output-Calculation-sheet'!Y8*'Output-Calculation-sheet'!Y62</f>
        <v>0</v>
      </c>
      <c r="AA75" s="2">
        <f t="shared" si="6"/>
        <v>9.3423605345174341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5347.9045692582677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3694.4581508848742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2515.9476339301013</v>
      </c>
      <c r="N76" s="2">
        <f>N10/'Output-Calculation-sheet'!N9*'Output-Calculation-sheet'!N63</f>
        <v>1439.6227866854967</v>
      </c>
      <c r="O76" s="2">
        <f>O10/'Output-Calculation-sheet'!O9*'Output-Calculation-sheet'!O63</f>
        <v>531.72603064750922</v>
      </c>
      <c r="P76" s="2">
        <f>P10/'Output-Calculation-sheet'!P9*'Output-Calculation-sheet'!P63</f>
        <v>493.51105231237239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380.02765812083908</v>
      </c>
      <c r="S76" s="2">
        <f>S10/'Output-Calculation-sheet'!S9*'Output-Calculation-sheet'!S63</f>
        <v>638.36719203448206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135.05338633943913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296.26685462199157</v>
      </c>
      <c r="Y76" s="2">
        <f>Y10/'Output-Calculation-sheet'!Y9*'Output-Calculation-sheet'!Y63</f>
        <v>5.6202394244599558</v>
      </c>
      <c r="AA76" s="2">
        <f t="shared" si="6"/>
        <v>21.490482827896866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7610.9833798663376</v>
      </c>
      <c r="D77" s="2">
        <f>D11/'Output-Calculation-sheet'!D10*'Output-Calculation-sheet'!D64</f>
        <v>1781.1482588250626</v>
      </c>
      <c r="E77" s="2">
        <f>E11/'Output-Calculation-sheet'!E10*'Output-Calculation-sheet'!E64</f>
        <v>2220.8492336647851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943.99822143957044</v>
      </c>
      <c r="H77" s="2">
        <f>H11/'Output-Calculation-sheet'!H10*'Output-Calculation-sheet'!H64</f>
        <v>4723.362878419246</v>
      </c>
      <c r="I77" s="2">
        <f>I11/'Output-Calculation-sheet'!I10*'Output-Calculation-sheet'!I64</f>
        <v>554.75786202790039</v>
      </c>
      <c r="J77" s="2">
        <f>J11/'Output-Calculation-sheet'!J10*'Output-Calculation-sheet'!J64</f>
        <v>388.53045495960635</v>
      </c>
      <c r="K77" s="2">
        <f>K11/'Output-Calculation-sheet'!K10*'Output-Calculation-sheet'!K64</f>
        <v>844.87081260235334</v>
      </c>
      <c r="L77" s="2">
        <f>L11/'Output-Calculation-sheet'!L10*'Output-Calculation-sheet'!L64</f>
        <v>347.75977857647695</v>
      </c>
      <c r="M77" s="2">
        <f>M11/'Output-Calculation-sheet'!M10*'Output-Calculation-sheet'!M64</f>
        <v>3373.7513338849863</v>
      </c>
      <c r="N77" s="2">
        <f>N11/'Output-Calculation-sheet'!N10*'Output-Calculation-sheet'!N64</f>
        <v>2375.3321212526439</v>
      </c>
      <c r="O77" s="2">
        <f>O11/'Output-Calculation-sheet'!O10*'Output-Calculation-sheet'!O64</f>
        <v>865.04157797501318</v>
      </c>
      <c r="P77" s="2">
        <f>P11/'Output-Calculation-sheet'!P10*'Output-Calculation-sheet'!P64</f>
        <v>1053.1893051753557</v>
      </c>
      <c r="Q77" s="2">
        <f>Q11/'Output-Calculation-sheet'!Q10*'Output-Calculation-sheet'!Q64</f>
        <v>741.57182814291627</v>
      </c>
      <c r="R77" s="2">
        <f>R11/'Output-Calculation-sheet'!R10*'Output-Calculation-sheet'!R64</f>
        <v>897.18860696706997</v>
      </c>
      <c r="S77" s="2">
        <f>S11/'Output-Calculation-sheet'!S10*'Output-Calculation-sheet'!S64</f>
        <v>1194.4719675651809</v>
      </c>
      <c r="T77" s="2">
        <f>T11/'Output-Calculation-sheet'!T10*'Output-Calculation-sheet'!T64</f>
        <v>247.28462626833874</v>
      </c>
      <c r="U77" s="2">
        <f>U11/'Output-Calculation-sheet'!U10*'Output-Calculation-sheet'!U64</f>
        <v>262.45484278189889</v>
      </c>
      <c r="V77" s="2">
        <f>V11/'Output-Calculation-sheet'!V10*'Output-Calculation-sheet'!V64</f>
        <v>130.79412399516661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337.71974313052766</v>
      </c>
      <c r="Y77" s="2">
        <f>Y11/'Output-Calculation-sheet'!Y10*'Output-Calculation-sheet'!Y64</f>
        <v>82.1307810455842</v>
      </c>
      <c r="AA77" s="2">
        <f t="shared" si="6"/>
        <v>45.701371176285875</v>
      </c>
    </row>
    <row r="78" spans="1:27" x14ac:dyDescent="0.25">
      <c r="A78" s="2">
        <v>2035</v>
      </c>
      <c r="B78" s="2">
        <f>B12/'Output-Calculation-sheet'!B11*'Output-Calculation-sheet'!B65</f>
        <v>15750.151869890255</v>
      </c>
      <c r="C78" s="2">
        <f>C12/'Output-Calculation-sheet'!C11*'Output-Calculation-sheet'!C65</f>
        <v>12205.937595858184</v>
      </c>
      <c r="D78" s="2">
        <f>D12/'Output-Calculation-sheet'!D11*'Output-Calculation-sheet'!D65</f>
        <v>2103.9490086736405</v>
      </c>
      <c r="E78" s="2">
        <f>E12/'Output-Calculation-sheet'!E11*'Output-Calculation-sheet'!E65</f>
        <v>3645.7808868646521</v>
      </c>
      <c r="F78" s="2">
        <f>F12/'Output-Calculation-sheet'!F11*'Output-Calculation-sheet'!F65</f>
        <v>466.55224831599537</v>
      </c>
      <c r="G78" s="2">
        <f>G12/'Output-Calculation-sheet'!G11*'Output-Calculation-sheet'!G65</f>
        <v>923.92439899797364</v>
      </c>
      <c r="H78" s="2">
        <f>H12/'Output-Calculation-sheet'!H11*'Output-Calculation-sheet'!H65</f>
        <v>5010.0385065978699</v>
      </c>
      <c r="I78" s="2">
        <f>I12/'Output-Calculation-sheet'!I11*'Output-Calculation-sheet'!I65</f>
        <v>611.90673827356648</v>
      </c>
      <c r="J78" s="2">
        <f>J12/'Output-Calculation-sheet'!J11*'Output-Calculation-sheet'!J65</f>
        <v>885.67558904336533</v>
      </c>
      <c r="K78" s="2">
        <f>K12/'Output-Calculation-sheet'!K11*'Output-Calculation-sheet'!K65</f>
        <v>1109.977488321606</v>
      </c>
      <c r="L78" s="2">
        <f>L12/'Output-Calculation-sheet'!L11*'Output-Calculation-sheet'!L65</f>
        <v>941.58474970397288</v>
      </c>
      <c r="M78" s="2">
        <f>M12/'Output-Calculation-sheet'!M11*'Output-Calculation-sheet'!M65</f>
        <v>3650.609488721816</v>
      </c>
      <c r="N78" s="2">
        <f>N12/'Output-Calculation-sheet'!N11*'Output-Calculation-sheet'!N65</f>
        <v>2589.3842205691199</v>
      </c>
      <c r="O78" s="2">
        <f>O12/'Output-Calculation-sheet'!O11*'Output-Calculation-sheet'!O65</f>
        <v>1453.6651278469608</v>
      </c>
      <c r="P78" s="2">
        <f>P12/'Output-Calculation-sheet'!P11*'Output-Calculation-sheet'!P65</f>
        <v>1271.4145945414732</v>
      </c>
      <c r="Q78" s="2">
        <f>Q12/'Output-Calculation-sheet'!Q11*'Output-Calculation-sheet'!Q65</f>
        <v>875.24503100650838</v>
      </c>
      <c r="R78" s="2">
        <f>R12/'Output-Calculation-sheet'!R11*'Output-Calculation-sheet'!R65</f>
        <v>1184.8006667360273</v>
      </c>
      <c r="S78" s="2">
        <f>S12/'Output-Calculation-sheet'!S11*'Output-Calculation-sheet'!S65</f>
        <v>1234.6152802041513</v>
      </c>
      <c r="T78" s="2">
        <f>T12/'Output-Calculation-sheet'!T11*'Output-Calculation-sheet'!T65</f>
        <v>408.69763664635769</v>
      </c>
      <c r="U78" s="2">
        <f>U12/'Output-Calculation-sheet'!U11*'Output-Calculation-sheet'!U65</f>
        <v>279.60868460529889</v>
      </c>
      <c r="V78" s="2">
        <f>V12/'Output-Calculation-sheet'!V11*'Output-Calculation-sheet'!V65</f>
        <v>229.48443550862771</v>
      </c>
      <c r="W78" s="2">
        <f>W12/'Output-Calculation-sheet'!W11*'Output-Calculation-sheet'!W65</f>
        <v>110.5144497020394</v>
      </c>
      <c r="X78" s="2">
        <f>X12/'Output-Calculation-sheet'!X11*'Output-Calculation-sheet'!X65</f>
        <v>357.38172073815605</v>
      </c>
      <c r="Y78" s="2">
        <f>Y12/'Output-Calculation-sheet'!Y11*'Output-Calculation-sheet'!Y65</f>
        <v>97.780646647454887</v>
      </c>
      <c r="AA78" s="2">
        <f t="shared" si="6"/>
        <v>57.398681064015065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266.07426915345246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68.921429990101998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0.33499569914355448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486.70308388639671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94.553315777493836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0.58125639966389053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627.36924521076139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121.88096668265034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0.74925021189341168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665.06321040425883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34.121194824922853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129.20389006621889</v>
      </c>
      <c r="P88" s="2">
        <f>P11/'Output-Calculation-sheet'!P10*'Output-Calculation-sheet'!P73</f>
        <v>0</v>
      </c>
      <c r="Q88" s="2">
        <f>Q11/'Output-Calculation-sheet'!Q10*'Output-Calculation-sheet'!Q73</f>
        <v>20.217885660539171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6.4507408637344268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2.5756735723314521</v>
      </c>
      <c r="Y88" s="2">
        <f>Y11/'Output-Calculation-sheet'!Y10*'Output-Calculation-sheet'!Y73</f>
        <v>0</v>
      </c>
      <c r="AA88" s="2">
        <f t="shared" si="7"/>
        <v>0.85763259539200565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581.65058831823603</v>
      </c>
      <c r="D89" s="2">
        <f>D12/'Output-Calculation-sheet'!D11*'Output-Calculation-sheet'!D74</f>
        <v>103.04888125942306</v>
      </c>
      <c r="E89" s="2">
        <f>E12/'Output-Calculation-sheet'!E11*'Output-Calculation-sheet'!E74</f>
        <v>163.79274824739545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36.965847763382158</v>
      </c>
      <c r="H89" s="2">
        <f>H12/'Output-Calculation-sheet'!H11*'Output-Calculation-sheet'!H74</f>
        <v>71.620066424568918</v>
      </c>
      <c r="I89" s="2">
        <f>I12/'Output-Calculation-sheet'!I11*'Output-Calculation-sheet'!I74</f>
        <v>33.248573042467207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32.678113708058</v>
      </c>
      <c r="L89" s="2">
        <f>L12/'Output-Calculation-sheet'!L11*'Output-Calculation-sheet'!L74</f>
        <v>25.984070141125724</v>
      </c>
      <c r="M89" s="2">
        <f>M12/'Output-Calculation-sheet'!M11*'Output-Calculation-sheet'!M74</f>
        <v>49.281614124881926</v>
      </c>
      <c r="N89" s="2">
        <f>N12/'Output-Calculation-sheet'!N11*'Output-Calculation-sheet'!N74</f>
        <v>24.217959414226709</v>
      </c>
      <c r="O89" s="2">
        <f>O12/'Output-Calculation-sheet'!O11*'Output-Calculation-sheet'!O74</f>
        <v>112.99906158444706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21.218575747448625</v>
      </c>
      <c r="R89" s="2">
        <f>R12/'Output-Calculation-sheet'!R11*'Output-Calculation-sheet'!R74</f>
        <v>21.042174310660098</v>
      </c>
      <c r="S89" s="2">
        <f>S12/'Output-Calculation-sheet'!S11*'Output-Calculation-sheet'!S74</f>
        <v>27.76506539089317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6.7700221448705564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10.812629117175261</v>
      </c>
      <c r="Y89" s="2">
        <f>Y12/'Output-Calculation-sheet'!Y11*'Output-Calculation-sheet'!Y74</f>
        <v>5.2171938238957889</v>
      </c>
      <c r="AA89" s="2">
        <f t="shared" si="7"/>
        <v>1.9651979803747464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8246296467.1214657</v>
      </c>
      <c r="C96" s="2">
        <f>C8/'Output-Calculation-sheet'!C7*'Output-Calculation-sheet'!C79</f>
        <v>1991342402.2275028</v>
      </c>
      <c r="D96" s="2">
        <f>D8/'Output-Calculation-sheet'!D7*'Output-Calculation-sheet'!D79</f>
        <v>1616673772.2764494</v>
      </c>
      <c r="E96" s="2">
        <f>E8/'Output-Calculation-sheet'!E7*'Output-Calculation-sheet'!E79</f>
        <v>6057088503.2777967</v>
      </c>
      <c r="F96" s="2">
        <f>F8/'Output-Calculation-sheet'!F7*'Output-Calculation-sheet'!F79</f>
        <v>1766945401.6343329</v>
      </c>
      <c r="G96" s="2">
        <f>G8/'Output-Calculation-sheet'!G7*'Output-Calculation-sheet'!G79</f>
        <v>1134124482.3672619</v>
      </c>
      <c r="H96" s="2">
        <f>H8/'Output-Calculation-sheet'!H7*'Output-Calculation-sheet'!H79</f>
        <v>1397201874.2148378</v>
      </c>
      <c r="I96" s="2">
        <f>I8/'Output-Calculation-sheet'!I7*'Output-Calculation-sheet'!I79</f>
        <v>815545801.62215364</v>
      </c>
      <c r="J96" s="2">
        <f>J8/'Output-Calculation-sheet'!J7*'Output-Calculation-sheet'!J79</f>
        <v>618023936.84260631</v>
      </c>
      <c r="K96" s="2">
        <f>K8/'Output-Calculation-sheet'!K7*'Output-Calculation-sheet'!K79</f>
        <v>775082092.31693184</v>
      </c>
      <c r="L96" s="2">
        <f>L8/'Output-Calculation-sheet'!L7*'Output-Calculation-sheet'!L79</f>
        <v>703640790.36477828</v>
      </c>
      <c r="M96" s="2">
        <f>M8/'Output-Calculation-sheet'!M7*'Output-Calculation-sheet'!M79</f>
        <v>1078075001.7534873</v>
      </c>
      <c r="N96" s="2">
        <f>N8/'Output-Calculation-sheet'!N7*'Output-Calculation-sheet'!N79</f>
        <v>700821538.83192897</v>
      </c>
      <c r="O96" s="2">
        <f>O8/'Output-Calculation-sheet'!O7*'Output-Calculation-sheet'!O79</f>
        <v>262963340.89496011</v>
      </c>
      <c r="P96" s="2">
        <f>P8/'Output-Calculation-sheet'!P7*'Output-Calculation-sheet'!P79</f>
        <v>1334721079.5510926</v>
      </c>
      <c r="Q96" s="2">
        <f>Q8/'Output-Calculation-sheet'!Q7*'Output-Calculation-sheet'!Q79</f>
        <v>566680165.28588843</v>
      </c>
      <c r="R96" s="2">
        <f>R8/'Output-Calculation-sheet'!R7*'Output-Calculation-sheet'!R79</f>
        <v>752143243.4662832</v>
      </c>
      <c r="S96" s="2">
        <f>S8/'Output-Calculation-sheet'!S7*'Output-Calculation-sheet'!S79</f>
        <v>424179293.29978448</v>
      </c>
      <c r="T96" s="2">
        <f>T8/'Output-Calculation-sheet'!T7*'Output-Calculation-sheet'!T79</f>
        <v>255899623.35129896</v>
      </c>
      <c r="U96" s="2">
        <f>U8/'Output-Calculation-sheet'!U7*'Output-Calculation-sheet'!U79</f>
        <v>201424722.88577834</v>
      </c>
      <c r="V96" s="2">
        <f>V8/'Output-Calculation-sheet'!V7*'Output-Calculation-sheet'!V79</f>
        <v>92447334.583996639</v>
      </c>
      <c r="W96" s="2">
        <f>W8/'Output-Calculation-sheet'!W7*'Output-Calculation-sheet'!W79</f>
        <v>284634713.91820288</v>
      </c>
      <c r="X96" s="2">
        <f>X8/'Output-Calculation-sheet'!X7*'Output-Calculation-sheet'!X79</f>
        <v>128376557.43936884</v>
      </c>
      <c r="Y96" s="2">
        <f>Y8/'Output-Calculation-sheet'!Y7*'Output-Calculation-sheet'!Y79</f>
        <v>176669654.8517932</v>
      </c>
      <c r="AA96" s="2">
        <f t="shared" si="8"/>
        <v>31.381001794379969</v>
      </c>
    </row>
    <row r="97" spans="1:27" x14ac:dyDescent="0.25">
      <c r="A97" s="2">
        <v>2032</v>
      </c>
      <c r="B97" s="2">
        <f>B9/'Output-Calculation-sheet'!B8*'Output-Calculation-sheet'!B80</f>
        <v>10374001990.984213</v>
      </c>
      <c r="C97" s="2">
        <f>C9/'Output-Calculation-sheet'!C8*'Output-Calculation-sheet'!C80</f>
        <v>2450150930.8392205</v>
      </c>
      <c r="D97" s="2">
        <f>D9/'Output-Calculation-sheet'!D8*'Output-Calculation-sheet'!D80</f>
        <v>1871649860.13923</v>
      </c>
      <c r="E97" s="2">
        <f>E9/'Output-Calculation-sheet'!E8*'Output-Calculation-sheet'!E80</f>
        <v>7879370985.4835272</v>
      </c>
      <c r="F97" s="2">
        <f>F9/'Output-Calculation-sheet'!F8*'Output-Calculation-sheet'!F80</f>
        <v>2160795605.4005189</v>
      </c>
      <c r="G97" s="2">
        <f>G9/'Output-Calculation-sheet'!G8*'Output-Calculation-sheet'!G80</f>
        <v>1324016957.1396031</v>
      </c>
      <c r="H97" s="2">
        <f>H9/'Output-Calculation-sheet'!H8*'Output-Calculation-sheet'!H80</f>
        <v>1733611090.6821635</v>
      </c>
      <c r="I97" s="2">
        <f>I9/'Output-Calculation-sheet'!I8*'Output-Calculation-sheet'!I80</f>
        <v>998559731.57156515</v>
      </c>
      <c r="J97" s="2">
        <f>J9/'Output-Calculation-sheet'!J8*'Output-Calculation-sheet'!J80</f>
        <v>746201650.40742111</v>
      </c>
      <c r="K97" s="2">
        <f>K9/'Output-Calculation-sheet'!K8*'Output-Calculation-sheet'!K80</f>
        <v>920319105.33846068</v>
      </c>
      <c r="L97" s="2">
        <f>L9/'Output-Calculation-sheet'!L8*'Output-Calculation-sheet'!L80</f>
        <v>887709421.06326842</v>
      </c>
      <c r="M97" s="2">
        <f>M9/'Output-Calculation-sheet'!M8*'Output-Calculation-sheet'!M80</f>
        <v>1367702786.0323985</v>
      </c>
      <c r="N97" s="2">
        <f>N9/'Output-Calculation-sheet'!N8*'Output-Calculation-sheet'!N80</f>
        <v>859335974.49983144</v>
      </c>
      <c r="O97" s="2">
        <f>O9/'Output-Calculation-sheet'!O8*'Output-Calculation-sheet'!O80</f>
        <v>319430790.43752831</v>
      </c>
      <c r="P97" s="2">
        <f>P9/'Output-Calculation-sheet'!P8*'Output-Calculation-sheet'!P80</f>
        <v>1611038930.8759682</v>
      </c>
      <c r="Q97" s="2">
        <f>Q9/'Output-Calculation-sheet'!Q8*'Output-Calculation-sheet'!Q80</f>
        <v>696831589.21064115</v>
      </c>
      <c r="R97" s="2">
        <f>R9/'Output-Calculation-sheet'!R8*'Output-Calculation-sheet'!R80</f>
        <v>933757423.78487349</v>
      </c>
      <c r="S97" s="2">
        <f>S9/'Output-Calculation-sheet'!S8*'Output-Calculation-sheet'!S80</f>
        <v>519694788.11044443</v>
      </c>
      <c r="T97" s="2">
        <f>T9/'Output-Calculation-sheet'!T8*'Output-Calculation-sheet'!T80</f>
        <v>303031828.64035457</v>
      </c>
      <c r="U97" s="2">
        <f>U9/'Output-Calculation-sheet'!U8*'Output-Calculation-sheet'!U80</f>
        <v>241129002.068046</v>
      </c>
      <c r="V97" s="2">
        <f>V9/'Output-Calculation-sheet'!V8*'Output-Calculation-sheet'!V80</f>
        <v>111223172.67963915</v>
      </c>
      <c r="W97" s="2">
        <f>W9/'Output-Calculation-sheet'!W8*'Output-Calculation-sheet'!W80</f>
        <v>344176186.40288723</v>
      </c>
      <c r="X97" s="2">
        <f>X9/'Output-Calculation-sheet'!X8*'Output-Calculation-sheet'!X80</f>
        <v>166695884.46153674</v>
      </c>
      <c r="Y97" s="2">
        <f>Y9/'Output-Calculation-sheet'!Y8*'Output-Calculation-sheet'!Y80</f>
        <v>218822504.23047248</v>
      </c>
      <c r="AA97" s="2">
        <f t="shared" si="8"/>
        <v>39.039258190483814</v>
      </c>
    </row>
    <row r="98" spans="1:27" x14ac:dyDescent="0.25">
      <c r="A98" s="2">
        <v>2033</v>
      </c>
      <c r="B98" s="2">
        <f>B10/'Output-Calculation-sheet'!B9*'Output-Calculation-sheet'!B81</f>
        <v>12198312839.892885</v>
      </c>
      <c r="C98" s="2">
        <f>C10/'Output-Calculation-sheet'!C9*'Output-Calculation-sheet'!C81</f>
        <v>2824650559.7903934</v>
      </c>
      <c r="D98" s="2">
        <f>D10/'Output-Calculation-sheet'!D9*'Output-Calculation-sheet'!D81</f>
        <v>2032045293.853483</v>
      </c>
      <c r="E98" s="2">
        <f>E10/'Output-Calculation-sheet'!E9*'Output-Calculation-sheet'!E81</f>
        <v>9592030728.5170937</v>
      </c>
      <c r="F98" s="2">
        <f>F10/'Output-Calculation-sheet'!F9*'Output-Calculation-sheet'!F81</f>
        <v>2471392032.3052764</v>
      </c>
      <c r="G98" s="2">
        <f>G10/'Output-Calculation-sheet'!G9*'Output-Calculation-sheet'!G81</f>
        <v>1443837885.1311705</v>
      </c>
      <c r="H98" s="2">
        <f>H10/'Output-Calculation-sheet'!H9*'Output-Calculation-sheet'!H81</f>
        <v>2010044019.9633467</v>
      </c>
      <c r="I98" s="2">
        <f>I10/'Output-Calculation-sheet'!I9*'Output-Calculation-sheet'!I81</f>
        <v>1145509711.9876034</v>
      </c>
      <c r="J98" s="2">
        <f>J10/'Output-Calculation-sheet'!J9*'Output-Calculation-sheet'!J81</f>
        <v>845035347.63571072</v>
      </c>
      <c r="K98" s="2">
        <f>K10/'Output-Calculation-sheet'!K9*'Output-Calculation-sheet'!K81</f>
        <v>1023295281.8590168</v>
      </c>
      <c r="L98" s="2">
        <f>L10/'Output-Calculation-sheet'!L9*'Output-Calculation-sheet'!L81</f>
        <v>1048775092.8662312</v>
      </c>
      <c r="M98" s="2">
        <f>M10/'Output-Calculation-sheet'!M9*'Output-Calculation-sheet'!M81</f>
        <v>1625227045.4646866</v>
      </c>
      <c r="N98" s="2">
        <f>N10/'Output-Calculation-sheet'!N9*'Output-Calculation-sheet'!N81</f>
        <v>987675269.17193568</v>
      </c>
      <c r="O98" s="2">
        <f>O10/'Output-Calculation-sheet'!O9*'Output-Calculation-sheet'!O81</f>
        <v>364284333.5393284</v>
      </c>
      <c r="P98" s="2">
        <f>P10/'Output-Calculation-sheet'!P9*'Output-Calculation-sheet'!P81</f>
        <v>1807218128.0794466</v>
      </c>
      <c r="Q98" s="2">
        <f>Q10/'Output-Calculation-sheet'!Q9*'Output-Calculation-sheet'!Q81</f>
        <v>803007306.32674551</v>
      </c>
      <c r="R98" s="2">
        <f>R10/'Output-Calculation-sheet'!R9*'Output-Calculation-sheet'!R81</f>
        <v>1083878674.8287807</v>
      </c>
      <c r="S98" s="2">
        <f>S10/'Output-Calculation-sheet'!S9*'Output-Calculation-sheet'!S81</f>
        <v>595266332.25711846</v>
      </c>
      <c r="T98" s="2">
        <f>T10/'Output-Calculation-sheet'!T9*'Output-Calculation-sheet'!T81</f>
        <v>335382373.8223232</v>
      </c>
      <c r="U98" s="2">
        <f>U10/'Output-Calculation-sheet'!U9*'Output-Calculation-sheet'!U81</f>
        <v>269489557.89216071</v>
      </c>
      <c r="V98" s="2">
        <f>V10/'Output-Calculation-sheet'!V9*'Output-Calculation-sheet'!V81</f>
        <v>125163914.06369346</v>
      </c>
      <c r="W98" s="2">
        <f>W10/'Output-Calculation-sheet'!W9*'Output-Calculation-sheet'!W81</f>
        <v>387066738.64865452</v>
      </c>
      <c r="X98" s="2">
        <f>X10/'Output-Calculation-sheet'!X9*'Output-Calculation-sheet'!X81</f>
        <v>202914756.77692288</v>
      </c>
      <c r="Y98" s="2">
        <f>Y10/'Output-Calculation-sheet'!Y9*'Output-Calculation-sheet'!Y81</f>
        <v>252624252.09082362</v>
      </c>
      <c r="AA98" s="2">
        <f t="shared" si="8"/>
        <v>45.474127476764821</v>
      </c>
    </row>
    <row r="99" spans="1:27" x14ac:dyDescent="0.25">
      <c r="A99" s="2">
        <v>2034</v>
      </c>
      <c r="B99" s="2">
        <f>B11/'Output-Calculation-sheet'!B10*'Output-Calculation-sheet'!B82</f>
        <v>13689496949.962835</v>
      </c>
      <c r="C99" s="2">
        <f>C11/'Output-Calculation-sheet'!C10*'Output-Calculation-sheet'!C82</f>
        <v>3116179166.4388866</v>
      </c>
      <c r="D99" s="2">
        <f>D11/'Output-Calculation-sheet'!D10*'Output-Calculation-sheet'!D82</f>
        <v>2113794879.2337022</v>
      </c>
      <c r="E99" s="2">
        <f>E11/'Output-Calculation-sheet'!E10*'Output-Calculation-sheet'!E82</f>
        <v>11156248063.240095</v>
      </c>
      <c r="F99" s="2">
        <f>F11/'Output-Calculation-sheet'!F10*'Output-Calculation-sheet'!F82</f>
        <v>2700438849.2057538</v>
      </c>
      <c r="G99" s="2">
        <f>G11/'Output-Calculation-sheet'!G10*'Output-Calculation-sheet'!G82</f>
        <v>1502957105.6366706</v>
      </c>
      <c r="H99" s="2">
        <f>H11/'Output-Calculation-sheet'!H10*'Output-Calculation-sheet'!H82</f>
        <v>2223984675.0697503</v>
      </c>
      <c r="I99" s="2">
        <f>I11/'Output-Calculation-sheet'!I10*'Output-Calculation-sheet'!I82</f>
        <v>1257567738.3015747</v>
      </c>
      <c r="J99" s="2">
        <f>J11/'Output-Calculation-sheet'!J10*'Output-Calculation-sheet'!J82</f>
        <v>916760684.52745354</v>
      </c>
      <c r="K99" s="2">
        <f>K11/'Output-Calculation-sheet'!K10*'Output-Calculation-sheet'!K82</f>
        <v>1088520482.6468196</v>
      </c>
      <c r="L99" s="2">
        <f>L11/'Output-Calculation-sheet'!L10*'Output-Calculation-sheet'!L82</f>
        <v>1184948984.4413745</v>
      </c>
      <c r="M99" s="2">
        <f>M11/'Output-Calculation-sheet'!M10*'Output-Calculation-sheet'!M82</f>
        <v>1847157147.1608226</v>
      </c>
      <c r="N99" s="2">
        <f>N11/'Output-Calculation-sheet'!N10*'Output-Calculation-sheet'!N82</f>
        <v>1086813902.2369242</v>
      </c>
      <c r="O99" s="2">
        <f>O11/'Output-Calculation-sheet'!O10*'Output-Calculation-sheet'!O82</f>
        <v>398315566.4711926</v>
      </c>
      <c r="P99" s="2">
        <f>P11/'Output-Calculation-sheet'!P10*'Output-Calculation-sheet'!P82</f>
        <v>1925306538.4693058</v>
      </c>
      <c r="Q99" s="2">
        <f>Q11/'Output-Calculation-sheet'!Q10*'Output-Calculation-sheet'!Q82</f>
        <v>885620017.71826911</v>
      </c>
      <c r="R99" s="2">
        <f>R11/'Output-Calculation-sheet'!R10*'Output-Calculation-sheet'!R82</f>
        <v>1201320467.2766757</v>
      </c>
      <c r="S99" s="2">
        <f>S11/'Output-Calculation-sheet'!S10*'Output-Calculation-sheet'!S82</f>
        <v>651014603.90633321</v>
      </c>
      <c r="T99" s="2">
        <f>T11/'Output-Calculation-sheet'!T10*'Output-Calculation-sheet'!T82</f>
        <v>354504842.81026894</v>
      </c>
      <c r="U99" s="2">
        <f>U11/'Output-Calculation-sheet'!U10*'Output-Calculation-sheet'!U82</f>
        <v>287302838.55936933</v>
      </c>
      <c r="V99" s="2">
        <f>V11/'Output-Calculation-sheet'!V10*'Output-Calculation-sheet'!V82</f>
        <v>134579170.15048593</v>
      </c>
      <c r="W99" s="2">
        <f>W11/'Output-Calculation-sheet'!W10*'Output-Calculation-sheet'!W82</f>
        <v>413692878.54485482</v>
      </c>
      <c r="X99" s="2">
        <f>X11/'Output-Calculation-sheet'!X10*'Output-Calculation-sheet'!X82</f>
        <v>236442841.64599019</v>
      </c>
      <c r="Y99" s="2">
        <f>Y11/'Output-Calculation-sheet'!Y10*'Output-Calculation-sheet'!Y82</f>
        <v>277673027.89239138</v>
      </c>
      <c r="AA99" s="2">
        <f t="shared" si="8"/>
        <v>50.650641421547789</v>
      </c>
    </row>
    <row r="100" spans="1:27" x14ac:dyDescent="0.25">
      <c r="A100" s="2">
        <v>2035</v>
      </c>
      <c r="B100" s="2">
        <f>B12/'Output-Calculation-sheet'!B11*'Output-Calculation-sheet'!B83</f>
        <v>14820505650.930651</v>
      </c>
      <c r="C100" s="2">
        <f>C12/'Output-Calculation-sheet'!C11*'Output-Calculation-sheet'!C83</f>
        <v>3325766387.0907168</v>
      </c>
      <c r="D100" s="2">
        <f>D12/'Output-Calculation-sheet'!D11*'Output-Calculation-sheet'!D83</f>
        <v>2130430510.179687</v>
      </c>
      <c r="E100" s="2">
        <f>E12/'Output-Calculation-sheet'!E11*'Output-Calculation-sheet'!E83</f>
        <v>12528138779.759722</v>
      </c>
      <c r="F100" s="2">
        <f>F12/'Output-Calculation-sheet'!F11*'Output-Calculation-sheet'!F83</f>
        <v>2850302015.7488599</v>
      </c>
      <c r="G100" s="2">
        <f>G12/'Output-Calculation-sheet'!G11*'Output-Calculation-sheet'!G83</f>
        <v>1510566858.125684</v>
      </c>
      <c r="H100" s="2">
        <f>H12/'Output-Calculation-sheet'!H11*'Output-Calculation-sheet'!H83</f>
        <v>2373711023.51613</v>
      </c>
      <c r="I100" s="2">
        <f>I12/'Output-Calculation-sheet'!I11*'Output-Calculation-sheet'!I83</f>
        <v>1335806640.0404577</v>
      </c>
      <c r="J100" s="2">
        <f>J12/'Output-Calculation-sheet'!J11*'Output-Calculation-sheet'!J83</f>
        <v>963277170.58090913</v>
      </c>
      <c r="K100" s="2">
        <f>K12/'Output-Calculation-sheet'!K11*'Output-Calculation-sheet'!K83</f>
        <v>1120200182.6328979</v>
      </c>
      <c r="L100" s="2">
        <f>L12/'Output-Calculation-sheet'!L11*'Output-Calculation-sheet'!L83</f>
        <v>1294219242.7218153</v>
      </c>
      <c r="M100" s="2">
        <f>M12/'Output-Calculation-sheet'!M11*'Output-Calculation-sheet'!M83</f>
        <v>2029631737.5002222</v>
      </c>
      <c r="N100" s="2">
        <f>N12/'Output-Calculation-sheet'!N11*'Output-Calculation-sheet'!N83</f>
        <v>1157547501.378953</v>
      </c>
      <c r="O100" s="2">
        <f>O12/'Output-Calculation-sheet'!O11*'Output-Calculation-sheet'!O83</f>
        <v>422121780.43421531</v>
      </c>
      <c r="P100" s="2">
        <f>P12/'Output-Calculation-sheet'!P11*'Output-Calculation-sheet'!P83</f>
        <v>1970684790.9785018</v>
      </c>
      <c r="Q100" s="2">
        <f>Q12/'Output-Calculation-sheet'!Q11*'Output-Calculation-sheet'!Q83</f>
        <v>944944869.55051494</v>
      </c>
      <c r="R100" s="2">
        <f>R12/'Output-Calculation-sheet'!R11*'Output-Calculation-sheet'!R83</f>
        <v>1285193090.7939298</v>
      </c>
      <c r="S100" s="2">
        <f>S12/'Output-Calculation-sheet'!S11*'Output-Calculation-sheet'!S83</f>
        <v>687256446.99200666</v>
      </c>
      <c r="T100" s="2">
        <f>T12/'Output-Calculation-sheet'!T11*'Output-Calculation-sheet'!T83</f>
        <v>361980271.50803834</v>
      </c>
      <c r="U100" s="2">
        <f>U12/'Output-Calculation-sheet'!U11*'Output-Calculation-sheet'!U83</f>
        <v>295505170.50300509</v>
      </c>
      <c r="V100" s="2">
        <f>V12/'Output-Calculation-sheet'!V11*'Output-Calculation-sheet'!V83</f>
        <v>139794599.24974081</v>
      </c>
      <c r="W100" s="2">
        <f>W12/'Output-Calculation-sheet'!W11*'Output-Calculation-sheet'!W83</f>
        <v>425069502.04982483</v>
      </c>
      <c r="X100" s="2">
        <f>X12/'Output-Calculation-sheet'!X11*'Output-Calculation-sheet'!X83</f>
        <v>266566746.13030171</v>
      </c>
      <c r="Y100" s="2">
        <f>Y12/'Output-Calculation-sheet'!Y11*'Output-Calculation-sheet'!Y83</f>
        <v>293837573.35563475</v>
      </c>
      <c r="AA100" s="2">
        <f t="shared" si="8"/>
        <v>54.533058541752425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1369138997.3740442</v>
      </c>
      <c r="C107" s="2">
        <f>C8/'Output-Calculation-sheet'!C7*'Output-Calculation-sheet'!C88</f>
        <v>17655464559.384998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7035158399.4821548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4853670971.0348597</v>
      </c>
      <c r="N107" s="2">
        <f>N8/'Output-Calculation-sheet'!N7*'Output-Calculation-sheet'!N88</f>
        <v>1620308408.236553</v>
      </c>
      <c r="O107" s="2">
        <f>O8/'Output-Calculation-sheet'!O7*'Output-Calculation-sheet'!O88</f>
        <v>2781670637.4362664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486800624.50457716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525653694.2745381</v>
      </c>
      <c r="Y107" s="2">
        <f>Y8/'Output-Calculation-sheet'!Y7*'Output-Calculation-sheet'!Y88</f>
        <v>0</v>
      </c>
      <c r="AA107" s="2">
        <f t="shared" si="9"/>
        <v>36327.866291727987</v>
      </c>
    </row>
    <row r="108" spans="1:27" x14ac:dyDescent="0.25">
      <c r="A108" s="2">
        <v>2032</v>
      </c>
      <c r="B108" s="2">
        <f>B9/'Output-Calculation-sheet'!B8*'Output-Calculation-sheet'!B89</f>
        <v>6171121504.0170507</v>
      </c>
      <c r="C108" s="2">
        <f>C9/'Output-Calculation-sheet'!C8*'Output-Calculation-sheet'!C89</f>
        <v>20963002675.427902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9651616820.3552856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6658776368.0642347</v>
      </c>
      <c r="N108" s="2">
        <f>N9/'Output-Calculation-sheet'!N8*'Output-Calculation-sheet'!N89</f>
        <v>3133480889.1594119</v>
      </c>
      <c r="O108" s="2">
        <f>O9/'Output-Calculation-sheet'!O8*'Output-Calculation-sheet'!O89</f>
        <v>3354764881.2496901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932479544.77683651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721165384.40092039</v>
      </c>
      <c r="Y108" s="2">
        <f>Y9/'Output-Calculation-sheet'!Y8*'Output-Calculation-sheet'!Y89</f>
        <v>0</v>
      </c>
      <c r="AA108" s="2">
        <f t="shared" si="9"/>
        <v>51586.408067451324</v>
      </c>
    </row>
    <row r="109" spans="1:27" x14ac:dyDescent="0.25">
      <c r="A109" s="2">
        <v>2033</v>
      </c>
      <c r="B109" s="2">
        <f>B10/'Output-Calculation-sheet'!B9*'Output-Calculation-sheet'!B90</f>
        <v>17001330584.12801</v>
      </c>
      <c r="C109" s="2">
        <f>C10/'Output-Calculation-sheet'!C9*'Output-Calculation-sheet'!C90</f>
        <v>25077611259.573944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12441485336.244415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8583543707.4557991</v>
      </c>
      <c r="N109" s="2">
        <f>N10/'Output-Calculation-sheet'!N9*'Output-Calculation-sheet'!N90</f>
        <v>5056411918.2443886</v>
      </c>
      <c r="O109" s="2">
        <f>O10/'Output-Calculation-sheet'!O9*'Output-Calculation-sheet'!O90</f>
        <v>3917619912.08043</v>
      </c>
      <c r="P109" s="2">
        <f>P10/'Output-Calculation-sheet'!P9*'Output-Calculation-sheet'!P90</f>
        <v>0</v>
      </c>
      <c r="Q109" s="2">
        <f>Q10/'Output-Calculation-sheet'!Q9*'Output-Calculation-sheet'!Q90</f>
        <v>164569329.74948096</v>
      </c>
      <c r="R109" s="2">
        <f>R10/'Output-Calculation-sheet'!R9*'Output-Calculation-sheet'!R90</f>
        <v>-3.390800704121039E-7</v>
      </c>
      <c r="S109" s="2">
        <f>S10/'Output-Calculation-sheet'!S9*'Output-Calculation-sheet'!S90</f>
        <v>2032495554.5365746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929623753.3915273</v>
      </c>
      <c r="Y109" s="2">
        <f>Y10/'Output-Calculation-sheet'!Y9*'Output-Calculation-sheet'!Y90</f>
        <v>0</v>
      </c>
      <c r="AA109" s="2">
        <f t="shared" si="9"/>
        <v>75204.69135540456</v>
      </c>
    </row>
    <row r="110" spans="1:27" x14ac:dyDescent="0.25">
      <c r="A110" s="2">
        <v>2034</v>
      </c>
      <c r="B110" s="2">
        <f>B11/'Output-Calculation-sheet'!B10*'Output-Calculation-sheet'!B91</f>
        <v>41148350267.618332</v>
      </c>
      <c r="C110" s="2">
        <f>C11/'Output-Calculation-sheet'!C10*'Output-Calculation-sheet'!C91</f>
        <v>30332346997.146355</v>
      </c>
      <c r="D110" s="2">
        <f>D11/'Output-Calculation-sheet'!D10*'Output-Calculation-sheet'!D91</f>
        <v>0</v>
      </c>
      <c r="E110" s="2">
        <f>E11/'Output-Calculation-sheet'!E10*'Output-Calculation-sheet'!E91</f>
        <v>870913128.08074117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14999820554.05435</v>
      </c>
      <c r="I110" s="2">
        <f>I11/'Output-Calculation-sheet'!I10*'Output-Calculation-sheet'!I91</f>
        <v>-1.4441223749011257E-6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700000622.39035654</v>
      </c>
      <c r="M110" s="2">
        <f>M11/'Output-Calculation-sheet'!M10*'Output-Calculation-sheet'!M91</f>
        <v>10616035176.302187</v>
      </c>
      <c r="N110" s="2">
        <f>N11/'Output-Calculation-sheet'!N10*'Output-Calculation-sheet'!N91</f>
        <v>7347018830.0532026</v>
      </c>
      <c r="O110" s="2">
        <f>O11/'Output-Calculation-sheet'!O10*'Output-Calculation-sheet'!O91</f>
        <v>4658463483.5228643</v>
      </c>
      <c r="P110" s="2">
        <f>P11/'Output-Calculation-sheet'!P10*'Output-Calculation-sheet'!P91</f>
        <v>0</v>
      </c>
      <c r="Q110" s="2">
        <f>Q11/'Output-Calculation-sheet'!Q10*'Output-Calculation-sheet'!Q91</f>
        <v>1176135871.2459717</v>
      </c>
      <c r="R110" s="2">
        <f>R11/'Output-Calculation-sheet'!R10*'Output-Calculation-sheet'!R91</f>
        <v>0</v>
      </c>
      <c r="S110" s="2">
        <f>S11/'Output-Calculation-sheet'!S10*'Output-Calculation-sheet'!S91</f>
        <v>3596679435.8281851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1036357806.1228579</v>
      </c>
      <c r="Y110" s="2">
        <f>Y11/'Output-Calculation-sheet'!Y10*'Output-Calculation-sheet'!Y91</f>
        <v>46085104.155113593</v>
      </c>
      <c r="AA110" s="2">
        <f t="shared" si="9"/>
        <v>116528.20727652051</v>
      </c>
    </row>
    <row r="111" spans="1:27" x14ac:dyDescent="0.25">
      <c r="A111" s="2">
        <v>2035</v>
      </c>
      <c r="B111" s="2">
        <f>B12/'Output-Calculation-sheet'!B11*'Output-Calculation-sheet'!B92</f>
        <v>44515943948.189209</v>
      </c>
      <c r="C111" s="2">
        <f>C12/'Output-Calculation-sheet'!C11*'Output-Calculation-sheet'!C92</f>
        <v>39029359392.765495</v>
      </c>
      <c r="D111" s="2">
        <f>D12/'Output-Calculation-sheet'!D11*'Output-Calculation-sheet'!D92</f>
        <v>-1.1651530906240447E-6</v>
      </c>
      <c r="E111" s="2">
        <f>E12/'Output-Calculation-sheet'!E11*'Output-Calculation-sheet'!E92</f>
        <v>3610609670.0334883</v>
      </c>
      <c r="F111" s="2">
        <f>F12/'Output-Calculation-sheet'!F11*'Output-Calculation-sheet'!F92</f>
        <v>-2.5596401710768079E-7</v>
      </c>
      <c r="G111" s="2">
        <f>G12/'Output-Calculation-sheet'!G11*'Output-Calculation-sheet'!G92</f>
        <v>0</v>
      </c>
      <c r="H111" s="2">
        <f>H12/'Output-Calculation-sheet'!H11*'Output-Calculation-sheet'!H92</f>
        <v>16223320150.440212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1756835210.2224939</v>
      </c>
      <c r="M111" s="2">
        <f>M12/'Output-Calculation-sheet'!M11*'Output-Calculation-sheet'!M92</f>
        <v>11560769338.857433</v>
      </c>
      <c r="N111" s="2">
        <f>N12/'Output-Calculation-sheet'!N11*'Output-Calculation-sheet'!N92</f>
        <v>8139423666.7112198</v>
      </c>
      <c r="O111" s="2">
        <f>O12/'Output-Calculation-sheet'!O11*'Output-Calculation-sheet'!O92</f>
        <v>5897601822.590827</v>
      </c>
      <c r="P111" s="2">
        <f>P12/'Output-Calculation-sheet'!P11*'Output-Calculation-sheet'!P92</f>
        <v>349751102.38323414</v>
      </c>
      <c r="Q111" s="2">
        <f>Q12/'Output-Calculation-sheet'!Q11*'Output-Calculation-sheet'!Q92</f>
        <v>1546847964.0632405</v>
      </c>
      <c r="R111" s="2">
        <f>R12/'Output-Calculation-sheet'!R11*'Output-Calculation-sheet'!R92</f>
        <v>0</v>
      </c>
      <c r="S111" s="2">
        <f>S12/'Output-Calculation-sheet'!S11*'Output-Calculation-sheet'!S92</f>
        <v>3888403006.7722592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1130055441.2402353</v>
      </c>
      <c r="Y111" s="2">
        <f>Y12/'Output-Calculation-sheet'!Y11*'Output-Calculation-sheet'!Y92</f>
        <v>76524207.764787138</v>
      </c>
      <c r="AA111" s="2">
        <f t="shared" si="9"/>
        <v>137725.44492203419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46489481731.77224</v>
      </c>
      <c r="C118" s="2">
        <f>C8/'Output-Calculation-sheet'!C7*'Output-Calculation-sheet'!C97</f>
        <v>0</v>
      </c>
      <c r="D118" s="2">
        <f>D8/'Output-Calculation-sheet'!D7*'Output-Calculation-sheet'!D97</f>
        <v>20101172177.436607</v>
      </c>
      <c r="E118" s="2">
        <f>E8/'Output-Calculation-sheet'!E7*'Output-Calculation-sheet'!E97</f>
        <v>15948240320.197941</v>
      </c>
      <c r="F118" s="2">
        <f>F8/'Output-Calculation-sheet'!F7*'Output-Calculation-sheet'!F97</f>
        <v>10266454591.175076</v>
      </c>
      <c r="G118" s="2">
        <f>G8/'Output-Calculation-sheet'!G7*'Output-Calculation-sheet'!G97</f>
        <v>7213492751.0009565</v>
      </c>
      <c r="H118" s="2">
        <f>H8/'Output-Calculation-sheet'!H7*'Output-Calculation-sheet'!H97</f>
        <v>0</v>
      </c>
      <c r="I118" s="2">
        <f>I8/'Output-Calculation-sheet'!I7*'Output-Calculation-sheet'!I97</f>
        <v>6572059722.1218491</v>
      </c>
      <c r="J118" s="2">
        <f>J8/'Output-Calculation-sheet'!J7*'Output-Calculation-sheet'!J97</f>
        <v>6396790277.6193714</v>
      </c>
      <c r="K118" s="2">
        <f>K8/'Output-Calculation-sheet'!K7*'Output-Calculation-sheet'!K97</f>
        <v>6335464326.4169378</v>
      </c>
      <c r="L118" s="2">
        <f>L8/'Output-Calculation-sheet'!L7*'Output-Calculation-sheet'!L97</f>
        <v>5082391861.2465048</v>
      </c>
      <c r="M118" s="2">
        <f>M8/'Output-Calculation-sheet'!M7*'Output-Calculation-sheet'!M97</f>
        <v>0</v>
      </c>
      <c r="N118" s="2">
        <f>N8/'Output-Calculation-sheet'!N7*'Output-Calculation-sheet'!N97</f>
        <v>3144392889.1915302</v>
      </c>
      <c r="O118" s="2">
        <f>O8/'Output-Calculation-sheet'!O7*'Output-Calculation-sheet'!O97</f>
        <v>0</v>
      </c>
      <c r="P118" s="2">
        <f>P8/'Output-Calculation-sheet'!P7*'Output-Calculation-sheet'!P97</f>
        <v>4337559416.6004229</v>
      </c>
      <c r="Q118" s="2">
        <f>Q8/'Output-Calculation-sheet'!Q7*'Output-Calculation-sheet'!Q97</f>
        <v>4267456637.3667836</v>
      </c>
      <c r="R118" s="2">
        <f>R8/'Output-Calculation-sheet'!R7*'Output-Calculation-sheet'!R97</f>
        <v>4105489546.6515589</v>
      </c>
      <c r="S118" s="2">
        <f>S8/'Output-Calculation-sheet'!S7*'Output-Calculation-sheet'!S97</f>
        <v>2241918360.436348</v>
      </c>
      <c r="T118" s="2">
        <f>T8/'Output-Calculation-sheet'!T7*'Output-Calculation-sheet'!T97</f>
        <v>1509142950.2654731</v>
      </c>
      <c r="U118" s="2">
        <f>U8/'Output-Calculation-sheet'!U7*'Output-Calculation-sheet'!U97</f>
        <v>1314411686.3472242</v>
      </c>
      <c r="V118" s="2">
        <f>V8/'Output-Calculation-sheet'!V7*'Output-Calculation-sheet'!V97</f>
        <v>1012123684.4465423</v>
      </c>
      <c r="W118" s="2">
        <f>W8/'Output-Calculation-sheet'!W7*'Output-Calculation-sheet'!W97</f>
        <v>876274457.29644442</v>
      </c>
      <c r="X118" s="2">
        <f>X8/'Output-Calculation-sheet'!X7*'Output-Calculation-sheet'!X97</f>
        <v>0</v>
      </c>
      <c r="Y118" s="2">
        <f>Y8/'Output-Calculation-sheet'!Y7*'Output-Calculation-sheet'!Y97</f>
        <v>511301088.17452019</v>
      </c>
      <c r="AA118" s="2">
        <f t="shared" si="10"/>
        <v>147725.61847576435</v>
      </c>
    </row>
    <row r="119" spans="1:27" x14ac:dyDescent="0.25">
      <c r="A119" s="2">
        <v>2032</v>
      </c>
      <c r="B119" s="2">
        <f>B9/'Output-Calculation-sheet'!B8*'Output-Calculation-sheet'!B98</f>
        <v>59486124592.883789</v>
      </c>
      <c r="C119" s="2">
        <f>C9/'Output-Calculation-sheet'!C8*'Output-Calculation-sheet'!C98</f>
        <v>0</v>
      </c>
      <c r="D119" s="2">
        <f>D9/'Output-Calculation-sheet'!D8*'Output-Calculation-sheet'!D98</f>
        <v>27576802008.268772</v>
      </c>
      <c r="E119" s="2">
        <f>E9/'Output-Calculation-sheet'!E8*'Output-Calculation-sheet'!E98</f>
        <v>21879388851.276031</v>
      </c>
      <c r="F119" s="2">
        <f>F9/'Output-Calculation-sheet'!F8*'Output-Calculation-sheet'!F98</f>
        <v>14084552098.487322</v>
      </c>
      <c r="G119" s="2">
        <f>G9/'Output-Calculation-sheet'!G8*'Output-Calculation-sheet'!G98</f>
        <v>9896192876.9406815</v>
      </c>
      <c r="H119" s="2">
        <f>H9/'Output-Calculation-sheet'!H8*'Output-Calculation-sheet'!H98</f>
        <v>2.0777329918144472E-7</v>
      </c>
      <c r="I119" s="2">
        <f>I9/'Output-Calculation-sheet'!I8*'Output-Calculation-sheet'!I98</f>
        <v>9016211389.0271797</v>
      </c>
      <c r="J119" s="2">
        <f>J9/'Output-Calculation-sheet'!J8*'Output-Calculation-sheet'!J98</f>
        <v>8775755759.6466217</v>
      </c>
      <c r="K119" s="2">
        <f>K9/'Output-Calculation-sheet'!K8*'Output-Calculation-sheet'!K98</f>
        <v>8691624058.5660763</v>
      </c>
      <c r="L119" s="2">
        <f>L9/'Output-Calculation-sheet'!L8*'Output-Calculation-sheet'!L98</f>
        <v>6972535465.6692038</v>
      </c>
      <c r="M119" s="2">
        <f>M9/'Output-Calculation-sheet'!M8*'Output-Calculation-sheet'!M98</f>
        <v>0</v>
      </c>
      <c r="N119" s="2">
        <f>N9/'Output-Calculation-sheet'!N8*'Output-Calculation-sheet'!N98</f>
        <v>3402666594.3893189</v>
      </c>
      <c r="O119" s="2">
        <f>O9/'Output-Calculation-sheet'!O8*'Output-Calculation-sheet'!O98</f>
        <v>0</v>
      </c>
      <c r="P119" s="2">
        <f>P9/'Output-Calculation-sheet'!P8*'Output-Calculation-sheet'!P98</f>
        <v>5950659293.7418604</v>
      </c>
      <c r="Q119" s="2">
        <f>Q9/'Output-Calculation-sheet'!Q8*'Output-Calculation-sheet'!Q98</f>
        <v>5854524574.5767851</v>
      </c>
      <c r="R119" s="2">
        <f>R9/'Output-Calculation-sheet'!R8*'Output-Calculation-sheet'!R98</f>
        <v>5632322345.2774706</v>
      </c>
      <c r="S119" s="2">
        <f>S9/'Output-Calculation-sheet'!S8*'Output-Calculation-sheet'!S98</f>
        <v>2810852643.6042686</v>
      </c>
      <c r="T119" s="2">
        <f>T9/'Output-Calculation-sheet'!T8*'Output-Calculation-sheet'!T98</f>
        <v>2070393181.4289355</v>
      </c>
      <c r="U119" s="2">
        <f>U9/'Output-Calculation-sheet'!U8*'Output-Calculation-sheet'!U98</f>
        <v>1803242072.9219604</v>
      </c>
      <c r="V119" s="2">
        <f>V9/'Output-Calculation-sheet'!V8*'Output-Calculation-sheet'!V98</f>
        <v>1388532461.2188203</v>
      </c>
      <c r="W119" s="2">
        <f>W9/'Output-Calculation-sheet'!W8*'Output-Calculation-sheet'!W98</f>
        <v>1202161193.0444379</v>
      </c>
      <c r="X119" s="2">
        <f>X9/'Output-Calculation-sheet'!X8*'Output-Calculation-sheet'!X98</f>
        <v>0</v>
      </c>
      <c r="Y119" s="2">
        <f>Y9/'Output-Calculation-sheet'!Y8*'Output-Calculation-sheet'!Y98</f>
        <v>701453843.47783148</v>
      </c>
      <c r="AA119" s="2">
        <f t="shared" si="10"/>
        <v>197195.99530444734</v>
      </c>
    </row>
    <row r="120" spans="1:27" x14ac:dyDescent="0.25">
      <c r="A120" s="2">
        <v>2033</v>
      </c>
      <c r="B120" s="2">
        <f>B10/'Output-Calculation-sheet'!B9*'Output-Calculation-sheet'!B99</f>
        <v>67626922517.33036</v>
      </c>
      <c r="C120" s="2">
        <f>C10/'Output-Calculation-sheet'!C9*'Output-Calculation-sheet'!C99</f>
        <v>0</v>
      </c>
      <c r="D120" s="2">
        <f>D10/'Output-Calculation-sheet'!D9*'Output-Calculation-sheet'!D99</f>
        <v>35547007889.720413</v>
      </c>
      <c r="E120" s="2">
        <f>E10/'Output-Calculation-sheet'!E9*'Output-Calculation-sheet'!E99</f>
        <v>28202939889.553925</v>
      </c>
      <c r="F120" s="2">
        <f>F10/'Output-Calculation-sheet'!F9*'Output-Calculation-sheet'!F99</f>
        <v>18155244459.606434</v>
      </c>
      <c r="G120" s="2">
        <f>G10/'Output-Calculation-sheet'!G9*'Output-Calculation-sheet'!G99</f>
        <v>12756373014.55512</v>
      </c>
      <c r="H120" s="2">
        <f>H10/'Output-Calculation-sheet'!H9*'Output-Calculation-sheet'!H99</f>
        <v>0</v>
      </c>
      <c r="I120" s="2">
        <f>I10/'Output-Calculation-sheet'!I9*'Output-Calculation-sheet'!I99</f>
        <v>11622061456.488907</v>
      </c>
      <c r="J120" s="2">
        <f>J10/'Output-Calculation-sheet'!J9*'Output-Calculation-sheet'!J99</f>
        <v>11312109730.895748</v>
      </c>
      <c r="K120" s="2">
        <f>K10/'Output-Calculation-sheet'!K9*'Output-Calculation-sheet'!K99</f>
        <v>11203663600.683218</v>
      </c>
      <c r="L120" s="2">
        <f>L10/'Output-Calculation-sheet'!L9*'Output-Calculation-sheet'!L99</f>
        <v>8987725786.9147129</v>
      </c>
      <c r="M120" s="2">
        <f>M10/'Output-Calculation-sheet'!M9*'Output-Calculation-sheet'!M99</f>
        <v>0</v>
      </c>
      <c r="N120" s="2">
        <f>N10/'Output-Calculation-sheet'!N9*'Output-Calculation-sheet'!N99</f>
        <v>3368310260.3449159</v>
      </c>
      <c r="O120" s="2">
        <f>O10/'Output-Calculation-sheet'!O9*'Output-Calculation-sheet'!O99</f>
        <v>0</v>
      </c>
      <c r="P120" s="2">
        <f>P10/'Output-Calculation-sheet'!P9*'Output-Calculation-sheet'!P99</f>
        <v>7670110124.2812796</v>
      </c>
      <c r="Q120" s="2">
        <f>Q10/'Output-Calculation-sheet'!Q9*'Output-Calculation-sheet'!Q99</f>
        <v>7381947680.6344843</v>
      </c>
      <c r="R120" s="2">
        <f>R10/'Output-Calculation-sheet'!R9*'Output-Calculation-sheet'!R99</f>
        <v>7259821949.091527</v>
      </c>
      <c r="S120" s="2">
        <f>S10/'Output-Calculation-sheet'!S9*'Output-Calculation-sheet'!S99</f>
        <v>2792401950.3055758</v>
      </c>
      <c r="T120" s="2">
        <f>T10/'Output-Calculation-sheet'!T9*'Output-Calculation-sheet'!T99</f>
        <v>2668751737.7602267</v>
      </c>
      <c r="U120" s="2">
        <f>U10/'Output-Calculation-sheet'!U9*'Output-Calculation-sheet'!U99</f>
        <v>2324917210.4079356</v>
      </c>
      <c r="V120" s="2">
        <f>V10/'Output-Calculation-sheet'!V9*'Output-Calculation-sheet'!V99</f>
        <v>1789843839.7295663</v>
      </c>
      <c r="W120" s="2">
        <f>W10/'Output-Calculation-sheet'!W9*'Output-Calculation-sheet'!W99</f>
        <v>1549608096.5424294</v>
      </c>
      <c r="X120" s="2">
        <f>X10/'Output-Calculation-sheet'!X9*'Output-Calculation-sheet'!X99</f>
        <v>0</v>
      </c>
      <c r="Y120" s="2">
        <f>Y10/'Output-Calculation-sheet'!Y9*'Output-Calculation-sheet'!Y99</f>
        <v>904188198.38041711</v>
      </c>
      <c r="AA120" s="2">
        <f t="shared" si="10"/>
        <v>243123.9493932272</v>
      </c>
    </row>
    <row r="121" spans="1:27" x14ac:dyDescent="0.25">
      <c r="A121" s="2">
        <v>2034</v>
      </c>
      <c r="B121" s="2">
        <f>B11/'Output-Calculation-sheet'!B10*'Output-Calculation-sheet'!B100</f>
        <v>63509874688.576935</v>
      </c>
      <c r="C121" s="2">
        <f>C11/'Output-Calculation-sheet'!C10*'Output-Calculation-sheet'!C100</f>
        <v>0</v>
      </c>
      <c r="D121" s="2">
        <f>D11/'Output-Calculation-sheet'!D10*'Output-Calculation-sheet'!D100</f>
        <v>43963216445.696831</v>
      </c>
      <c r="E121" s="2">
        <f>E11/'Output-Calculation-sheet'!E10*'Output-Calculation-sheet'!E100</f>
        <v>34015201077.053661</v>
      </c>
      <c r="F121" s="2">
        <f>F11/'Output-Calculation-sheet'!F10*'Output-Calculation-sheet'!F100</f>
        <v>22453904183.107807</v>
      </c>
      <c r="G121" s="2">
        <f>G11/'Output-Calculation-sheet'!G10*'Output-Calculation-sheet'!G100</f>
        <v>15775752673.52849</v>
      </c>
      <c r="H121" s="2">
        <f>H11/'Output-Calculation-sheet'!H10*'Output-Calculation-sheet'!H100</f>
        <v>0</v>
      </c>
      <c r="I121" s="2">
        <f>I11/'Output-Calculation-sheet'!I10*'Output-Calculation-sheet'!I100</f>
        <v>14373230983.122143</v>
      </c>
      <c r="J121" s="2">
        <f>J11/'Output-Calculation-sheet'!J10*'Output-Calculation-sheet'!J100</f>
        <v>13990046726.819853</v>
      </c>
      <c r="K121" s="2">
        <f>K11/'Output-Calculation-sheet'!K10*'Output-Calculation-sheet'!K100</f>
        <v>13856279880.021313</v>
      </c>
      <c r="L121" s="2">
        <f>L11/'Output-Calculation-sheet'!L10*'Output-Calculation-sheet'!L100</f>
        <v>10415370706.277346</v>
      </c>
      <c r="M121" s="2">
        <f>M11/'Output-Calculation-sheet'!M10*'Output-Calculation-sheet'!M100</f>
        <v>7.4413622655604368E-7</v>
      </c>
      <c r="N121" s="2">
        <f>N11/'Output-Calculation-sheet'!N10*'Output-Calculation-sheet'!N100</f>
        <v>3072588648.0514097</v>
      </c>
      <c r="O121" s="2">
        <f>O11/'Output-Calculation-sheet'!O10*'Output-Calculation-sheet'!O100</f>
        <v>0</v>
      </c>
      <c r="P121" s="2">
        <f>P11/'Output-Calculation-sheet'!P10*'Output-Calculation-sheet'!P100</f>
        <v>9485706675.2226429</v>
      </c>
      <c r="Q121" s="2">
        <f>Q11/'Output-Calculation-sheet'!Q10*'Output-Calculation-sheet'!Q100</f>
        <v>7860859513.5943851</v>
      </c>
      <c r="R121" s="2">
        <f>R11/'Output-Calculation-sheet'!R10*'Output-Calculation-sheet'!R100</f>
        <v>8978289976.9082355</v>
      </c>
      <c r="S121" s="2">
        <f>S11/'Output-Calculation-sheet'!S10*'Output-Calculation-sheet'!S100</f>
        <v>2370526844.0955777</v>
      </c>
      <c r="T121" s="2">
        <f>T11/'Output-Calculation-sheet'!T10*'Output-Calculation-sheet'!T100</f>
        <v>3300417121.2936959</v>
      </c>
      <c r="U121" s="2">
        <f>U11/'Output-Calculation-sheet'!U10*'Output-Calculation-sheet'!U100</f>
        <v>2781380129.8462729</v>
      </c>
      <c r="V121" s="2">
        <f>V11/'Output-Calculation-sheet'!V10*'Output-Calculation-sheet'!V100</f>
        <v>2214239316.890861</v>
      </c>
      <c r="W121" s="2">
        <f>W11/'Output-Calculation-sheet'!W10*'Output-Calculation-sheet'!W100</f>
        <v>1916554548.4294128</v>
      </c>
      <c r="X121" s="2">
        <f>X11/'Output-Calculation-sheet'!X10*'Output-Calculation-sheet'!X100</f>
        <v>73809274.59080179</v>
      </c>
      <c r="Y121" s="2">
        <f>Y11/'Output-Calculation-sheet'!Y10*'Output-Calculation-sheet'!Y100</f>
        <v>1072161011.0432653</v>
      </c>
      <c r="AA121" s="2">
        <f t="shared" si="10"/>
        <v>275479.41042417096</v>
      </c>
    </row>
    <row r="122" spans="1:27" x14ac:dyDescent="0.25">
      <c r="A122" s="2">
        <v>2035</v>
      </c>
      <c r="B122" s="2">
        <f>B12/'Output-Calculation-sheet'!B11*'Output-Calculation-sheet'!B101</f>
        <v>66690030309.500282</v>
      </c>
      <c r="C122" s="2">
        <f>C12/'Output-Calculation-sheet'!C11*'Output-Calculation-sheet'!C101</f>
        <v>0</v>
      </c>
      <c r="D122" s="2">
        <f>D12/'Output-Calculation-sheet'!D11*'Output-Calculation-sheet'!D101</f>
        <v>46668622771.445625</v>
      </c>
      <c r="E122" s="2">
        <f>E12/'Output-Calculation-sheet'!E11*'Output-Calculation-sheet'!E101</f>
        <v>36242421404.701195</v>
      </c>
      <c r="F122" s="2">
        <f>F12/'Output-Calculation-sheet'!F11*'Output-Calculation-sheet'!F101</f>
        <v>24690271536.551975</v>
      </c>
      <c r="G122" s="2">
        <f>G12/'Output-Calculation-sheet'!G11*'Output-Calculation-sheet'!G101</f>
        <v>16729581970.086994</v>
      </c>
      <c r="H122" s="2">
        <f>H12/'Output-Calculation-sheet'!H11*'Output-Calculation-sheet'!H101</f>
        <v>0</v>
      </c>
      <c r="I122" s="2">
        <f>I12/'Output-Calculation-sheet'!I11*'Output-Calculation-sheet'!I101</f>
        <v>15350703255.699202</v>
      </c>
      <c r="J122" s="2">
        <f>J12/'Output-Calculation-sheet'!J11*'Output-Calculation-sheet'!J101</f>
        <v>15367461915.556654</v>
      </c>
      <c r="K122" s="2">
        <f>K12/'Output-Calculation-sheet'!K11*'Output-Calculation-sheet'!K101</f>
        <v>15087364189.989658</v>
      </c>
      <c r="L122" s="2">
        <f>L12/'Output-Calculation-sheet'!L11*'Output-Calculation-sheet'!L101</f>
        <v>10929814540.626448</v>
      </c>
      <c r="M122" s="2">
        <f>M12/'Output-Calculation-sheet'!M11*'Output-Calculation-sheet'!M101</f>
        <v>0</v>
      </c>
      <c r="N122" s="2">
        <f>N12/'Output-Calculation-sheet'!N11*'Output-Calculation-sheet'!N101</f>
        <v>3182440876.0925274</v>
      </c>
      <c r="O122" s="2">
        <f>O12/'Output-Calculation-sheet'!O11*'Output-Calculation-sheet'!O101</f>
        <v>0</v>
      </c>
      <c r="P122" s="2">
        <f>P12/'Output-Calculation-sheet'!P11*'Output-Calculation-sheet'!P101</f>
        <v>10145643703.483957</v>
      </c>
      <c r="Q122" s="2">
        <f>Q12/'Output-Calculation-sheet'!Q11*'Output-Calculation-sheet'!Q101</f>
        <v>8202231422.3579931</v>
      </c>
      <c r="R122" s="2">
        <f>R12/'Output-Calculation-sheet'!R11*'Output-Calculation-sheet'!R101</f>
        <v>10049290044.023584</v>
      </c>
      <c r="S122" s="2">
        <f>S12/'Output-Calculation-sheet'!S11*'Output-Calculation-sheet'!S101</f>
        <v>2403768865.7361937</v>
      </c>
      <c r="T122" s="2">
        <f>T12/'Output-Calculation-sheet'!T11*'Output-Calculation-sheet'!T101</f>
        <v>3750054408.2132978</v>
      </c>
      <c r="U122" s="2">
        <f>U12/'Output-Calculation-sheet'!U11*'Output-Calculation-sheet'!U101</f>
        <v>2961761473.9778318</v>
      </c>
      <c r="V122" s="2">
        <f>V12/'Output-Calculation-sheet'!V11*'Output-Calculation-sheet'!V101</f>
        <v>2579006746.144516</v>
      </c>
      <c r="W122" s="2">
        <f>W12/'Output-Calculation-sheet'!W11*'Output-Calculation-sheet'!W101</f>
        <v>2173518348.6032767</v>
      </c>
      <c r="X122" s="2">
        <f>X12/'Output-Calculation-sheet'!X11*'Output-Calculation-sheet'!X101</f>
        <v>76635590.130891383</v>
      </c>
      <c r="Y122" s="2">
        <f>Y12/'Output-Calculation-sheet'!Y11*'Output-Calculation-sheet'!Y101</f>
        <v>1148147323.1053638</v>
      </c>
      <c r="AA122" s="2">
        <f t="shared" si="10"/>
        <v>294428.77069602744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47858621600.695717</v>
      </c>
      <c r="C129" s="2">
        <f>C8/'Output-Calculation-sheet'!C7*'Output-Calculation-sheet'!C106</f>
        <v>28050817741.506592</v>
      </c>
      <c r="D129" s="2">
        <f>D8/'Output-Calculation-sheet'!D7*'Output-Calculation-sheet'!D106</f>
        <v>20101172177.436607</v>
      </c>
      <c r="E129" s="2">
        <f>E8/'Output-Calculation-sheet'!E7*'Output-Calculation-sheet'!E106</f>
        <v>15948240320.197941</v>
      </c>
      <c r="F129" s="2">
        <f>F8/'Output-Calculation-sheet'!F7*'Output-Calculation-sheet'!F106</f>
        <v>10266454591.175076</v>
      </c>
      <c r="G129" s="2">
        <f>G8/'Output-Calculation-sheet'!G7*'Output-Calculation-sheet'!G106</f>
        <v>7213492751.0009565</v>
      </c>
      <c r="H129" s="2">
        <f>H8/'Output-Calculation-sheet'!H7*'Output-Calculation-sheet'!H106</f>
        <v>7036485275.8184662</v>
      </c>
      <c r="I129" s="2">
        <f>I8/'Output-Calculation-sheet'!I7*'Output-Calculation-sheet'!I106</f>
        <v>6572059722.1218491</v>
      </c>
      <c r="J129" s="2">
        <f>J8/'Output-Calculation-sheet'!J7*'Output-Calculation-sheet'!J106</f>
        <v>6396790277.6193714</v>
      </c>
      <c r="K129" s="2">
        <f>K8/'Output-Calculation-sheet'!K7*'Output-Calculation-sheet'!K106</f>
        <v>6335464326.4169378</v>
      </c>
      <c r="L129" s="2">
        <f>L8/'Output-Calculation-sheet'!L7*'Output-Calculation-sheet'!L106</f>
        <v>5082391861.2465048</v>
      </c>
      <c r="M129" s="2">
        <f>M8/'Output-Calculation-sheet'!M7*'Output-Calculation-sheet'!M106</f>
        <v>4854561448.0740156</v>
      </c>
      <c r="N129" s="2">
        <f>N8/'Output-Calculation-sheet'!N7*'Output-Calculation-sheet'!N106</f>
        <v>4764738964.0931482</v>
      </c>
      <c r="O129" s="2">
        <f>O8/'Output-Calculation-sheet'!O7*'Output-Calculation-sheet'!O106</f>
        <v>6111161538.1131086</v>
      </c>
      <c r="P129" s="2">
        <f>P8/'Output-Calculation-sheet'!P7*'Output-Calculation-sheet'!P106</f>
        <v>4337559416.6004229</v>
      </c>
      <c r="Q129" s="2">
        <f>Q8/'Output-Calculation-sheet'!Q7*'Output-Calculation-sheet'!Q106</f>
        <v>4267456637.3667836</v>
      </c>
      <c r="R129" s="2">
        <f>R8/'Output-Calculation-sheet'!R7*'Output-Calculation-sheet'!R106</f>
        <v>4105489546.6515589</v>
      </c>
      <c r="S129" s="2">
        <f>S8/'Output-Calculation-sheet'!S7*'Output-Calculation-sheet'!S106</f>
        <v>2728718667.4148355</v>
      </c>
      <c r="T129" s="2">
        <f>T8/'Output-Calculation-sheet'!T7*'Output-Calculation-sheet'!T106</f>
        <v>1509142950.2654731</v>
      </c>
      <c r="U129" s="2">
        <f>U8/'Output-Calculation-sheet'!U7*'Output-Calculation-sheet'!U106</f>
        <v>1314411686.3472242</v>
      </c>
      <c r="V129" s="2">
        <f>V8/'Output-Calculation-sheet'!V7*'Output-Calculation-sheet'!V106</f>
        <v>1012123684.4465423</v>
      </c>
      <c r="W129" s="2">
        <f>W8/'Output-Calculation-sheet'!W7*'Output-Calculation-sheet'!W106</f>
        <v>876274457.29644442</v>
      </c>
      <c r="X129" s="2">
        <f>X8/'Output-Calculation-sheet'!X7*'Output-Calculation-sheet'!X106</f>
        <v>525764777.76974863</v>
      </c>
      <c r="Y129" s="2">
        <f>Y8/'Output-Calculation-sheet'!Y7*'Output-Calculation-sheet'!Y106</f>
        <v>511301088.17452019</v>
      </c>
      <c r="AA129" s="2">
        <f t="shared" si="11"/>
        <v>197780.69550784983</v>
      </c>
    </row>
    <row r="130" spans="1:27" x14ac:dyDescent="0.25">
      <c r="A130" s="2">
        <v>2032</v>
      </c>
      <c r="B130" s="2">
        <f>B9/'Output-Calculation-sheet'!B8*'Output-Calculation-sheet'!B107</f>
        <v>39394353400.679886</v>
      </c>
      <c r="C130" s="2">
        <f>C9/'Output-Calculation-sheet'!C8*'Output-Calculation-sheet'!C107</f>
        <v>29625616716.164967</v>
      </c>
      <c r="D130" s="2">
        <f>D9/'Output-Calculation-sheet'!D8*'Output-Calculation-sheet'!D107</f>
        <v>16546077755.865927</v>
      </c>
      <c r="E130" s="2">
        <f>E9/'Output-Calculation-sheet'!E8*'Output-Calculation-sheet'!E107</f>
        <v>13127631940.210215</v>
      </c>
      <c r="F130" s="2">
        <f>F9/'Output-Calculation-sheet'!F8*'Output-Calculation-sheet'!F107</f>
        <v>8450732121.0777578</v>
      </c>
      <c r="G130" s="2">
        <f>G9/'Output-Calculation-sheet'!G8*'Output-Calculation-sheet'!G107</f>
        <v>5937716344.79671</v>
      </c>
      <c r="H130" s="2">
        <f>H9/'Output-Calculation-sheet'!H8*'Output-Calculation-sheet'!H107</f>
        <v>5792012855.8884926</v>
      </c>
      <c r="I130" s="2">
        <f>I9/'Output-Calculation-sheet'!I8*'Output-Calculation-sheet'!I107</f>
        <v>5409726276.9934883</v>
      </c>
      <c r="J130" s="2">
        <f>J9/'Output-Calculation-sheet'!J8*'Output-Calculation-sheet'!J107</f>
        <v>5265452905.1120644</v>
      </c>
      <c r="K130" s="2">
        <f>K9/'Output-Calculation-sheet'!K8*'Output-Calculation-sheet'!K107</f>
        <v>5214974435.1396456</v>
      </c>
      <c r="L130" s="2">
        <f>L9/'Output-Calculation-sheet'!L8*'Output-Calculation-sheet'!L107</f>
        <v>4183520844.5518951</v>
      </c>
      <c r="M130" s="2">
        <f>M9/'Output-Calculation-sheet'!M8*'Output-Calculation-sheet'!M107</f>
        <v>3995984993.766623</v>
      </c>
      <c r="N130" s="2">
        <f>N9/'Output-Calculation-sheet'!N8*'Output-Calculation-sheet'!N107</f>
        <v>3922045958.8566265</v>
      </c>
      <c r="O130" s="2">
        <f>O9/'Output-Calculation-sheet'!O8*'Output-Calculation-sheet'!O107</f>
        <v>6451365171.2331419</v>
      </c>
      <c r="P130" s="2">
        <f>P9/'Output-Calculation-sheet'!P8*'Output-Calculation-sheet'!P107</f>
        <v>3570418415.7443523</v>
      </c>
      <c r="Q130" s="2">
        <f>Q9/'Output-Calculation-sheet'!Q8*'Output-Calculation-sheet'!Q107</f>
        <v>3512715810.0398879</v>
      </c>
      <c r="R130" s="2">
        <f>R9/'Output-Calculation-sheet'!R8*'Output-Calculation-sheet'!R107</f>
        <v>3379393759.3123012</v>
      </c>
      <c r="S130" s="2">
        <f>S9/'Output-Calculation-sheet'!S8*'Output-Calculation-sheet'!S107</f>
        <v>2246117916.2195573</v>
      </c>
      <c r="T130" s="2">
        <f>T9/'Output-Calculation-sheet'!T8*'Output-Calculation-sheet'!T107</f>
        <v>1242236169.4205215</v>
      </c>
      <c r="U130" s="2">
        <f>U9/'Output-Calculation-sheet'!U8*'Output-Calculation-sheet'!U107</f>
        <v>1081944903.8593578</v>
      </c>
      <c r="V130" s="2">
        <f>V9/'Output-Calculation-sheet'!V8*'Output-Calculation-sheet'!V107</f>
        <v>833119214.64233172</v>
      </c>
      <c r="W130" s="2">
        <f>W9/'Output-Calculation-sheet'!W8*'Output-Calculation-sheet'!W107</f>
        <v>721296791.47643936</v>
      </c>
      <c r="X130" s="2">
        <f>X9/'Output-Calculation-sheet'!X8*'Output-Calculation-sheet'!X107</f>
        <v>432777989.9697184</v>
      </c>
      <c r="Y130" s="2">
        <f>Y9/'Output-Calculation-sheet'!Y8*'Output-Calculation-sheet'!Y107</f>
        <v>420872349.74219197</v>
      </c>
      <c r="AA130" s="2">
        <f t="shared" si="11"/>
        <v>170758.10504076406</v>
      </c>
    </row>
    <row r="131" spans="1:27" x14ac:dyDescent="0.25">
      <c r="A131" s="2">
        <v>2033</v>
      </c>
      <c r="B131" s="2">
        <f>B10/'Output-Calculation-sheet'!B9*'Output-Calculation-sheet'!B108</f>
        <v>28211144889.609669</v>
      </c>
      <c r="C131" s="2">
        <f>C10/'Output-Calculation-sheet'!C9*'Output-Calculation-sheet'!C108</f>
        <v>29520912114.162815</v>
      </c>
      <c r="D131" s="2">
        <f>D10/'Output-Calculation-sheet'!D9*'Output-Calculation-sheet'!D108</f>
        <v>11849005717.370317</v>
      </c>
      <c r="E131" s="2">
        <f>E10/'Output-Calculation-sheet'!E9*'Output-Calculation-sheet'!E108</f>
        <v>9400979963.1846409</v>
      </c>
      <c r="F131" s="2">
        <f>F10/'Output-Calculation-sheet'!F9*'Output-Calculation-sheet'!F108</f>
        <v>6051748153.2021446</v>
      </c>
      <c r="G131" s="2">
        <f>G10/'Output-Calculation-sheet'!G9*'Output-Calculation-sheet'!G108</f>
        <v>4252124338.1850405</v>
      </c>
      <c r="H131" s="2">
        <f>H10/'Output-Calculation-sheet'!H9*'Output-Calculation-sheet'!H108</f>
        <v>4147784066.5240321</v>
      </c>
      <c r="I131" s="2">
        <f>I10/'Output-Calculation-sheet'!I9*'Output-Calculation-sheet'!I108</f>
        <v>3874021481.6619554</v>
      </c>
      <c r="J131" s="2">
        <f>J10/'Output-Calculation-sheet'!J9*'Output-Calculation-sheet'!J108</f>
        <v>3770704229.5088544</v>
      </c>
      <c r="K131" s="2">
        <f>K10/'Output-Calculation-sheet'!K9*'Output-Calculation-sheet'!K108</f>
        <v>3734554533.5610728</v>
      </c>
      <c r="L131" s="2">
        <f>L10/'Output-Calculation-sheet'!L9*'Output-Calculation-sheet'!L108</f>
        <v>2995909374.1509929</v>
      </c>
      <c r="M131" s="2">
        <f>M10/'Output-Calculation-sheet'!M9*'Output-Calculation-sheet'!M108</f>
        <v>2861609430.7027602</v>
      </c>
      <c r="N131" s="2">
        <f>N10/'Output-Calculation-sheet'!N9*'Output-Calculation-sheet'!N108</f>
        <v>2808660847.460259</v>
      </c>
      <c r="O131" s="2">
        <f>O10/'Output-Calculation-sheet'!O9*'Output-Calculation-sheet'!O108</f>
        <v>6651645631.3078632</v>
      </c>
      <c r="P131" s="2">
        <f>P10/'Output-Calculation-sheet'!P9*'Output-Calculation-sheet'!P108</f>
        <v>2556854197.1756639</v>
      </c>
      <c r="Q131" s="2">
        <f>Q10/'Output-Calculation-sheet'!Q9*'Output-Calculation-sheet'!Q108</f>
        <v>2515530788.6269317</v>
      </c>
      <c r="R131" s="2">
        <f>R10/'Output-Calculation-sheet'!R9*'Output-Calculation-sheet'!R108</f>
        <v>2420055391.2054586</v>
      </c>
      <c r="S131" s="2">
        <f>S10/'Output-Calculation-sheet'!S9*'Output-Calculation-sheet'!S108</f>
        <v>1608493410.7266078</v>
      </c>
      <c r="T131" s="2">
        <f>T10/'Output-Calculation-sheet'!T9*'Output-Calculation-sheet'!T108</f>
        <v>889591376.38042784</v>
      </c>
      <c r="U131" s="2">
        <f>U10/'Output-Calculation-sheet'!U9*'Output-Calculation-sheet'!U108</f>
        <v>774803845.35443377</v>
      </c>
      <c r="V131" s="2">
        <f>V10/'Output-Calculation-sheet'!V9*'Output-Calculation-sheet'!V108</f>
        <v>596614456.8369385</v>
      </c>
      <c r="W131" s="2">
        <f>W10/'Output-Calculation-sheet'!W9*'Output-Calculation-sheet'!W108</f>
        <v>516535896.7447592</v>
      </c>
      <c r="X131" s="2">
        <f>X10/'Output-Calculation-sheet'!X9*'Output-Calculation-sheet'!X108</f>
        <v>309921477.50850689</v>
      </c>
      <c r="Y131" s="2">
        <f>Y10/'Output-Calculation-sheet'!Y9*'Output-Calculation-sheet'!Y108</f>
        <v>301395597.18734604</v>
      </c>
      <c r="AA131" s="2">
        <f t="shared" si="11"/>
        <v>132620.60120833953</v>
      </c>
    </row>
    <row r="132" spans="1:27" x14ac:dyDescent="0.25">
      <c r="A132" s="2">
        <v>2034</v>
      </c>
      <c r="B132" s="2">
        <f>B11/'Output-Calculation-sheet'!B10*'Output-Calculation-sheet'!B109</f>
        <v>14953067011.196468</v>
      </c>
      <c r="C132" s="2">
        <f>C11/'Output-Calculation-sheet'!C10*'Output-Calculation-sheet'!C109</f>
        <v>27648085373.633724</v>
      </c>
      <c r="D132" s="2">
        <f>D11/'Output-Calculation-sheet'!D10*'Output-Calculation-sheet'!D109</f>
        <v>6280460333.8623095</v>
      </c>
      <c r="E132" s="2">
        <f>E11/'Output-Calculation-sheet'!E10*'Output-Calculation-sheet'!E109</f>
        <v>4982907564.3971672</v>
      </c>
      <c r="F132" s="2">
        <f>F11/'Output-Calculation-sheet'!F10*'Output-Calculation-sheet'!F109</f>
        <v>3207676409.1094022</v>
      </c>
      <c r="G132" s="2">
        <f>G11/'Output-Calculation-sheet'!G10*'Output-Calculation-sheet'!G109</f>
        <v>2253801829.5682178</v>
      </c>
      <c r="H132" s="2">
        <f>H11/'Output-Calculation-sheet'!H10*'Output-Calculation-sheet'!H109</f>
        <v>2670837548.5566812</v>
      </c>
      <c r="I132" s="2">
        <f>I11/'Output-Calculation-sheet'!I10*'Output-Calculation-sheet'!I109</f>
        <v>2053390717.2066269</v>
      </c>
      <c r="J132" s="2">
        <f>J11/'Output-Calculation-sheet'!J10*'Output-Calculation-sheet'!J109</f>
        <v>1998628627.4818265</v>
      </c>
      <c r="K132" s="2">
        <f>K11/'Output-Calculation-sheet'!K10*'Output-Calculation-sheet'!K109</f>
        <v>1979468420.8445594</v>
      </c>
      <c r="L132" s="2">
        <f>L11/'Output-Calculation-sheet'!L10*'Output-Calculation-sheet'!L109</f>
        <v>1587955427.3716416</v>
      </c>
      <c r="M132" s="2">
        <f>M11/'Output-Calculation-sheet'!M10*'Output-Calculation-sheet'!M109</f>
        <v>1516771159.4365194</v>
      </c>
      <c r="N132" s="2">
        <f>N11/'Output-Calculation-sheet'!N10*'Output-Calculation-sheet'!N109</f>
        <v>1488706685.4890332</v>
      </c>
      <c r="O132" s="2">
        <f>O11/'Output-Calculation-sheet'!O10*'Output-Calculation-sheet'!O109</f>
        <v>6561753067.6993284</v>
      </c>
      <c r="P132" s="2">
        <f>P11/'Output-Calculation-sheet'!P10*'Output-Calculation-sheet'!P109</f>
        <v>1355237875.4000838</v>
      </c>
      <c r="Q132" s="2">
        <f>Q11/'Output-Calculation-sheet'!Q10*'Output-Calculation-sheet'!Q109</f>
        <v>1669061671.8121657</v>
      </c>
      <c r="R132" s="2">
        <f>R11/'Output-Calculation-sheet'!R10*'Output-Calculation-sheet'!R109</f>
        <v>1282729486.4152443</v>
      </c>
      <c r="S132" s="2">
        <f>S11/'Output-Calculation-sheet'!S10*'Output-Calculation-sheet'!S109</f>
        <v>852567793.08494222</v>
      </c>
      <c r="T132" s="2">
        <f>T11/'Output-Calculation-sheet'!T10*'Output-Calculation-sheet'!T109</f>
        <v>471520310.71494532</v>
      </c>
      <c r="U132" s="2">
        <f>U11/'Output-Calculation-sheet'!U10*'Output-Calculation-sheet'!U109</f>
        <v>518625567.3365736</v>
      </c>
      <c r="V132" s="2">
        <f>V11/'Output-Calculation-sheet'!V10*'Output-Calculation-sheet'!V109</f>
        <v>316230347.1827783</v>
      </c>
      <c r="W132" s="2">
        <f>W11/'Output-Calculation-sheet'!W10*'Output-Calculation-sheet'!W109</f>
        <v>273785397.07252169</v>
      </c>
      <c r="X132" s="2">
        <f>X11/'Output-Calculation-sheet'!X10*'Output-Calculation-sheet'!X109</f>
        <v>217397409.76642111</v>
      </c>
      <c r="Y132" s="2">
        <f>Y11/'Output-Calculation-sheet'!Y10*'Output-Calculation-sheet'!Y109</f>
        <v>159752161.40429583</v>
      </c>
      <c r="AA132" s="2">
        <f t="shared" si="11"/>
        <v>86300.418196043494</v>
      </c>
    </row>
    <row r="133" spans="1:27" x14ac:dyDescent="0.25">
      <c r="A133" s="2">
        <v>2035</v>
      </c>
      <c r="B133" s="2">
        <f>B12/'Output-Calculation-sheet'!B11*'Output-Calculation-sheet'!B110</f>
        <v>16782306430.221539</v>
      </c>
      <c r="C133" s="2">
        <f>C12/'Output-Calculation-sheet'!C11*'Output-Calculation-sheet'!C110</f>
        <v>21634493632.496792</v>
      </c>
      <c r="D133" s="2">
        <f>D12/'Output-Calculation-sheet'!D11*'Output-Calculation-sheet'!D110</f>
        <v>6381679130.8951826</v>
      </c>
      <c r="E133" s="2">
        <f>E12/'Output-Calculation-sheet'!E11*'Output-Calculation-sheet'!E110</f>
        <v>3149878686.4158721</v>
      </c>
      <c r="F133" s="2">
        <f>F12/'Output-Calculation-sheet'!F11*'Output-Calculation-sheet'!F110</f>
        <v>2579919587.1959267</v>
      </c>
      <c r="G133" s="2">
        <f>G12/'Output-Calculation-sheet'!G11*'Output-Calculation-sheet'!G110</f>
        <v>2434808424.0974674</v>
      </c>
      <c r="H133" s="2">
        <f>H12/'Output-Calculation-sheet'!H11*'Output-Calculation-sheet'!H110</f>
        <v>2656708763.4845109</v>
      </c>
      <c r="I133" s="2">
        <f>I12/'Output-Calculation-sheet'!I11*'Output-Calculation-sheet'!I110</f>
        <v>2089762919.3520091</v>
      </c>
      <c r="J133" s="2">
        <f>J12/'Output-Calculation-sheet'!J11*'Output-Calculation-sheet'!J110</f>
        <v>1520574287.0473008</v>
      </c>
      <c r="K133" s="2">
        <f>K12/'Output-Calculation-sheet'!K11*'Output-Calculation-sheet'!K110</f>
        <v>1677338819.8945541</v>
      </c>
      <c r="L133" s="2">
        <f>L12/'Output-Calculation-sheet'!L11*'Output-Calculation-sheet'!L110</f>
        <v>733737393.12300396</v>
      </c>
      <c r="M133" s="2">
        <f>M12/'Output-Calculation-sheet'!M11*'Output-Calculation-sheet'!M110</f>
        <v>1461332672.7528157</v>
      </c>
      <c r="N133" s="2">
        <f>N12/'Output-Calculation-sheet'!N11*'Output-Calculation-sheet'!N110</f>
        <v>1328395517.8625567</v>
      </c>
      <c r="O133" s="2">
        <f>O12/'Output-Calculation-sheet'!O11*'Output-Calculation-sheet'!O110</f>
        <v>5863616224.8286886</v>
      </c>
      <c r="P133" s="2">
        <f>P12/'Output-Calculation-sheet'!P11*'Output-Calculation-sheet'!P110</f>
        <v>1123267767.6561799</v>
      </c>
      <c r="Q133" s="2">
        <f>Q12/'Output-Calculation-sheet'!Q11*'Output-Calculation-sheet'!Q110</f>
        <v>1614359743.0761704</v>
      </c>
      <c r="R133" s="2">
        <f>R12/'Output-Calculation-sheet'!R11*'Output-Calculation-sheet'!R110</f>
        <v>844352805.48982143</v>
      </c>
      <c r="S133" s="2">
        <f>S12/'Output-Calculation-sheet'!S11*'Output-Calculation-sheet'!S110</f>
        <v>982041339.22963941</v>
      </c>
      <c r="T133" s="2">
        <f>T12/'Output-Calculation-sheet'!T11*'Output-Calculation-sheet'!T110</f>
        <v>235103161.7297301</v>
      </c>
      <c r="U133" s="2">
        <f>U12/'Output-Calculation-sheet'!U11*'Output-Calculation-sheet'!U110</f>
        <v>544114126.80760598</v>
      </c>
      <c r="V133" s="2">
        <f>V12/'Output-Calculation-sheet'!V11*'Output-Calculation-sheet'!V110</f>
        <v>81364865.516423866</v>
      </c>
      <c r="W133" s="2">
        <f>W12/'Output-Calculation-sheet'!W11*'Output-Calculation-sheet'!W110</f>
        <v>162995658.98096651</v>
      </c>
      <c r="X133" s="2">
        <f>X12/'Output-Calculation-sheet'!X11*'Output-Calculation-sheet'!X110</f>
        <v>226688661.65167484</v>
      </c>
      <c r="Y133" s="2">
        <f>Y12/'Output-Calculation-sheet'!Y11*'Output-Calculation-sheet'!Y110</f>
        <v>160067419.41249073</v>
      </c>
      <c r="AA133" s="2">
        <f t="shared" si="11"/>
        <v>76268.908039218921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1066.1365058506681</v>
      </c>
      <c r="C19" s="2">
        <f>C8/'Output-Calculation-sheet'!C7*'Output-Calculation-sheet'!C25</f>
        <v>12200.002148894382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4783.2700051458451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3322.9573678659094</v>
      </c>
      <c r="N19" s="2">
        <f>N8/'Output-Calculation-sheet'!N7*'Output-Calculation-sheet'!N25</f>
        <v>1137.9095872350333</v>
      </c>
      <c r="O19" s="2">
        <f>O8/'Output-Calculation-sheet'!O7*'Output-Calculation-sheet'!O25</f>
        <v>1875.5714229803568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406.02410396668296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371.69682015942811</v>
      </c>
      <c r="Y19" s="2">
        <f>Y8/'Output-Calculation-sheet'!Y7*'Output-Calculation-sheet'!Y25</f>
        <v>0</v>
      </c>
      <c r="AA19" s="2">
        <f t="shared" si="0"/>
        <v>25.163567962098305</v>
      </c>
    </row>
    <row r="20" spans="1:27" x14ac:dyDescent="0.25">
      <c r="A20" s="2">
        <v>2032</v>
      </c>
      <c r="B20" s="2">
        <f>B9/'Output-Calculation-sheet'!B8*'Output-Calculation-sheet'!B26</f>
        <v>6056.6425089982822</v>
      </c>
      <c r="C20" s="2">
        <f>C9/'Output-Calculation-sheet'!C8*'Output-Calculation-sheet'!C26</f>
        <v>14323.647017665764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6580.6607056722114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4578.6176633428713</v>
      </c>
      <c r="N20" s="2">
        <f>N9/'Output-Calculation-sheet'!N8*'Output-Calculation-sheet'!N26</f>
        <v>2066.2480277421473</v>
      </c>
      <c r="O20" s="2">
        <f>O9/'Output-Calculation-sheet'!O8*'Output-Calculation-sheet'!O26</f>
        <v>2269.3784461841601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747.09435466721436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512.23486262795711</v>
      </c>
      <c r="Y20" s="2">
        <f>Y9/'Output-Calculation-sheet'!Y8*'Output-Calculation-sheet'!Y26</f>
        <v>0</v>
      </c>
      <c r="AA20" s="2">
        <f t="shared" si="0"/>
        <v>37.134523586900606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17116.817128712333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8529.3024643904027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5923.6838698749843</v>
      </c>
      <c r="N21" s="2">
        <f>N10/'Output-Calculation-sheet'!N9*'Output-Calculation-sheet'!N27</f>
        <v>3240.1833349656608</v>
      </c>
      <c r="O21" s="2">
        <f>O10/'Output-Calculation-sheet'!O9*'Output-Calculation-sheet'!O27</f>
        <v>2627.6416551792463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1410.6362018532295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696.62491160195418</v>
      </c>
      <c r="Y21" s="2">
        <f>Y10/'Output-Calculation-sheet'!Y9*'Output-Calculation-sheet'!Y27</f>
        <v>0</v>
      </c>
      <c r="AA21" s="2">
        <f t="shared" si="0"/>
        <v>54.518524661661786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20960.05309598349</v>
      </c>
      <c r="D22" s="2">
        <f>D11/'Output-Calculation-sheet'!D10*'Output-Calculation-sheet'!D28</f>
        <v>0</v>
      </c>
      <c r="E22" s="2">
        <f>E11/'Output-Calculation-sheet'!E10*'Output-Calculation-sheet'!E28</f>
        <v>1548.6761141827844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11039.943579628383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907.97372369833124</v>
      </c>
      <c r="M22" s="2">
        <f>M11/'Output-Calculation-sheet'!M10*'Output-Calculation-sheet'!M28</f>
        <v>8253.4234138509164</v>
      </c>
      <c r="N22" s="2">
        <f>N11/'Output-Calculation-sheet'!N10*'Output-Calculation-sheet'!N28</f>
        <v>4749.8911489101065</v>
      </c>
      <c r="O22" s="2">
        <f>O11/'Output-Calculation-sheet'!O10*'Output-Calculation-sheet'!O28</f>
        <v>3155.9342739555127</v>
      </c>
      <c r="P22" s="2">
        <f>P11/'Output-Calculation-sheet'!P10*'Output-Calculation-sheet'!P28</f>
        <v>0</v>
      </c>
      <c r="Q22" s="2">
        <f>Q11/'Output-Calculation-sheet'!Q10*'Output-Calculation-sheet'!Q28</f>
        <v>1371.8775180240857</v>
      </c>
      <c r="R22" s="2">
        <f>R11/'Output-Calculation-sheet'!R10*'Output-Calculation-sheet'!R28</f>
        <v>0</v>
      </c>
      <c r="S22" s="2">
        <f>S11/'Output-Calculation-sheet'!S10*'Output-Calculation-sheet'!S28</f>
        <v>2408.8696834100037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794.89576920054799</v>
      </c>
      <c r="Y22" s="2">
        <f>Y11/'Output-Calculation-sheet'!Y10*'Output-Calculation-sheet'!Y28</f>
        <v>82.947378550464734</v>
      </c>
      <c r="AA22" s="2">
        <f t="shared" si="0"/>
        <v>85.09263531975121</v>
      </c>
    </row>
    <row r="23" spans="1:27" x14ac:dyDescent="0.25">
      <c r="A23" s="2">
        <v>2035</v>
      </c>
      <c r="B23" s="2">
        <f>B12/'Output-Calculation-sheet'!B11*'Output-Calculation-sheet'!B29</f>
        <v>32272.81842836495</v>
      </c>
      <c r="C23" s="2">
        <f>C12/'Output-Calculation-sheet'!C11*'Output-Calculation-sheet'!C29</f>
        <v>27420.258402334461</v>
      </c>
      <c r="D23" s="2">
        <f>D12/'Output-Calculation-sheet'!D11*'Output-Calculation-sheet'!D29</f>
        <v>0</v>
      </c>
      <c r="E23" s="2">
        <f>E12/'Output-Calculation-sheet'!E11*'Output-Calculation-sheet'!E29</f>
        <v>5428.7326484791811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11902.154666103828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1964.5099480202948</v>
      </c>
      <c r="M23" s="2">
        <f>M12/'Output-Calculation-sheet'!M11*'Output-Calculation-sheet'!M29</f>
        <v>9022.2766805179508</v>
      </c>
      <c r="N23" s="2">
        <f>N12/'Output-Calculation-sheet'!N11*'Output-Calculation-sheet'!N29</f>
        <v>5312.9647233829692</v>
      </c>
      <c r="O23" s="2">
        <f>O12/'Output-Calculation-sheet'!O11*'Output-Calculation-sheet'!O29</f>
        <v>4108.3287802711675</v>
      </c>
      <c r="P23" s="2">
        <f>P12/'Output-Calculation-sheet'!P11*'Output-Calculation-sheet'!P29</f>
        <v>626.99540263581923</v>
      </c>
      <c r="Q23" s="2">
        <f>Q12/'Output-Calculation-sheet'!Q11*'Output-Calculation-sheet'!Q29</f>
        <v>1676.7627284644327</v>
      </c>
      <c r="R23" s="2">
        <f>R12/'Output-Calculation-sheet'!R11*'Output-Calculation-sheet'!R29</f>
        <v>0</v>
      </c>
      <c r="S23" s="2">
        <f>S12/'Output-Calculation-sheet'!S11*'Output-Calculation-sheet'!S29</f>
        <v>2554.5192593521238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845.76625468615396</v>
      </c>
      <c r="Y23" s="2">
        <f>Y12/'Output-Calculation-sheet'!Y11*'Output-Calculation-sheet'!Y29</f>
        <v>119.37202602387272</v>
      </c>
      <c r="AA23" s="2">
        <f t="shared" si="0"/>
        <v>103.25545994863722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18582.412966417738</v>
      </c>
      <c r="C30" s="2">
        <f>C8/'Output-Calculation-sheet'!C7*'Output-Calculation-sheet'!C16</f>
        <v>0</v>
      </c>
      <c r="D30" s="2">
        <f>D8/'Output-Calculation-sheet'!D7*'Output-Calculation-sheet'!D16</f>
        <v>3129.0326904551193</v>
      </c>
      <c r="E30" s="2">
        <f>E8/'Output-Calculation-sheet'!E7*'Output-Calculation-sheet'!E16</f>
        <v>3366.6623912851305</v>
      </c>
      <c r="F30" s="2">
        <f>F8/'Output-Calculation-sheet'!F7*'Output-Calculation-sheet'!F16</f>
        <v>1698.499091330282</v>
      </c>
      <c r="G30" s="2">
        <f>G8/'Output-Calculation-sheet'!G7*'Output-Calculation-sheet'!G16</f>
        <v>1112.3151713403893</v>
      </c>
      <c r="H30" s="2">
        <f>H8/'Output-Calculation-sheet'!H7*'Output-Calculation-sheet'!H16</f>
        <v>0</v>
      </c>
      <c r="I30" s="2">
        <f>I8/'Output-Calculation-sheet'!I7*'Output-Calculation-sheet'!I16</f>
        <v>1084.3407436506907</v>
      </c>
      <c r="J30" s="2">
        <f>J8/'Output-Calculation-sheet'!J7*'Output-Calculation-sheet'!J16</f>
        <v>965.27176301849681</v>
      </c>
      <c r="K30" s="2">
        <f>K8/'Output-Calculation-sheet'!K7*'Output-Calculation-sheet'!K16</f>
        <v>1288.822305489459</v>
      </c>
      <c r="L30" s="2">
        <f>L8/'Output-Calculation-sheet'!L7*'Output-Calculation-sheet'!L16</f>
        <v>1088.6358351948872</v>
      </c>
      <c r="M30" s="2">
        <f>M8/'Output-Calculation-sheet'!M7*'Output-Calculation-sheet'!M16</f>
        <v>0</v>
      </c>
      <c r="N30" s="2">
        <f>N8/'Output-Calculation-sheet'!N7*'Output-Calculation-sheet'!N16</f>
        <v>1546.3154876619446</v>
      </c>
      <c r="O30" s="2">
        <f>O8/'Output-Calculation-sheet'!O7*'Output-Calculation-sheet'!O16</f>
        <v>0</v>
      </c>
      <c r="P30" s="2">
        <f>P8/'Output-Calculation-sheet'!P7*'Output-Calculation-sheet'!P16</f>
        <v>1389.7776216475288</v>
      </c>
      <c r="Q30" s="2">
        <f>Q8/'Output-Calculation-sheet'!Q7*'Output-Calculation-sheet'!Q16</f>
        <v>1528.2963960844288</v>
      </c>
      <c r="R30" s="2">
        <f>R8/'Output-Calculation-sheet'!R7*'Output-Calculation-sheet'!R16</f>
        <v>969.71070587878648</v>
      </c>
      <c r="S30" s="2">
        <f>S8/'Output-Calculation-sheet'!S7*'Output-Calculation-sheet'!S16</f>
        <v>975.24461930261305</v>
      </c>
      <c r="T30" s="2">
        <f>T8/'Output-Calculation-sheet'!T7*'Output-Calculation-sheet'!T16</f>
        <v>291.09321504972166</v>
      </c>
      <c r="U30" s="2">
        <f>U8/'Output-Calculation-sheet'!U7*'Output-Calculation-sheet'!U16</f>
        <v>290.57289330927642</v>
      </c>
      <c r="V30" s="2">
        <f>V8/'Output-Calculation-sheet'!V7*'Output-Calculation-sheet'!V16</f>
        <v>226.14735951590188</v>
      </c>
      <c r="W30" s="2">
        <f>W8/'Output-Calculation-sheet'!W7*'Output-Calculation-sheet'!W16</f>
        <v>137.16977420827521</v>
      </c>
      <c r="X30" s="2">
        <f>X8/'Output-Calculation-sheet'!X7*'Output-Calculation-sheet'!X16</f>
        <v>0</v>
      </c>
      <c r="Y30" s="2">
        <f>Y8/'Output-Calculation-sheet'!Y7*'Output-Calculation-sheet'!Y16</f>
        <v>116.09861939957794</v>
      </c>
      <c r="AA30" s="2">
        <f t="shared" si="1"/>
        <v>39.786419650240255</v>
      </c>
    </row>
    <row r="31" spans="1:27" x14ac:dyDescent="0.25">
      <c r="A31" s="2">
        <v>2032</v>
      </c>
      <c r="B31" s="2">
        <f>B9/'Output-Calculation-sheet'!B8*'Output-Calculation-sheet'!B17</f>
        <v>25645.825422024202</v>
      </c>
      <c r="C31" s="2">
        <f>C9/'Output-Calculation-sheet'!C8*'Output-Calculation-sheet'!C17</f>
        <v>0</v>
      </c>
      <c r="D31" s="2">
        <f>D9/'Output-Calculation-sheet'!D8*'Output-Calculation-sheet'!D17</f>
        <v>4301.1416437163252</v>
      </c>
      <c r="E31" s="2">
        <f>E9/'Output-Calculation-sheet'!E8*'Output-Calculation-sheet'!E17</f>
        <v>5055.4043448917073</v>
      </c>
      <c r="F31" s="2">
        <f>F9/'Output-Calculation-sheet'!F8*'Output-Calculation-sheet'!F17</f>
        <v>2334.7992305189059</v>
      </c>
      <c r="G31" s="2">
        <f>G9/'Output-Calculation-sheet'!G8*'Output-Calculation-sheet'!G17</f>
        <v>1529.0020221615491</v>
      </c>
      <c r="H31" s="2">
        <f>H9/'Output-Calculation-sheet'!H8*'Output-Calculation-sheet'!H17</f>
        <v>0</v>
      </c>
      <c r="I31" s="2">
        <f>I9/'Output-Calculation-sheet'!I8*'Output-Calculation-sheet'!I17</f>
        <v>1490.5550137869852</v>
      </c>
      <c r="J31" s="2">
        <f>J9/'Output-Calculation-sheet'!J8*'Output-Calculation-sheet'!J17</f>
        <v>1326.88126639794</v>
      </c>
      <c r="K31" s="2">
        <f>K9/'Output-Calculation-sheet'!K8*'Output-Calculation-sheet'!K17</f>
        <v>1889.1266172036653</v>
      </c>
      <c r="L31" s="2">
        <f>L9/'Output-Calculation-sheet'!L8*'Output-Calculation-sheet'!L17</f>
        <v>1611.0929044120194</v>
      </c>
      <c r="M31" s="2">
        <f>M9/'Output-Calculation-sheet'!M8*'Output-Calculation-sheet'!M17</f>
        <v>0</v>
      </c>
      <c r="N31" s="2">
        <f>N9/'Output-Calculation-sheet'!N8*'Output-Calculation-sheet'!N17</f>
        <v>1751.4227631635456</v>
      </c>
      <c r="O31" s="2">
        <f>O9/'Output-Calculation-sheet'!O8*'Output-Calculation-sheet'!O17</f>
        <v>0</v>
      </c>
      <c r="P31" s="2">
        <f>P9/'Output-Calculation-sheet'!P8*'Output-Calculation-sheet'!P17</f>
        <v>2173.7874892805353</v>
      </c>
      <c r="Q31" s="2">
        <f>Q9/'Output-Calculation-sheet'!Q8*'Output-Calculation-sheet'!Q17</f>
        <v>2317.4571845365513</v>
      </c>
      <c r="R31" s="2">
        <f>R9/'Output-Calculation-sheet'!R8*'Output-Calculation-sheet'!R17</f>
        <v>1516.2029663160447</v>
      </c>
      <c r="S31" s="2">
        <f>S9/'Output-Calculation-sheet'!S8*'Output-Calculation-sheet'!S17</f>
        <v>1309.2662113139929</v>
      </c>
      <c r="T31" s="2">
        <f>T9/'Output-Calculation-sheet'!T8*'Output-Calculation-sheet'!T17</f>
        <v>411.43275239948019</v>
      </c>
      <c r="U31" s="2">
        <f>U9/'Output-Calculation-sheet'!U8*'Output-Calculation-sheet'!U17</f>
        <v>472.86739791100109</v>
      </c>
      <c r="V31" s="2">
        <f>V9/'Output-Calculation-sheet'!V8*'Output-Calculation-sheet'!V17</f>
        <v>338.69248007853656</v>
      </c>
      <c r="W31" s="2">
        <f>W9/'Output-Calculation-sheet'!W8*'Output-Calculation-sheet'!W17</f>
        <v>188.55809486404564</v>
      </c>
      <c r="X31" s="2">
        <f>X9/'Output-Calculation-sheet'!X8*'Output-Calculation-sheet'!X17</f>
        <v>0</v>
      </c>
      <c r="Y31" s="2">
        <f>Y9/'Output-Calculation-sheet'!Y8*'Output-Calculation-sheet'!Y17</f>
        <v>182.18797123173701</v>
      </c>
      <c r="AA31" s="2">
        <f t="shared" si="1"/>
        <v>55.845703776208765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1823.5606139690362</v>
      </c>
      <c r="O32" s="2">
        <f>O10/'Output-Calculation-sheet'!O9*'Output-Calculation-sheet'!O18</f>
        <v>0</v>
      </c>
      <c r="P32" s="2">
        <f>P10/'Output-Calculation-sheet'!P9*'Output-Calculation-sheet'!P18</f>
        <v>2935.0969251813908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2107.3007326952425</v>
      </c>
      <c r="S32" s="2">
        <f>S10/'Output-Calculation-sheet'!S9*'Output-Calculation-sheet'!S18</f>
        <v>1379.2223791762897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680.27011068704587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71.882898000561553</v>
      </c>
    </row>
    <row r="33" spans="1:27" x14ac:dyDescent="0.25">
      <c r="A33" s="2">
        <v>2034</v>
      </c>
      <c r="B33" s="2">
        <f>B11/'Output-Calculation-sheet'!B10*'Output-Calculation-sheet'!B19</f>
        <v>30075.86609904356</v>
      </c>
      <c r="C33" s="2">
        <f>C11/'Output-Calculation-sheet'!C10*'Output-Calculation-sheet'!C19</f>
        <v>0</v>
      </c>
      <c r="D33" s="2">
        <f>D11/'Output-Calculation-sheet'!D10*'Output-Calculation-sheet'!D19</f>
        <v>8986.6796344764389</v>
      </c>
      <c r="E33" s="2">
        <f>E11/'Output-Calculation-sheet'!E10*'Output-Calculation-sheet'!E19</f>
        <v>11097.338200212736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3053.9356282186382</v>
      </c>
      <c r="H33" s="2">
        <f>H11/'Output-Calculation-sheet'!H10*'Output-Calculation-sheet'!H19</f>
        <v>0</v>
      </c>
      <c r="I33" s="2">
        <f>I11/'Output-Calculation-sheet'!I10*'Output-Calculation-sheet'!I19</f>
        <v>3336.9061433271149</v>
      </c>
      <c r="J33" s="2">
        <f>J11/'Output-Calculation-sheet'!J10*'Output-Calculation-sheet'!J19</f>
        <v>2818.0252904577796</v>
      </c>
      <c r="K33" s="2">
        <f>K11/'Output-Calculation-sheet'!K10*'Output-Calculation-sheet'!K19</f>
        <v>3909.777975635835</v>
      </c>
      <c r="L33" s="2">
        <f>L11/'Output-Calculation-sheet'!L10*'Output-Calculation-sheet'!L19</f>
        <v>3182.8733193144799</v>
      </c>
      <c r="M33" s="2">
        <f>M11/'Output-Calculation-sheet'!M10*'Output-Calculation-sheet'!M19</f>
        <v>0</v>
      </c>
      <c r="N33" s="2">
        <f>N11/'Output-Calculation-sheet'!N10*'Output-Calculation-sheet'!N19</f>
        <v>1797.8657758738816</v>
      </c>
      <c r="O33" s="2">
        <f>O11/'Output-Calculation-sheet'!O10*'Output-Calculation-sheet'!O19</f>
        <v>0</v>
      </c>
      <c r="P33" s="2">
        <f>P11/'Output-Calculation-sheet'!P10*'Output-Calculation-sheet'!P19</f>
        <v>3958.7994512687924</v>
      </c>
      <c r="Q33" s="2">
        <f>Q11/'Output-Calculation-sheet'!Q10*'Output-Calculation-sheet'!Q19</f>
        <v>3224.8728544839992</v>
      </c>
      <c r="R33" s="2">
        <f>R11/'Output-Calculation-sheet'!R10*'Output-Calculation-sheet'!R19</f>
        <v>2824.2970601161178</v>
      </c>
      <c r="S33" s="2">
        <f>S11/'Output-Calculation-sheet'!S10*'Output-Calculation-sheet'!S19</f>
        <v>1320.1252670345445</v>
      </c>
      <c r="T33" s="2">
        <f>T11/'Output-Calculation-sheet'!T10*'Output-Calculation-sheet'!T19</f>
        <v>828.78399075824007</v>
      </c>
      <c r="U33" s="2">
        <f>U11/'Output-Calculation-sheet'!U10*'Output-Calculation-sheet'!U19</f>
        <v>888.02426637087217</v>
      </c>
      <c r="V33" s="2">
        <f>V11/'Output-Calculation-sheet'!V10*'Output-Calculation-sheet'!V19</f>
        <v>649.89832577967354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104.68998045094943</v>
      </c>
      <c r="Y33" s="2">
        <f>Y11/'Output-Calculation-sheet'!Y10*'Output-Calculation-sheet'!Y19</f>
        <v>364.74152135386004</v>
      </c>
      <c r="AA33" s="2">
        <f t="shared" si="1"/>
        <v>87.92766120995816</v>
      </c>
    </row>
    <row r="34" spans="1:27" x14ac:dyDescent="0.25">
      <c r="A34" s="2">
        <v>2035</v>
      </c>
      <c r="B34" s="2">
        <f>B12/'Output-Calculation-sheet'!B11*'Output-Calculation-sheet'!B20</f>
        <v>29519.724620624496</v>
      </c>
      <c r="C34" s="2">
        <f>C12/'Output-Calculation-sheet'!C11*'Output-Calculation-sheet'!C20</f>
        <v>0</v>
      </c>
      <c r="D34" s="2">
        <f>D12/'Output-Calculation-sheet'!D11*'Output-Calculation-sheet'!D20</f>
        <v>9501.1210969966014</v>
      </c>
      <c r="E34" s="2">
        <f>E12/'Output-Calculation-sheet'!E11*'Output-Calculation-sheet'!E20</f>
        <v>10557.075534261192</v>
      </c>
      <c r="F34" s="2">
        <f>F12/'Output-Calculation-sheet'!F11*'Output-Calculation-sheet'!F20</f>
        <v>5904.987321409104</v>
      </c>
      <c r="G34" s="2">
        <f>G12/'Output-Calculation-sheet'!G11*'Output-Calculation-sheet'!G20</f>
        <v>3187.4394592950912</v>
      </c>
      <c r="H34" s="2">
        <f>H12/'Output-Calculation-sheet'!H11*'Output-Calculation-sheet'!H20</f>
        <v>0</v>
      </c>
      <c r="I34" s="2">
        <f>I12/'Output-Calculation-sheet'!I11*'Output-Calculation-sheet'!I20</f>
        <v>3543.6781278852554</v>
      </c>
      <c r="J34" s="2">
        <f>J12/'Output-Calculation-sheet'!J11*'Output-Calculation-sheet'!J20</f>
        <v>3284.6404693954591</v>
      </c>
      <c r="K34" s="2">
        <f>K12/'Output-Calculation-sheet'!K11*'Output-Calculation-sheet'!K20</f>
        <v>4368.2408438976126</v>
      </c>
      <c r="L34" s="2">
        <f>L12/'Output-Calculation-sheet'!L11*'Output-Calculation-sheet'!L20</f>
        <v>3486.0393264954305</v>
      </c>
      <c r="M34" s="2">
        <f>M12/'Output-Calculation-sheet'!M11*'Output-Calculation-sheet'!M20</f>
        <v>0</v>
      </c>
      <c r="N34" s="2">
        <f>N12/'Output-Calculation-sheet'!N11*'Output-Calculation-sheet'!N20</f>
        <v>1869.4182370717447</v>
      </c>
      <c r="O34" s="2">
        <f>O12/'Output-Calculation-sheet'!O11*'Output-Calculation-sheet'!O20</f>
        <v>0</v>
      </c>
      <c r="P34" s="2">
        <f>P12/'Output-Calculation-sheet'!P11*'Output-Calculation-sheet'!P20</f>
        <v>3981.7117847765239</v>
      </c>
      <c r="Q34" s="2">
        <f>Q12/'Output-Calculation-sheet'!Q11*'Output-Calculation-sheet'!Q20</f>
        <v>3320.7104992704813</v>
      </c>
      <c r="R34" s="2">
        <f>R12/'Output-Calculation-sheet'!R11*'Output-Calculation-sheet'!R20</f>
        <v>3345.1114527946233</v>
      </c>
      <c r="S34" s="2">
        <f>S12/'Output-Calculation-sheet'!S11*'Output-Calculation-sheet'!S20</f>
        <v>1277.8216615692561</v>
      </c>
      <c r="T34" s="2">
        <f>T12/'Output-Calculation-sheet'!T11*'Output-Calculation-sheet'!T20</f>
        <v>1014.6074701584546</v>
      </c>
      <c r="U34" s="2">
        <f>U12/'Output-Calculation-sheet'!U11*'Output-Calculation-sheet'!U20</f>
        <v>933.89723880048712</v>
      </c>
      <c r="V34" s="2">
        <f>V12/'Output-Calculation-sheet'!V11*'Output-Calculation-sheet'!V20</f>
        <v>919.48986223214229</v>
      </c>
      <c r="W34" s="2">
        <f>W12/'Output-Calculation-sheet'!W11*'Output-Calculation-sheet'!W20</f>
        <v>498.89570744907576</v>
      </c>
      <c r="X34" s="2">
        <f>X12/'Output-Calculation-sheet'!X11*'Output-Calculation-sheet'!X20</f>
        <v>105.33022908888134</v>
      </c>
      <c r="Y34" s="2">
        <f>Y12/'Output-Calculation-sheet'!Y11*'Output-Calculation-sheet'!Y20</f>
        <v>362.0948815842799</v>
      </c>
      <c r="AA34" s="2">
        <f t="shared" si="1"/>
        <v>90.982035825056215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1.012912848561224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0.196781716812473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1.209694565373697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1.1138899000053872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0.21639884139537124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1.3302887414007585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1.1984358088422977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0.23282383700484538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1.4312596458471432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1.2734475542764279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0.39200681756889366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0.24739660115587309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0.23227642104639135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7.4110370692737515E-2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2.248828803546751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1.3422372375846452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0.26076058602348051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11.250378281364696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12172.724583586638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6783.1507031951242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4629.8305542844328</v>
      </c>
      <c r="N52" s="2">
        <f>N8/'Output-Calculation-sheet'!N7*'Output-Calculation-sheet'!N43</f>
        <v>147.9798543147466</v>
      </c>
      <c r="O52" s="2">
        <f>O8/'Output-Calculation-sheet'!O7*'Output-Calculation-sheet'!O43</f>
        <v>569.63128550979025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596.68376220539324</v>
      </c>
      <c r="Y52" s="2">
        <f>Y8/'Output-Calculation-sheet'!Y7*'Output-Calculation-sheet'!Y43</f>
        <v>0</v>
      </c>
      <c r="AA52" s="2">
        <f t="shared" si="3"/>
        <v>24.900000743096122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16806.058140432157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13204.272895843887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9023.7418972425894</v>
      </c>
      <c r="N53" s="2">
        <f>N9/'Output-Calculation-sheet'!N8*'Output-Calculation-sheet'!N44</f>
        <v>3213.9556634631444</v>
      </c>
      <c r="O53" s="2">
        <f>O9/'Output-Calculation-sheet'!O8*'Output-Calculation-sheet'!O44</f>
        <v>1252.8353975521493</v>
      </c>
      <c r="P53" s="2">
        <f>P9/'Output-Calculation-sheet'!P8*'Output-Calculation-sheet'!P44</f>
        <v>150.33498374131662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991.13514923621028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1128.4256549047445</v>
      </c>
      <c r="Y53" s="2">
        <f>Y9/'Output-Calculation-sheet'!Y8*'Output-Calculation-sheet'!Y44</f>
        <v>0</v>
      </c>
      <c r="AA53" s="2">
        <f t="shared" si="3"/>
        <v>45.770759782416192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25545.605399006872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2266.9689392577052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507.79210003439829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108.97633778562481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39320.485886430048</v>
      </c>
      <c r="D55" s="2">
        <f>D11/'Output-Calculation-sheet'!D10*'Output-Calculation-sheet'!D46</f>
        <v>7817.2574943693835</v>
      </c>
      <c r="E55" s="2">
        <f>E11/'Output-Calculation-sheet'!E10*'Output-Calculation-sheet'!E46</f>
        <v>9751.4770811285871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25583.602830812004</v>
      </c>
      <c r="I55" s="2">
        <f>I11/'Output-Calculation-sheet'!I10*'Output-Calculation-sheet'!I46</f>
        <v>1883.6884186907373</v>
      </c>
      <c r="J55" s="2">
        <f>J11/'Output-Calculation-sheet'!J10*'Output-Calculation-sheet'!J46</f>
        <v>1390.2755228415031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18077.248650952799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3949.6650359972718</v>
      </c>
      <c r="P55" s="2">
        <f>P11/'Output-Calculation-sheet'!P10*'Output-Calculation-sheet'!P46</f>
        <v>5070.1507054834483</v>
      </c>
      <c r="Q55" s="2">
        <f>Q11/'Output-Calculation-sheet'!Q10*'Output-Calculation-sheet'!Q46</f>
        <v>3952.7741827192913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6771.9924027663483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1209.1692060394014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1819.5893160794296</v>
      </c>
      <c r="Y55" s="2">
        <f>Y11/'Output-Calculation-sheet'!Y10*'Output-Calculation-sheet'!Y46</f>
        <v>478.43659186865875</v>
      </c>
      <c r="AA55" s="2">
        <f t="shared" si="3"/>
        <v>241.13112904086398</v>
      </c>
    </row>
    <row r="56" spans="1:27" x14ac:dyDescent="0.25">
      <c r="A56" s="2">
        <v>2035</v>
      </c>
      <c r="B56" s="2">
        <f>B12/'Output-Calculation-sheet'!B11*'Output-Calculation-sheet'!B47</f>
        <v>92034.402835799963</v>
      </c>
      <c r="C56" s="2">
        <f>C12/'Output-Calculation-sheet'!C11*'Output-Calculation-sheet'!C47</f>
        <v>68642.483290513002</v>
      </c>
      <c r="D56" s="2">
        <f>D12/'Output-Calculation-sheet'!D11*'Output-Calculation-sheet'!D47</f>
        <v>9386.8106034259908</v>
      </c>
      <c r="E56" s="2">
        <f>E12/'Output-Calculation-sheet'!E11*'Output-Calculation-sheet'!E47</f>
        <v>23623.36709952922</v>
      </c>
      <c r="F56" s="2">
        <f>F12/'Output-Calculation-sheet'!F11*'Output-Calculation-sheet'!F47</f>
        <v>1303.2875408112191</v>
      </c>
      <c r="G56" s="2">
        <f>G12/'Output-Calculation-sheet'!G11*'Output-Calculation-sheet'!G47</f>
        <v>3479.4923317891339</v>
      </c>
      <c r="H56" s="2">
        <f>H12/'Output-Calculation-sheet'!H11*'Output-Calculation-sheet'!H47</f>
        <v>27219.298314632877</v>
      </c>
      <c r="I56" s="2">
        <f>I12/'Output-Calculation-sheet'!I11*'Output-Calculation-sheet'!I47</f>
        <v>2221.0033373574552</v>
      </c>
      <c r="J56" s="2">
        <f>J12/'Output-Calculation-sheet'!J11*'Output-Calculation-sheet'!J47</f>
        <v>3630.1361827926207</v>
      </c>
      <c r="K56" s="2">
        <f>K12/'Output-Calculation-sheet'!K11*'Output-Calculation-sheet'!K47</f>
        <v>4994.2030030781189</v>
      </c>
      <c r="L56" s="2">
        <f>L12/'Output-Calculation-sheet'!L11*'Output-Calculation-sheet'!L47</f>
        <v>5364.9985862747844</v>
      </c>
      <c r="M56" s="2">
        <f>M12/'Output-Calculation-sheet'!M11*'Output-Calculation-sheet'!M47</f>
        <v>19128.572296415285</v>
      </c>
      <c r="N56" s="2">
        <f>N12/'Output-Calculation-sheet'!N11*'Output-Calculation-sheet'!N47</f>
        <v>15295.173271962562</v>
      </c>
      <c r="O56" s="2">
        <f>O12/'Output-Calculation-sheet'!O11*'Output-Calculation-sheet'!O47</f>
        <v>7571.2064889273724</v>
      </c>
      <c r="P56" s="2">
        <f>P12/'Output-Calculation-sheet'!P11*'Output-Calculation-sheet'!P47</f>
        <v>6634.7521749537727</v>
      </c>
      <c r="Q56" s="2">
        <f>Q12/'Output-Calculation-sheet'!Q11*'Output-Calculation-sheet'!Q47</f>
        <v>4832.045466712314</v>
      </c>
      <c r="R56" s="2">
        <f>R12/'Output-Calculation-sheet'!R11*'Output-Calculation-sheet'!R47</f>
        <v>5622.4655788434338</v>
      </c>
      <c r="S56" s="2">
        <f>S12/'Output-Calculation-sheet'!S11*'Output-Calculation-sheet'!S47</f>
        <v>7123.7542462378951</v>
      </c>
      <c r="T56" s="2">
        <f>T12/'Output-Calculation-sheet'!T11*'Output-Calculation-sheet'!T47</f>
        <v>1843.7380447082267</v>
      </c>
      <c r="U56" s="2">
        <f>U12/'Output-Calculation-sheet'!U11*'Output-Calculation-sheet'!U47</f>
        <v>1288.1908293431227</v>
      </c>
      <c r="V56" s="2">
        <f>V12/'Output-Calculation-sheet'!V11*'Output-Calculation-sheet'!V47</f>
        <v>1268.0578236589179</v>
      </c>
      <c r="W56" s="2">
        <f>W12/'Output-Calculation-sheet'!W11*'Output-Calculation-sheet'!W47</f>
        <v>452.942619836566</v>
      </c>
      <c r="X56" s="2">
        <f>X12/'Output-Calculation-sheet'!X11*'Output-Calculation-sheet'!X47</f>
        <v>1931.5603453791064</v>
      </c>
      <c r="Y56" s="2">
        <f>Y12/'Output-Calculation-sheet'!Y11*'Output-Calculation-sheet'!Y47</f>
        <v>588.76787214570186</v>
      </c>
      <c r="AA56" s="2">
        <f t="shared" si="3"/>
        <v>315.4807101851286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7.236996513965793</v>
      </c>
      <c r="C63" s="2">
        <f>C8*'Output-Calculation-sheet'!C52/10^9</f>
        <v>4.5364184671889296</v>
      </c>
      <c r="D63" s="2">
        <f>D8*'Output-Calculation-sheet'!D52/10^9</f>
        <v>2.4817043971928805</v>
      </c>
      <c r="E63" s="2">
        <f>E8*'Output-Calculation-sheet'!E52/10^9</f>
        <v>2.4674922607324539</v>
      </c>
      <c r="F63" s="2">
        <f>F8*'Output-Calculation-sheet'!F52/10^9</f>
        <v>1.0449836004469275</v>
      </c>
      <c r="G63" s="2">
        <f>G8*'Output-Calculation-sheet'!G52/10^9</f>
        <v>0.75129508877212681</v>
      </c>
      <c r="H63" s="2">
        <f>H8*'Output-Calculation-sheet'!H52/10^9</f>
        <v>1.312357273127347</v>
      </c>
      <c r="I63" s="2">
        <f>I8*'Output-Calculation-sheet'!I52/10^9</f>
        <v>0.69887895041560932</v>
      </c>
      <c r="J63" s="2">
        <f>J8*'Output-Calculation-sheet'!J52/10^9</f>
        <v>0.96170574642420437</v>
      </c>
      <c r="K63" s="2">
        <f>K8*'Output-Calculation-sheet'!K52/10^9</f>
        <v>0.84494184675461204</v>
      </c>
      <c r="L63" s="2">
        <f>L8*'Output-Calculation-sheet'!L52/10^9</f>
        <v>1.1364858365162591</v>
      </c>
      <c r="M63" s="2">
        <f>M8*'Output-Calculation-sheet'!M52/10^9</f>
        <v>1.0652226593045671</v>
      </c>
      <c r="N63" s="2">
        <f>N8*'Output-Calculation-sheet'!N52/10^9</f>
        <v>0.88901117574039412</v>
      </c>
      <c r="O63" s="2">
        <f>O8*'Output-Calculation-sheet'!O52/10^9</f>
        <v>0.93143069674455026</v>
      </c>
      <c r="P63" s="2">
        <f>P8*'Output-Calculation-sheet'!P52/10^9</f>
        <v>0.58383309651715654</v>
      </c>
      <c r="Q63" s="2">
        <f>Q8*'Output-Calculation-sheet'!Q52/10^9</f>
        <v>0.66072437188553634</v>
      </c>
      <c r="R63" s="2">
        <f>R8*'Output-Calculation-sheet'!R52/10^9</f>
        <v>0.59319999580281479</v>
      </c>
      <c r="S63" s="2">
        <f>S8*'Output-Calculation-sheet'!S52/10^9</f>
        <v>0.43958483183547586</v>
      </c>
      <c r="T63" s="2">
        <f>T8*'Output-Calculation-sheet'!T52/10^9</f>
        <v>0.22552708510002226</v>
      </c>
      <c r="U63" s="2">
        <f>U8*'Output-Calculation-sheet'!U52/10^9</f>
        <v>0.15488949442089528</v>
      </c>
      <c r="V63" s="2">
        <f>V8*'Output-Calculation-sheet'!V52/10^9</f>
        <v>0.27489245972979764</v>
      </c>
      <c r="W63" s="2">
        <f>W8*'Output-Calculation-sheet'!W52/10^9</f>
        <v>9.9498383832303583E-2</v>
      </c>
      <c r="X63" s="2">
        <f>X8*'Output-Calculation-sheet'!X52/10^9</f>
        <v>0.11452856163615703</v>
      </c>
      <c r="Y63" s="2">
        <f>Y8*'Output-Calculation-sheet'!Y52/10^9</f>
        <v>6.4919864940444896E-2</v>
      </c>
      <c r="AA63" s="2">
        <f t="shared" si="4"/>
        <v>29.570522659027258</v>
      </c>
    </row>
    <row r="64" spans="1:27" x14ac:dyDescent="0.25">
      <c r="A64" s="2">
        <v>2032</v>
      </c>
      <c r="B64" s="2">
        <f>B9*'Output-Calculation-sheet'!B53/10^9</f>
        <v>7.5938930684044674</v>
      </c>
      <c r="C64" s="2">
        <f>C9*'Output-Calculation-sheet'!C53/10^9</f>
        <v>5.0667362094842279</v>
      </c>
      <c r="D64" s="2">
        <f>D9*'Output-Calculation-sheet'!D53/10^9</f>
        <v>2.247335002896425</v>
      </c>
      <c r="E64" s="2">
        <f>E9*'Output-Calculation-sheet'!E53/10^9</f>
        <v>2.3013806116580979</v>
      </c>
      <c r="F64" s="2">
        <f>F9*'Output-Calculation-sheet'!F53/10^9</f>
        <v>0.97070872610345105</v>
      </c>
      <c r="G64" s="2">
        <f>G9*'Output-Calculation-sheet'!G53/10^9</f>
        <v>0.69092004224120251</v>
      </c>
      <c r="H64" s="2">
        <f>H9*'Output-Calculation-sheet'!H53/10^9</f>
        <v>1.4196553878855169</v>
      </c>
      <c r="I64" s="2">
        <f>I9*'Output-Calculation-sheet'!I53/10^9</f>
        <v>0.64589742544846174</v>
      </c>
      <c r="J64" s="2">
        <f>J9*'Output-Calculation-sheet'!J53/10^9</f>
        <v>0.85503778971010291</v>
      </c>
      <c r="K64" s="2">
        <f>K9*'Output-Calculation-sheet'!K53/10^9</f>
        <v>0.79335670024235483</v>
      </c>
      <c r="L64" s="2">
        <f>L9*'Output-Calculation-sheet'!L53/10^9</f>
        <v>1.0206468229247567</v>
      </c>
      <c r="M64" s="2">
        <f>M9*'Output-Calculation-sheet'!M53/10^9</f>
        <v>1.1126555107119258</v>
      </c>
      <c r="N64" s="2">
        <f>N9*'Output-Calculation-sheet'!N53/10^9</f>
        <v>0.93667018717460893</v>
      </c>
      <c r="O64" s="2">
        <f>O9*'Output-Calculation-sheet'!O53/10^9</f>
        <v>1.0313033846016906</v>
      </c>
      <c r="P64" s="2">
        <f>P9*'Output-Calculation-sheet'!P53/10^9</f>
        <v>0.60487040126936509</v>
      </c>
      <c r="Q64" s="2">
        <f>Q9*'Output-Calculation-sheet'!Q53/10^9</f>
        <v>0.66848330047861837</v>
      </c>
      <c r="R64" s="2">
        <f>R9*'Output-Calculation-sheet'!R53/10^9</f>
        <v>0.57304727114845033</v>
      </c>
      <c r="S64" s="2">
        <f>S9*'Output-Calculation-sheet'!S53/10^9</f>
        <v>0.47346511814048342</v>
      </c>
      <c r="T64" s="2">
        <f>T9*'Output-Calculation-sheet'!T53/10^9</f>
        <v>0.20599557834558216</v>
      </c>
      <c r="U64" s="2">
        <f>U9*'Output-Calculation-sheet'!U53/10^9</f>
        <v>0.15504850245771118</v>
      </c>
      <c r="V64" s="2">
        <f>V9*'Output-Calculation-sheet'!V53/10^9</f>
        <v>0.24450290657123158</v>
      </c>
      <c r="W64" s="2">
        <f>W9*'Output-Calculation-sheet'!W53/10^9</f>
        <v>9.0852873098539316E-2</v>
      </c>
      <c r="X64" s="2">
        <f>X9*'Output-Calculation-sheet'!X53/10^9</f>
        <v>0.12332088067149211</v>
      </c>
      <c r="Y64" s="2">
        <f>Y9*'Output-Calculation-sheet'!Y53/10^9</f>
        <v>6.3654477359089856E-2</v>
      </c>
      <c r="AA64" s="2">
        <f t="shared" si="4"/>
        <v>29.889438179027856</v>
      </c>
    </row>
    <row r="65" spans="1:27" x14ac:dyDescent="0.25">
      <c r="A65" s="2">
        <v>2033</v>
      </c>
      <c r="B65" s="2">
        <f>B10*'Output-Calculation-sheet'!B54/10^9</f>
        <v>8.1276320839754046</v>
      </c>
      <c r="C65" s="2">
        <f>C10*'Output-Calculation-sheet'!C54/10^9</f>
        <v>5.4949978400170352</v>
      </c>
      <c r="D65" s="2">
        <f>D10*'Output-Calculation-sheet'!D54/10^9</f>
        <v>1.9201510265144588</v>
      </c>
      <c r="E65" s="2">
        <f>E10*'Output-Calculation-sheet'!E54/10^9</f>
        <v>2.1620680979433948</v>
      </c>
      <c r="F65" s="2">
        <f>F10*'Output-Calculation-sheet'!F54/10^9</f>
        <v>0.87776264825614114</v>
      </c>
      <c r="G65" s="2">
        <f>G10*'Output-Calculation-sheet'!G54/10^9</f>
        <v>0.60266345579300828</v>
      </c>
      <c r="H65" s="2">
        <f>H10*'Output-Calculation-sheet'!H54/10^9</f>
        <v>1.4893714156153224</v>
      </c>
      <c r="I65" s="2">
        <f>I10*'Output-Calculation-sheet'!I54/10^9</f>
        <v>0.58682961641050557</v>
      </c>
      <c r="J65" s="2">
        <f>J10*'Output-Calculation-sheet'!J54/10^9</f>
        <v>0.70139227665767179</v>
      </c>
      <c r="K65" s="2">
        <f>K10*'Output-Calculation-sheet'!K54/10^9</f>
        <v>0.74829264882452884</v>
      </c>
      <c r="L65" s="2">
        <f>L10*'Output-Calculation-sheet'!L54/10^9</f>
        <v>0.8838909934606447</v>
      </c>
      <c r="M65" s="2">
        <f>M10*'Output-Calculation-sheet'!M54/10^9</f>
        <v>1.1245413075831099</v>
      </c>
      <c r="N65" s="2">
        <f>N10*'Output-Calculation-sheet'!N54/10^9</f>
        <v>0.97111858215990166</v>
      </c>
      <c r="O65" s="2">
        <f>O10*'Output-Calculation-sheet'!O54/10^9</f>
        <v>1.1115101069090032</v>
      </c>
      <c r="P65" s="2">
        <f>P10*'Output-Calculation-sheet'!P54/10^9</f>
        <v>0.63314048021158642</v>
      </c>
      <c r="Q65" s="2">
        <f>Q10*'Output-Calculation-sheet'!Q54/10^9</f>
        <v>0.69089265254257104</v>
      </c>
      <c r="R65" s="2">
        <f>R10*'Output-Calculation-sheet'!R54/10^9</f>
        <v>0.55741160629445474</v>
      </c>
      <c r="S65" s="2">
        <f>S10*'Output-Calculation-sheet'!S54/10^9</f>
        <v>0.50631895109266356</v>
      </c>
      <c r="T65" s="2">
        <f>T10*'Output-Calculation-sheet'!T54/10^9</f>
        <v>0.18636727356681823</v>
      </c>
      <c r="U65" s="2">
        <f>U10*'Output-Calculation-sheet'!U54/10^9</f>
        <v>0.1609261636055494</v>
      </c>
      <c r="V65" s="2">
        <f>V10*'Output-Calculation-sheet'!V54/10^9</f>
        <v>0.20624351946712527</v>
      </c>
      <c r="W65" s="2">
        <f>W10*'Output-Calculation-sheet'!W54/10^9</f>
        <v>7.8524665026844381E-2</v>
      </c>
      <c r="X65" s="2">
        <f>X10*'Output-Calculation-sheet'!X54/10^9</f>
        <v>0.12933848982469762</v>
      </c>
      <c r="Y65" s="2">
        <f>Y10*'Output-Calculation-sheet'!Y54/10^9</f>
        <v>6.4630008310641585E-2</v>
      </c>
      <c r="AA65" s="2">
        <f t="shared" si="4"/>
        <v>30.016015910063079</v>
      </c>
    </row>
    <row r="66" spans="1:27" x14ac:dyDescent="0.25">
      <c r="A66" s="2">
        <v>2034</v>
      </c>
      <c r="B66" s="2">
        <f>B11*'Output-Calculation-sheet'!B55/10^9</f>
        <v>8.8592115092563652</v>
      </c>
      <c r="C66" s="2">
        <f>C11*'Output-Calculation-sheet'!C55/10^9</f>
        <v>5.8436209269169463</v>
      </c>
      <c r="D66" s="2">
        <f>D11*'Output-Calculation-sheet'!D55/10^9</f>
        <v>1.8530755262854388</v>
      </c>
      <c r="E66" s="2">
        <f>E11*'Output-Calculation-sheet'!E55/10^9</f>
        <v>2.2439513936595548</v>
      </c>
      <c r="F66" s="2">
        <f>F11*'Output-Calculation-sheet'!F55/10^9</f>
        <v>0.86237902025289515</v>
      </c>
      <c r="G66" s="2">
        <f>G11*'Output-Calculation-sheet'!G55/10^9</f>
        <v>0.61641250703632755</v>
      </c>
      <c r="H66" s="2">
        <f>H11*'Output-Calculation-sheet'!H55/10^9</f>
        <v>1.5758938572635195</v>
      </c>
      <c r="I66" s="2">
        <f>I11*'Output-Calculation-sheet'!I55/10^9</f>
        <v>0.60278195342279495</v>
      </c>
      <c r="J66" s="2">
        <f>J11*'Output-Calculation-sheet'!J55/10^9</f>
        <v>0.61986798884593142</v>
      </c>
      <c r="K66" s="2">
        <f>K11*'Output-Calculation-sheet'!K55/10^9</f>
        <v>0.74139672862042172</v>
      </c>
      <c r="L66" s="2">
        <f>L11*'Output-Calculation-sheet'!L55/10^9</f>
        <v>0.78514474133613599</v>
      </c>
      <c r="M66" s="2">
        <f>M11*'Output-Calculation-sheet'!M55/10^9</f>
        <v>1.1416999347972225</v>
      </c>
      <c r="N66" s="2">
        <f>N11*'Output-Calculation-sheet'!N55/10^9</f>
        <v>0.99754128338430026</v>
      </c>
      <c r="O66" s="2">
        <f>O11*'Output-Calculation-sheet'!O55/10^9</f>
        <v>1.17722393555928</v>
      </c>
      <c r="P66" s="2">
        <f>P11*'Output-Calculation-sheet'!P55/10^9</f>
        <v>0.68571700104232292</v>
      </c>
      <c r="Q66" s="2">
        <f>Q11*'Output-Calculation-sheet'!Q55/10^9</f>
        <v>0.74683904736395701</v>
      </c>
      <c r="R66" s="2">
        <f>R11*'Output-Calculation-sheet'!R55/10^9</f>
        <v>0.55537490046943172</v>
      </c>
      <c r="S66" s="2">
        <f>S11*'Output-Calculation-sheet'!S55/10^9</f>
        <v>0.54647542341716404</v>
      </c>
      <c r="T66" s="2">
        <f>T11*'Output-Calculation-sheet'!T55/10^9</f>
        <v>0.17408579104836869</v>
      </c>
      <c r="U66" s="2">
        <f>U11*'Output-Calculation-sheet'!U55/10^9</f>
        <v>0.17702229060854677</v>
      </c>
      <c r="V66" s="2">
        <f>V11*'Output-Calculation-sheet'!V55/10^9</f>
        <v>0.16515089133378605</v>
      </c>
      <c r="W66" s="2">
        <f>W11*'Output-Calculation-sheet'!W55/10^9</f>
        <v>7.4776605825169609E-2</v>
      </c>
      <c r="X66" s="2">
        <f>X11*'Output-Calculation-sheet'!X55/10^9</f>
        <v>0.14064145714998913</v>
      </c>
      <c r="Y66" s="2">
        <f>Y11*'Output-Calculation-sheet'!Y55/10^9</f>
        <v>7.3378316591993606E-2</v>
      </c>
      <c r="AA66" s="2">
        <f t="shared" si="4"/>
        <v>31.259663031487872</v>
      </c>
    </row>
    <row r="67" spans="1:27" x14ac:dyDescent="0.25">
      <c r="A67" s="2">
        <v>2035</v>
      </c>
      <c r="B67" s="2">
        <f>B12*'Output-Calculation-sheet'!B56/10^9</f>
        <v>9.7015608303479652</v>
      </c>
      <c r="C67" s="2">
        <f>C12*'Output-Calculation-sheet'!C56/10^9</f>
        <v>6.1185338463032481</v>
      </c>
      <c r="D67" s="2">
        <f>D12*'Output-Calculation-sheet'!D56/10^9</f>
        <v>2.0204864594779157</v>
      </c>
      <c r="E67" s="2">
        <f>E12*'Output-Calculation-sheet'!E56/10^9</f>
        <v>2.7415336141599465</v>
      </c>
      <c r="F67" s="2">
        <f>F12*'Output-Calculation-sheet'!F56/10^9</f>
        <v>1.0012634415832466</v>
      </c>
      <c r="G67" s="2">
        <f>G12*'Output-Calculation-sheet'!G56/10^9</f>
        <v>0.70141411930611564</v>
      </c>
      <c r="H67" s="2">
        <f>H12*'Output-Calculation-sheet'!H56/10^9</f>
        <v>1.6928513260376463</v>
      </c>
      <c r="I67" s="2">
        <f>I12*'Output-Calculation-sheet'!I56/10^9</f>
        <v>0.6813160185290571</v>
      </c>
      <c r="J67" s="2">
        <f>J12*'Output-Calculation-sheet'!J56/10^9</f>
        <v>0.67494441664487859</v>
      </c>
      <c r="K67" s="2">
        <f>K12*'Output-Calculation-sheet'!K56/10^9</f>
        <v>0.81288007825623221</v>
      </c>
      <c r="L67" s="2">
        <f>L12*'Output-Calculation-sheet'!L56/10^9</f>
        <v>0.81659639025730613</v>
      </c>
      <c r="M67" s="2">
        <f>M12*'Output-Calculation-sheet'!M56/10^9</f>
        <v>1.2386229509545472</v>
      </c>
      <c r="N67" s="2">
        <f>N12*'Output-Calculation-sheet'!N56/10^9</f>
        <v>1.0635947226102724</v>
      </c>
      <c r="O67" s="2">
        <f>O12*'Output-Calculation-sheet'!O56/10^9</f>
        <v>1.2303332668580735</v>
      </c>
      <c r="P67" s="2">
        <f>P12*'Output-Calculation-sheet'!P56/10^9</f>
        <v>0.78728784756749037</v>
      </c>
      <c r="Q67" s="2">
        <f>Q12*'Output-Calculation-sheet'!Q56/10^9</f>
        <v>0.8096213876377798</v>
      </c>
      <c r="R67" s="2">
        <f>R12*'Output-Calculation-sheet'!R56/10^9</f>
        <v>0.61638963832749982</v>
      </c>
      <c r="S67" s="2">
        <f>S12*'Output-Calculation-sheet'!S56/10^9</f>
        <v>0.58738333856088842</v>
      </c>
      <c r="T67" s="2">
        <f>T12*'Output-Calculation-sheet'!T56/10^9</f>
        <v>0.18692316249189264</v>
      </c>
      <c r="U67" s="2">
        <f>U12*'Output-Calculation-sheet'!U56/10^9</f>
        <v>0.19519686425460578</v>
      </c>
      <c r="V67" s="2">
        <f>V12*'Output-Calculation-sheet'!V56/10^9</f>
        <v>0.14994508842322499</v>
      </c>
      <c r="W67" s="2">
        <f>W12*'Output-Calculation-sheet'!W56/10^9</f>
        <v>9.04677361662862E-2</v>
      </c>
      <c r="X67" s="2">
        <f>X12*'Output-Calculation-sheet'!X56/10^9</f>
        <v>0.1538218212869476</v>
      </c>
      <c r="Y67" s="2">
        <f>Y12*'Output-Calculation-sheet'!Y56/10^9</f>
        <v>8.7397299474062662E-2</v>
      </c>
      <c r="AA67" s="2">
        <f t="shared" si="4"/>
        <v>34.160365665517133</v>
      </c>
    </row>
    <row r="68" spans="1:27" x14ac:dyDescent="0.25">
      <c r="B68" s="2">
        <f>SUM(B60:B67)</f>
        <v>59.153351205179725</v>
      </c>
      <c r="C68" s="2">
        <f t="shared" ref="C68:Y68" si="5">SUM(C60:C67)</f>
        <v>36.373692718663783</v>
      </c>
      <c r="D68" s="2">
        <f t="shared" si="5"/>
        <v>17.449813792886818</v>
      </c>
      <c r="E68" s="2">
        <f t="shared" si="5"/>
        <v>18.74527694523524</v>
      </c>
      <c r="F68" s="2">
        <f t="shared" si="5"/>
        <v>7.5866386383173001</v>
      </c>
      <c r="G68" s="2">
        <f t="shared" si="5"/>
        <v>5.4219491964397539</v>
      </c>
      <c r="H68" s="2">
        <f t="shared" si="5"/>
        <v>10.394778296355318</v>
      </c>
      <c r="I68" s="2">
        <f t="shared" si="5"/>
        <v>5.119906909654798</v>
      </c>
      <c r="J68" s="2">
        <f t="shared" si="5"/>
        <v>6.5539564995277289</v>
      </c>
      <c r="K68" s="2">
        <f t="shared" si="5"/>
        <v>6.2481164878754649</v>
      </c>
      <c r="L68" s="2">
        <f t="shared" si="5"/>
        <v>7.8938501665645262</v>
      </c>
      <c r="M68" s="2">
        <f t="shared" si="5"/>
        <v>8.174447733850279</v>
      </c>
      <c r="N68" s="2">
        <f t="shared" si="5"/>
        <v>7.0209028746331592</v>
      </c>
      <c r="O68" s="2">
        <f t="shared" si="5"/>
        <v>7.4244009963691528</v>
      </c>
      <c r="P68" s="2">
        <f t="shared" si="5"/>
        <v>4.7590608171507567</v>
      </c>
      <c r="Q68" s="2">
        <f t="shared" si="5"/>
        <v>5.248032319296061</v>
      </c>
      <c r="R68" s="2">
        <f t="shared" si="5"/>
        <v>4.499097200793031</v>
      </c>
      <c r="S68" s="2">
        <f t="shared" si="5"/>
        <v>3.6010045757373126</v>
      </c>
      <c r="T68" s="2">
        <f t="shared" si="5"/>
        <v>1.6068573074544237</v>
      </c>
      <c r="U68" s="2">
        <f t="shared" si="5"/>
        <v>1.2535914721353874</v>
      </c>
      <c r="V68" s="2">
        <f t="shared" si="5"/>
        <v>1.8356199199680399</v>
      </c>
      <c r="W68" s="2">
        <f t="shared" si="5"/>
        <v>0.70916047176505992</v>
      </c>
      <c r="X68" s="2">
        <f t="shared" si="5"/>
        <v>0.91522642344013261</v>
      </c>
      <c r="Y68" s="2">
        <f t="shared" si="5"/>
        <v>0.52732582034019249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2790.4860457819123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1460.1552431051277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979.51028942168011</v>
      </c>
      <c r="N74" s="2">
        <f>N8/'Output-Calculation-sheet'!N7*'Output-Calculation-sheet'!N61</f>
        <v>40.675962454765973</v>
      </c>
      <c r="O74" s="2">
        <f>O8/'Output-Calculation-sheet'!O7*'Output-Calculation-sheet'!O61</f>
        <v>158.27118960118992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122.3697228448147</v>
      </c>
      <c r="Y74" s="2">
        <f>Y8/'Output-Calculation-sheet'!Y7*'Output-Calculation-sheet'!Y61</f>
        <v>0</v>
      </c>
      <c r="AA74" s="2">
        <f t="shared" si="6"/>
        <v>5.5514684532094893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3708.9602380968854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2513.985278315316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1705.5079152345772</v>
      </c>
      <c r="N75" s="2">
        <f>N9/'Output-Calculation-sheet'!N8*'Output-Calculation-sheet'!N62</f>
        <v>659.06432592535361</v>
      </c>
      <c r="O75" s="2">
        <f>O9/'Output-Calculation-sheet'!O8*'Output-Calculation-sheet'!O62</f>
        <v>322.14953836147765</v>
      </c>
      <c r="P75" s="2">
        <f>P9/'Output-Calculation-sheet'!P8*'Output-Calculation-sheet'!P62</f>
        <v>44.123317728076422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218.00309117788456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205.98422674028799</v>
      </c>
      <c r="Y75" s="2">
        <f>Y9/'Output-Calculation-sheet'!Y8*'Output-Calculation-sheet'!Y62</f>
        <v>0</v>
      </c>
      <c r="AA75" s="2">
        <f t="shared" si="6"/>
        <v>9.3777779315798586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5376.7717437761539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3714.4002734133273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2529.5283361445759</v>
      </c>
      <c r="N76" s="2">
        <f>N10/'Output-Calculation-sheet'!N9*'Output-Calculation-sheet'!N63</f>
        <v>1447.3936512708642</v>
      </c>
      <c r="O76" s="2">
        <f>O10/'Output-Calculation-sheet'!O9*'Output-Calculation-sheet'!O63</f>
        <v>534.59620679288003</v>
      </c>
      <c r="P76" s="2">
        <f>P10/'Output-Calculation-sheet'!P9*'Output-Calculation-sheet'!P63</f>
        <v>496.17494982383892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382.07898955103326</v>
      </c>
      <c r="S76" s="2">
        <f>S10/'Output-Calculation-sheet'!S9*'Output-Calculation-sheet'!S63</f>
        <v>641.81300093034065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135.78238395377633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297.86605798949375</v>
      </c>
      <c r="Y76" s="2">
        <f>Y10/'Output-Calculation-sheet'!Y9*'Output-Calculation-sheet'!Y63</f>
        <v>5.6505766210566959</v>
      </c>
      <c r="AA76" s="2">
        <f t="shared" si="6"/>
        <v>21.606485181759474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7670.175690073389</v>
      </c>
      <c r="D77" s="2">
        <f>D11/'Output-Calculation-sheet'!D10*'Output-Calculation-sheet'!D64</f>
        <v>1795.0006449096281</v>
      </c>
      <c r="E77" s="2">
        <f>E11/'Output-Calculation-sheet'!E10*'Output-Calculation-sheet'!E64</f>
        <v>2238.1212720074159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951.33990552551541</v>
      </c>
      <c r="H77" s="2">
        <f>H11/'Output-Calculation-sheet'!H10*'Output-Calculation-sheet'!H64</f>
        <v>4760.0975218635422</v>
      </c>
      <c r="I77" s="2">
        <f>I11/'Output-Calculation-sheet'!I10*'Output-Calculation-sheet'!I64</f>
        <v>559.07233728294068</v>
      </c>
      <c r="J77" s="2">
        <f>J11/'Output-Calculation-sheet'!J10*'Output-Calculation-sheet'!J64</f>
        <v>391.55214270572515</v>
      </c>
      <c r="K77" s="2">
        <f>K11/'Output-Calculation-sheet'!K10*'Output-Calculation-sheet'!K64</f>
        <v>851.4415607867121</v>
      </c>
      <c r="L77" s="2">
        <f>L11/'Output-Calculation-sheet'!L10*'Output-Calculation-sheet'!L64</f>
        <v>350.46438370614896</v>
      </c>
      <c r="M77" s="2">
        <f>M11/'Output-Calculation-sheet'!M10*'Output-Calculation-sheet'!M64</f>
        <v>3399.9897482329989</v>
      </c>
      <c r="N77" s="2">
        <f>N11/'Output-Calculation-sheet'!N10*'Output-Calculation-sheet'!N64</f>
        <v>2393.8056073645566</v>
      </c>
      <c r="O77" s="2">
        <f>O11/'Output-Calculation-sheet'!O10*'Output-Calculation-sheet'!O64</f>
        <v>871.76919868706818</v>
      </c>
      <c r="P77" s="2">
        <f>P11/'Output-Calculation-sheet'!P10*'Output-Calculation-sheet'!P64</f>
        <v>1061.3801926004419</v>
      </c>
      <c r="Q77" s="2">
        <f>Q11/'Output-Calculation-sheet'!Q10*'Output-Calculation-sheet'!Q64</f>
        <v>747.33919715443756</v>
      </c>
      <c r="R77" s="2">
        <f>R11/'Output-Calculation-sheet'!R10*'Output-Calculation-sheet'!R64</f>
        <v>904.16624227216244</v>
      </c>
      <c r="S77" s="2">
        <f>S11/'Output-Calculation-sheet'!S10*'Output-Calculation-sheet'!S64</f>
        <v>1203.7616416728372</v>
      </c>
      <c r="T77" s="2">
        <f>T11/'Output-Calculation-sheet'!T10*'Output-Calculation-sheet'!T64</f>
        <v>249.20781379575217</v>
      </c>
      <c r="U77" s="2">
        <f>U11/'Output-Calculation-sheet'!U10*'Output-Calculation-sheet'!U64</f>
        <v>264.49601245655424</v>
      </c>
      <c r="V77" s="2">
        <f>V11/'Output-Calculation-sheet'!V10*'Output-Calculation-sheet'!V64</f>
        <v>131.8113389822945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340.34626467192402</v>
      </c>
      <c r="Y77" s="2">
        <f>Y11/'Output-Calculation-sheet'!Y10*'Output-Calculation-sheet'!Y64</f>
        <v>82.769530393277961</v>
      </c>
      <c r="AA77" s="2">
        <f t="shared" si="6"/>
        <v>46.056800902582552</v>
      </c>
    </row>
    <row r="78" spans="1:27" x14ac:dyDescent="0.25">
      <c r="A78" s="2">
        <v>2035</v>
      </c>
      <c r="B78" s="2">
        <f>B12/'Output-Calculation-sheet'!B11*'Output-Calculation-sheet'!B65</f>
        <v>15941.053170427242</v>
      </c>
      <c r="C78" s="2">
        <f>C12/'Output-Calculation-sheet'!C11*'Output-Calculation-sheet'!C65</f>
        <v>12353.880890663939</v>
      </c>
      <c r="D78" s="2">
        <f>D12/'Output-Calculation-sheet'!D11*'Output-Calculation-sheet'!D65</f>
        <v>2129.450134334983</v>
      </c>
      <c r="E78" s="2">
        <f>E12/'Output-Calculation-sheet'!E11*'Output-Calculation-sheet'!E65</f>
        <v>3689.9699409464642</v>
      </c>
      <c r="F78" s="2">
        <f>F12/'Output-Calculation-sheet'!F11*'Output-Calculation-sheet'!F65</f>
        <v>472.20714178672085</v>
      </c>
      <c r="G78" s="2">
        <f>G12/'Output-Calculation-sheet'!G11*'Output-Calculation-sheet'!G65</f>
        <v>935.12291764233987</v>
      </c>
      <c r="H78" s="2">
        <f>H12/'Output-Calculation-sheet'!H11*'Output-Calculation-sheet'!H65</f>
        <v>5070.7631824327927</v>
      </c>
      <c r="I78" s="2">
        <f>I12/'Output-Calculation-sheet'!I11*'Output-Calculation-sheet'!I65</f>
        <v>619.32341546555472</v>
      </c>
      <c r="J78" s="2">
        <f>J12/'Output-Calculation-sheet'!J11*'Output-Calculation-sheet'!J65</f>
        <v>896.41050913803838</v>
      </c>
      <c r="K78" s="2">
        <f>K12/'Output-Calculation-sheet'!K11*'Output-Calculation-sheet'!K65</f>
        <v>1123.4310821559898</v>
      </c>
      <c r="L78" s="2">
        <f>L12/'Output-Calculation-sheet'!L11*'Output-Calculation-sheet'!L65</f>
        <v>952.99732240607545</v>
      </c>
      <c r="M78" s="2">
        <f>M12/'Output-Calculation-sheet'!M11*'Output-Calculation-sheet'!M65</f>
        <v>3694.8570683582966</v>
      </c>
      <c r="N78" s="2">
        <f>N12/'Output-Calculation-sheet'!N11*'Output-Calculation-sheet'!N65</f>
        <v>2620.7691125612773</v>
      </c>
      <c r="O78" s="2">
        <f>O12/'Output-Calculation-sheet'!O11*'Output-Calculation-sheet'!O65</f>
        <v>1471.2844222984486</v>
      </c>
      <c r="P78" s="2">
        <f>P12/'Output-Calculation-sheet'!P11*'Output-Calculation-sheet'!P65</f>
        <v>1286.8249030657782</v>
      </c>
      <c r="Q78" s="2">
        <f>Q12/'Output-Calculation-sheet'!Q11*'Output-Calculation-sheet'!Q65</f>
        <v>885.85352647296111</v>
      </c>
      <c r="R78" s="2">
        <f>R12/'Output-Calculation-sheet'!R11*'Output-Calculation-sheet'!R65</f>
        <v>1199.1611624331758</v>
      </c>
      <c r="S78" s="2">
        <f>S12/'Output-Calculation-sheet'!S11*'Output-Calculation-sheet'!S65</f>
        <v>1249.5795589362422</v>
      </c>
      <c r="T78" s="2">
        <f>T12/'Output-Calculation-sheet'!T11*'Output-Calculation-sheet'!T65</f>
        <v>413.6512974749453</v>
      </c>
      <c r="U78" s="2">
        <f>U12/'Output-Calculation-sheet'!U11*'Output-Calculation-sheet'!U65</f>
        <v>282.99770980159741</v>
      </c>
      <c r="V78" s="2">
        <f>V12/'Output-Calculation-sheet'!V11*'Output-Calculation-sheet'!V65</f>
        <v>232.26592470019179</v>
      </c>
      <c r="W78" s="2">
        <f>W12/'Output-Calculation-sheet'!W11*'Output-Calculation-sheet'!W65</f>
        <v>111.85395120974107</v>
      </c>
      <c r="X78" s="2">
        <f>X12/'Output-Calculation-sheet'!X11*'Output-Calculation-sheet'!X65</f>
        <v>361.71340184451316</v>
      </c>
      <c r="Y78" s="2">
        <f>Y12/'Output-Calculation-sheet'!Y11*'Output-Calculation-sheet'!Y65</f>
        <v>98.9658068139439</v>
      </c>
      <c r="AA78" s="2">
        <f t="shared" si="6"/>
        <v>58.094387553371249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266.55601277926945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69.046216425429122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0.33560222920469857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488.54820175674877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94.911772541829492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0.58345997429857821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630.75568886436713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122.53886158149757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0.75329455044586469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670.23555488233046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34.386562944639792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130.20873745045952</v>
      </c>
      <c r="P88" s="2">
        <f>P11/'Output-Calculation-sheet'!P10*'Output-Calculation-sheet'!P73</f>
        <v>0</v>
      </c>
      <c r="Q88" s="2">
        <f>Q11/'Output-Calculation-sheet'!Q10*'Output-Calculation-sheet'!Q73</f>
        <v>20.375124653192223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6.500909709889255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2.59570515845853</v>
      </c>
      <c r="Y88" s="2">
        <f>Y11/'Output-Calculation-sheet'!Y10*'Output-Calculation-sheet'!Y73</f>
        <v>0</v>
      </c>
      <c r="AA88" s="2">
        <f t="shared" si="7"/>
        <v>0.86430259479896965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588.70054280028296</v>
      </c>
      <c r="D89" s="2">
        <f>D12/'Output-Calculation-sheet'!D11*'Output-Calculation-sheet'!D74</f>
        <v>104.29789559362212</v>
      </c>
      <c r="E89" s="2">
        <f>E12/'Output-Calculation-sheet'!E11*'Output-Calculation-sheet'!E74</f>
        <v>165.77801473353838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37.413896040743374</v>
      </c>
      <c r="H89" s="2">
        <f>H12/'Output-Calculation-sheet'!H11*'Output-Calculation-sheet'!H74</f>
        <v>72.488144646159455</v>
      </c>
      <c r="I89" s="2">
        <f>I12/'Output-Calculation-sheet'!I11*'Output-Calculation-sheet'!I74</f>
        <v>33.651565717537203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33.074192073365026</v>
      </c>
      <c r="L89" s="2">
        <f>L12/'Output-Calculation-sheet'!L11*'Output-Calculation-sheet'!L74</f>
        <v>26.299012677817572</v>
      </c>
      <c r="M89" s="2">
        <f>M12/'Output-Calculation-sheet'!M11*'Output-Calculation-sheet'!M74</f>
        <v>49.878936887653936</v>
      </c>
      <c r="N89" s="2">
        <f>N12/'Output-Calculation-sheet'!N11*'Output-Calculation-sheet'!N74</f>
        <v>24.511495628145131</v>
      </c>
      <c r="O89" s="2">
        <f>O12/'Output-Calculation-sheet'!O11*'Output-Calculation-sheet'!O74</f>
        <v>114.3686780804739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21.475757629832508</v>
      </c>
      <c r="R89" s="2">
        <f>R12/'Output-Calculation-sheet'!R11*'Output-Calculation-sheet'!R74</f>
        <v>21.297218101679675</v>
      </c>
      <c r="S89" s="2">
        <f>S12/'Output-Calculation-sheet'!S11*'Output-Calculation-sheet'!S74</f>
        <v>28.101594659715563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6.8520788794846954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10.943684676368875</v>
      </c>
      <c r="Y89" s="2">
        <f>Y12/'Output-Calculation-sheet'!Y11*'Output-Calculation-sheet'!Y74</f>
        <v>5.2804293465982228</v>
      </c>
      <c r="AA89" s="2">
        <f t="shared" si="7"/>
        <v>1.9890173602363077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8261226887.7603073</v>
      </c>
      <c r="C96" s="2">
        <f>C8/'Output-Calculation-sheet'!C7*'Output-Calculation-sheet'!C79</f>
        <v>1994947848.6020973</v>
      </c>
      <c r="D96" s="2">
        <f>D8/'Output-Calculation-sheet'!D7*'Output-Calculation-sheet'!D79</f>
        <v>1619600858.3389146</v>
      </c>
      <c r="E96" s="2">
        <f>E8/'Output-Calculation-sheet'!E7*'Output-Calculation-sheet'!E79</f>
        <v>6068055229.9242611</v>
      </c>
      <c r="F96" s="2">
        <f>F8/'Output-Calculation-sheet'!F7*'Output-Calculation-sheet'!F79</f>
        <v>1770144563.6093423</v>
      </c>
      <c r="G96" s="2">
        <f>G8/'Output-Calculation-sheet'!G7*'Output-Calculation-sheet'!G79</f>
        <v>1136177883.6300063</v>
      </c>
      <c r="H96" s="2">
        <f>H8/'Output-Calculation-sheet'!H7*'Output-Calculation-sheet'!H79</f>
        <v>1399731593.0750046</v>
      </c>
      <c r="I96" s="2">
        <f>I8/'Output-Calculation-sheet'!I7*'Output-Calculation-sheet'!I79</f>
        <v>817022396.832744</v>
      </c>
      <c r="J96" s="2">
        <f>J8/'Output-Calculation-sheet'!J7*'Output-Calculation-sheet'!J79</f>
        <v>619142906.71941364</v>
      </c>
      <c r="K96" s="2">
        <f>K8/'Output-Calculation-sheet'!K7*'Output-Calculation-sheet'!K79</f>
        <v>776485425.5240345</v>
      </c>
      <c r="L96" s="2">
        <f>L8/'Output-Calculation-sheet'!L7*'Output-Calculation-sheet'!L79</f>
        <v>704914774.75530779</v>
      </c>
      <c r="M96" s="2">
        <f>M8/'Output-Calculation-sheet'!M7*'Output-Calculation-sheet'!M79</f>
        <v>1080026922.0271003</v>
      </c>
      <c r="N96" s="2">
        <f>N8/'Output-Calculation-sheet'!N7*'Output-Calculation-sheet'!N79</f>
        <v>702090418.79631531</v>
      </c>
      <c r="O96" s="2">
        <f>O8/'Output-Calculation-sheet'!O7*'Output-Calculation-sheet'!O79</f>
        <v>263439451.99620548</v>
      </c>
      <c r="P96" s="2">
        <f>P8/'Output-Calculation-sheet'!P7*'Output-Calculation-sheet'!P79</f>
        <v>1337137673.1373992</v>
      </c>
      <c r="Q96" s="2">
        <f>Q8/'Output-Calculation-sheet'!Q7*'Output-Calculation-sheet'!Q79</f>
        <v>567706174.14564013</v>
      </c>
      <c r="R96" s="2">
        <f>R8/'Output-Calculation-sheet'!R7*'Output-Calculation-sheet'!R79</f>
        <v>753505044.49422204</v>
      </c>
      <c r="S96" s="2">
        <f>S8/'Output-Calculation-sheet'!S7*'Output-Calculation-sheet'!S79</f>
        <v>424947295.67521477</v>
      </c>
      <c r="T96" s="2">
        <f>T8/'Output-Calculation-sheet'!T7*'Output-Calculation-sheet'!T79</f>
        <v>256362945.1628769</v>
      </c>
      <c r="U96" s="2">
        <f>U8/'Output-Calculation-sheet'!U7*'Output-Calculation-sheet'!U79</f>
        <v>201789414.58122456</v>
      </c>
      <c r="V96" s="2">
        <f>V8/'Output-Calculation-sheet'!V7*'Output-Calculation-sheet'!V79</f>
        <v>92614716.098568916</v>
      </c>
      <c r="W96" s="2">
        <f>W8/'Output-Calculation-sheet'!W7*'Output-Calculation-sheet'!W79</f>
        <v>285150062.35663921</v>
      </c>
      <c r="X96" s="2">
        <f>X8/'Output-Calculation-sheet'!X7*'Output-Calculation-sheet'!X79</f>
        <v>128608990.99428387</v>
      </c>
      <c r="Y96" s="2">
        <f>Y8/'Output-Calculation-sheet'!Y7*'Output-Calculation-sheet'!Y79</f>
        <v>176989525.99292582</v>
      </c>
      <c r="AA96" s="2">
        <f t="shared" si="8"/>
        <v>31.437819004230043</v>
      </c>
    </row>
    <row r="97" spans="1:27" x14ac:dyDescent="0.25">
      <c r="A97" s="2">
        <v>2032</v>
      </c>
      <c r="B97" s="2">
        <f>B9/'Output-Calculation-sheet'!B8*'Output-Calculation-sheet'!B80</f>
        <v>10413330396.935102</v>
      </c>
      <c r="C97" s="2">
        <f>C9/'Output-Calculation-sheet'!C8*'Output-Calculation-sheet'!C80</f>
        <v>2459439586.3197894</v>
      </c>
      <c r="D97" s="2">
        <f>D9/'Output-Calculation-sheet'!D8*'Output-Calculation-sheet'!D80</f>
        <v>1878745386.5871186</v>
      </c>
      <c r="E97" s="2">
        <f>E9/'Output-Calculation-sheet'!E8*'Output-Calculation-sheet'!E80</f>
        <v>7909242109.5708427</v>
      </c>
      <c r="F97" s="2">
        <f>F9/'Output-Calculation-sheet'!F8*'Output-Calculation-sheet'!F80</f>
        <v>2168987299.0998201</v>
      </c>
      <c r="G97" s="2">
        <f>G9/'Output-Calculation-sheet'!G8*'Output-Calculation-sheet'!G80</f>
        <v>1329036377.4579625</v>
      </c>
      <c r="H97" s="2">
        <f>H9/'Output-Calculation-sheet'!H8*'Output-Calculation-sheet'!H80</f>
        <v>1740183304.6449678</v>
      </c>
      <c r="I97" s="2">
        <f>I9/'Output-Calculation-sheet'!I8*'Output-Calculation-sheet'!I80</f>
        <v>1002345325.8411236</v>
      </c>
      <c r="J97" s="2">
        <f>J9/'Output-Calculation-sheet'!J8*'Output-Calculation-sheet'!J80</f>
        <v>749030541.46161115</v>
      </c>
      <c r="K97" s="2">
        <f>K9/'Output-Calculation-sheet'!K8*'Output-Calculation-sheet'!K80</f>
        <v>923808085.13724661</v>
      </c>
      <c r="L97" s="2">
        <f>L9/'Output-Calculation-sheet'!L8*'Output-Calculation-sheet'!L80</f>
        <v>891074775.77481985</v>
      </c>
      <c r="M97" s="2">
        <f>M9/'Output-Calculation-sheet'!M8*'Output-Calculation-sheet'!M80</f>
        <v>1372887821.7048407</v>
      </c>
      <c r="N97" s="2">
        <f>N9/'Output-Calculation-sheet'!N8*'Output-Calculation-sheet'!N80</f>
        <v>862593763.93178868</v>
      </c>
      <c r="O97" s="2">
        <f>O9/'Output-Calculation-sheet'!O8*'Output-Calculation-sheet'!O80</f>
        <v>320641769.94287813</v>
      </c>
      <c r="P97" s="2">
        <f>P9/'Output-Calculation-sheet'!P8*'Output-Calculation-sheet'!P80</f>
        <v>1617146467.1123447</v>
      </c>
      <c r="Q97" s="2">
        <f>Q9/'Output-Calculation-sheet'!Q8*'Output-Calculation-sheet'!Q80</f>
        <v>699473315.67682981</v>
      </c>
      <c r="R97" s="2">
        <f>R9/'Output-Calculation-sheet'!R8*'Output-Calculation-sheet'!R80</f>
        <v>937297348.98000848</v>
      </c>
      <c r="S97" s="2">
        <f>S9/'Output-Calculation-sheet'!S8*'Output-Calculation-sheet'!S80</f>
        <v>521664979.32644099</v>
      </c>
      <c r="T97" s="2">
        <f>T9/'Output-Calculation-sheet'!T8*'Output-Calculation-sheet'!T80</f>
        <v>304180638.78933704</v>
      </c>
      <c r="U97" s="2">
        <f>U9/'Output-Calculation-sheet'!U8*'Output-Calculation-sheet'!U80</f>
        <v>242043135.23363692</v>
      </c>
      <c r="V97" s="2">
        <f>V9/'Output-Calculation-sheet'!V8*'Output-Calculation-sheet'!V80</f>
        <v>111644825.77842321</v>
      </c>
      <c r="W97" s="2">
        <f>W9/'Output-Calculation-sheet'!W8*'Output-Calculation-sheet'!W80</f>
        <v>345480977.05062807</v>
      </c>
      <c r="X97" s="2">
        <f>X9/'Output-Calculation-sheet'!X8*'Output-Calculation-sheet'!X80</f>
        <v>167327837.62870818</v>
      </c>
      <c r="Y97" s="2">
        <f>Y9/'Output-Calculation-sheet'!Y8*'Output-Calculation-sheet'!Y80</f>
        <v>219652072.24916434</v>
      </c>
      <c r="AA97" s="2">
        <f t="shared" si="8"/>
        <v>39.187258142235422</v>
      </c>
    </row>
    <row r="98" spans="1:27" x14ac:dyDescent="0.25">
      <c r="A98" s="2">
        <v>2033</v>
      </c>
      <c r="B98" s="2">
        <f>B10/'Output-Calculation-sheet'!B9*'Output-Calculation-sheet'!B81</f>
        <v>12264157475.1164</v>
      </c>
      <c r="C98" s="2">
        <f>C10/'Output-Calculation-sheet'!C9*'Output-Calculation-sheet'!C81</f>
        <v>2839897593.3912239</v>
      </c>
      <c r="D98" s="2">
        <f>D10/'Output-Calculation-sheet'!D9*'Output-Calculation-sheet'!D81</f>
        <v>2043013964.9219823</v>
      </c>
      <c r="E98" s="2">
        <f>E10/'Output-Calculation-sheet'!E9*'Output-Calculation-sheet'!E81</f>
        <v>9643807049.7724762</v>
      </c>
      <c r="F98" s="2">
        <f>F10/'Output-Calculation-sheet'!F9*'Output-Calculation-sheet'!F81</f>
        <v>2484732230.1668406</v>
      </c>
      <c r="G98" s="2">
        <f>G10/'Output-Calculation-sheet'!G9*'Output-Calculation-sheet'!G81</f>
        <v>1451631502.1760983</v>
      </c>
      <c r="H98" s="2">
        <f>H10/'Output-Calculation-sheet'!H9*'Output-Calculation-sheet'!H81</f>
        <v>2020893931.5056098</v>
      </c>
      <c r="I98" s="2">
        <f>I10/'Output-Calculation-sheet'!I9*'Output-Calculation-sheet'!I81</f>
        <v>1151692998.9815347</v>
      </c>
      <c r="J98" s="2">
        <f>J10/'Output-Calculation-sheet'!J9*'Output-Calculation-sheet'!J81</f>
        <v>849596719.76531219</v>
      </c>
      <c r="K98" s="2">
        <f>K10/'Output-Calculation-sheet'!K9*'Output-Calculation-sheet'!K81</f>
        <v>1028818873.9691975</v>
      </c>
      <c r="L98" s="2">
        <f>L10/'Output-Calculation-sheet'!L9*'Output-Calculation-sheet'!L81</f>
        <v>1054436221.1163154</v>
      </c>
      <c r="M98" s="2">
        <f>M10/'Output-Calculation-sheet'!M9*'Output-Calculation-sheet'!M81</f>
        <v>1633999773.5762365</v>
      </c>
      <c r="N98" s="2">
        <f>N10/'Output-Calculation-sheet'!N9*'Output-Calculation-sheet'!N81</f>
        <v>993006589.87763417</v>
      </c>
      <c r="O98" s="2">
        <f>O10/'Output-Calculation-sheet'!O9*'Output-Calculation-sheet'!O81</f>
        <v>366250684.90073097</v>
      </c>
      <c r="P98" s="2">
        <f>P10/'Output-Calculation-sheet'!P9*'Output-Calculation-sheet'!P81</f>
        <v>1816973216.3424361</v>
      </c>
      <c r="Q98" s="2">
        <f>Q10/'Output-Calculation-sheet'!Q9*'Output-Calculation-sheet'!Q81</f>
        <v>807341817.48914027</v>
      </c>
      <c r="R98" s="2">
        <f>R10/'Output-Calculation-sheet'!R9*'Output-Calculation-sheet'!R81</f>
        <v>1089729286.8689349</v>
      </c>
      <c r="S98" s="2">
        <f>S10/'Output-Calculation-sheet'!S9*'Output-Calculation-sheet'!S81</f>
        <v>598479489.27504039</v>
      </c>
      <c r="T98" s="2">
        <f>T10/'Output-Calculation-sheet'!T9*'Output-Calculation-sheet'!T81</f>
        <v>337192716.80619121</v>
      </c>
      <c r="U98" s="2">
        <f>U10/'Output-Calculation-sheet'!U9*'Output-Calculation-sheet'!U81</f>
        <v>270944221.48940217</v>
      </c>
      <c r="V98" s="2">
        <f>V10/'Output-Calculation-sheet'!V9*'Output-Calculation-sheet'!V81</f>
        <v>125839529.81259595</v>
      </c>
      <c r="W98" s="2">
        <f>W10/'Output-Calculation-sheet'!W9*'Output-Calculation-sheet'!W81</f>
        <v>389156065.96366858</v>
      </c>
      <c r="X98" s="2">
        <f>X10/'Output-Calculation-sheet'!X9*'Output-Calculation-sheet'!X81</f>
        <v>204010059.73535737</v>
      </c>
      <c r="Y98" s="2">
        <f>Y10/'Output-Calculation-sheet'!Y9*'Output-Calculation-sheet'!Y81</f>
        <v>253987879.33549747</v>
      </c>
      <c r="AA98" s="2">
        <f t="shared" si="8"/>
        <v>45.719589892355856</v>
      </c>
    </row>
    <row r="99" spans="1:27" x14ac:dyDescent="0.25">
      <c r="A99" s="2">
        <v>2034</v>
      </c>
      <c r="B99" s="2">
        <f>B11/'Output-Calculation-sheet'!B10*'Output-Calculation-sheet'!B82</f>
        <v>13795963211.889547</v>
      </c>
      <c r="C99" s="2">
        <f>C11/'Output-Calculation-sheet'!C10*'Output-Calculation-sheet'!C82</f>
        <v>3140414384.7640963</v>
      </c>
      <c r="D99" s="2">
        <f>D11/'Output-Calculation-sheet'!D10*'Output-Calculation-sheet'!D82</f>
        <v>2130234332.0561404</v>
      </c>
      <c r="E99" s="2">
        <f>E11/'Output-Calculation-sheet'!E10*'Output-Calculation-sheet'!E82</f>
        <v>11243012685.253725</v>
      </c>
      <c r="F99" s="2">
        <f>F11/'Output-Calculation-sheet'!F10*'Output-Calculation-sheet'!F82</f>
        <v>2721440762.6352596</v>
      </c>
      <c r="G99" s="2">
        <f>G11/'Output-Calculation-sheet'!G10*'Output-Calculation-sheet'!G82</f>
        <v>1514645937.261251</v>
      </c>
      <c r="H99" s="2">
        <f>H11/'Output-Calculation-sheet'!H10*'Output-Calculation-sheet'!H82</f>
        <v>2241281098.437418</v>
      </c>
      <c r="I99" s="2">
        <f>I11/'Output-Calculation-sheet'!I10*'Output-Calculation-sheet'!I82</f>
        <v>1267348122.2489161</v>
      </c>
      <c r="J99" s="2">
        <f>J11/'Output-Calculation-sheet'!J10*'Output-Calculation-sheet'!J82</f>
        <v>923890536.23199511</v>
      </c>
      <c r="K99" s="2">
        <f>K11/'Output-Calculation-sheet'!K10*'Output-Calculation-sheet'!K82</f>
        <v>1096986148.4957299</v>
      </c>
      <c r="L99" s="2">
        <f>L11/'Output-Calculation-sheet'!L10*'Output-Calculation-sheet'!L82</f>
        <v>1194164596.1916418</v>
      </c>
      <c r="M99" s="2">
        <f>M11/'Output-Calculation-sheet'!M10*'Output-Calculation-sheet'!M82</f>
        <v>1861522899.0484366</v>
      </c>
      <c r="N99" s="2">
        <f>N11/'Output-Calculation-sheet'!N10*'Output-Calculation-sheet'!N82</f>
        <v>1095266295.6304929</v>
      </c>
      <c r="O99" s="2">
        <f>O11/'Output-Calculation-sheet'!O10*'Output-Calculation-sheet'!O82</f>
        <v>401413355.20546186</v>
      </c>
      <c r="P99" s="2">
        <f>P11/'Output-Calculation-sheet'!P10*'Output-Calculation-sheet'!P82</f>
        <v>1940280075.5512826</v>
      </c>
      <c r="Q99" s="2">
        <f>Q11/'Output-Calculation-sheet'!Q10*'Output-Calculation-sheet'!Q82</f>
        <v>892507681.53225493</v>
      </c>
      <c r="R99" s="2">
        <f>R11/'Output-Calculation-sheet'!R10*'Output-Calculation-sheet'!R82</f>
        <v>1210663403.6894956</v>
      </c>
      <c r="S99" s="2">
        <f>S11/'Output-Calculation-sheet'!S10*'Output-Calculation-sheet'!S82</f>
        <v>656077689.24766815</v>
      </c>
      <c r="T99" s="2">
        <f>T11/'Output-Calculation-sheet'!T10*'Output-Calculation-sheet'!T82</f>
        <v>357261905.80439359</v>
      </c>
      <c r="U99" s="2">
        <f>U11/'Output-Calculation-sheet'!U10*'Output-Calculation-sheet'!U82</f>
        <v>289537256.62265927</v>
      </c>
      <c r="V99" s="2">
        <f>V11/'Output-Calculation-sheet'!V10*'Output-Calculation-sheet'!V82</f>
        <v>135625822.28324816</v>
      </c>
      <c r="W99" s="2">
        <f>W11/'Output-Calculation-sheet'!W10*'Output-Calculation-sheet'!W82</f>
        <v>416910260.05458885</v>
      </c>
      <c r="X99" s="2">
        <f>X11/'Output-Calculation-sheet'!X10*'Output-Calculation-sheet'!X82</f>
        <v>238281710.20349744</v>
      </c>
      <c r="Y99" s="2">
        <f>Y11/'Output-Calculation-sheet'!Y10*'Output-Calculation-sheet'!Y82</f>
        <v>279832552.77673382</v>
      </c>
      <c r="AA99" s="2">
        <f t="shared" si="8"/>
        <v>51.044562723115938</v>
      </c>
    </row>
    <row r="100" spans="1:27" x14ac:dyDescent="0.25">
      <c r="A100" s="2">
        <v>2035</v>
      </c>
      <c r="B100" s="2">
        <f>B12/'Output-Calculation-sheet'!B11*'Output-Calculation-sheet'!B83</f>
        <v>15000139080.928688</v>
      </c>
      <c r="C100" s="2">
        <f>C12/'Output-Calculation-sheet'!C11*'Output-Calculation-sheet'!C83</f>
        <v>3366076673.2278004</v>
      </c>
      <c r="D100" s="2">
        <f>D12/'Output-Calculation-sheet'!D11*'Output-Calculation-sheet'!D83</f>
        <v>2156252607.544632</v>
      </c>
      <c r="E100" s="2">
        <f>E12/'Output-Calculation-sheet'!E11*'Output-Calculation-sheet'!E83</f>
        <v>12679987346.4352</v>
      </c>
      <c r="F100" s="2">
        <f>F12/'Output-Calculation-sheet'!F11*'Output-Calculation-sheet'!F83</f>
        <v>2884849388.1313353</v>
      </c>
      <c r="G100" s="2">
        <f>G12/'Output-Calculation-sheet'!G11*'Output-Calculation-sheet'!G83</f>
        <v>1528875835.7245312</v>
      </c>
      <c r="H100" s="2">
        <f>H12/'Output-Calculation-sheet'!H11*'Output-Calculation-sheet'!H83</f>
        <v>2402481826.8221273</v>
      </c>
      <c r="I100" s="2">
        <f>I12/'Output-Calculation-sheet'!I11*'Output-Calculation-sheet'!I83</f>
        <v>1351997418.8314331</v>
      </c>
      <c r="J100" s="2">
        <f>J12/'Output-Calculation-sheet'!J11*'Output-Calculation-sheet'!J83</f>
        <v>974952668.45296633</v>
      </c>
      <c r="K100" s="2">
        <f>K12/'Output-Calculation-sheet'!K11*'Output-Calculation-sheet'!K83</f>
        <v>1133777681.6623006</v>
      </c>
      <c r="L100" s="2">
        <f>L12/'Output-Calculation-sheet'!L11*'Output-Calculation-sheet'!L83</f>
        <v>1309905957.2790196</v>
      </c>
      <c r="M100" s="2">
        <f>M12/'Output-Calculation-sheet'!M11*'Output-Calculation-sheet'!M83</f>
        <v>2054232093.1984193</v>
      </c>
      <c r="N100" s="2">
        <f>N12/'Output-Calculation-sheet'!N11*'Output-Calculation-sheet'!N83</f>
        <v>1171577672.3431468</v>
      </c>
      <c r="O100" s="2">
        <f>O12/'Output-Calculation-sheet'!O11*'Output-Calculation-sheet'!O83</f>
        <v>427238149.94833606</v>
      </c>
      <c r="P100" s="2">
        <f>P12/'Output-Calculation-sheet'!P11*'Output-Calculation-sheet'!P83</f>
        <v>1994570674.2800748</v>
      </c>
      <c r="Q100" s="2">
        <f>Q12/'Output-Calculation-sheet'!Q11*'Output-Calculation-sheet'!Q83</f>
        <v>956398168.92331648</v>
      </c>
      <c r="R100" s="2">
        <f>R12/'Output-Calculation-sheet'!R11*'Output-Calculation-sheet'!R83</f>
        <v>1300770402.9684706</v>
      </c>
      <c r="S100" s="2">
        <f>S12/'Output-Calculation-sheet'!S11*'Output-Calculation-sheet'!S83</f>
        <v>695586407.91028905</v>
      </c>
      <c r="T100" s="2">
        <f>T12/'Output-Calculation-sheet'!T11*'Output-Calculation-sheet'!T83</f>
        <v>366367689.81171316</v>
      </c>
      <c r="U100" s="2">
        <f>U12/'Output-Calculation-sheet'!U11*'Output-Calculation-sheet'!U83</f>
        <v>299086870.65614903</v>
      </c>
      <c r="V100" s="2">
        <f>V12/'Output-Calculation-sheet'!V11*'Output-Calculation-sheet'!V83</f>
        <v>141488993.75623697</v>
      </c>
      <c r="W100" s="2">
        <f>W12/'Output-Calculation-sheet'!W11*'Output-Calculation-sheet'!W83</f>
        <v>430221599.72039062</v>
      </c>
      <c r="X100" s="2">
        <f>X12/'Output-Calculation-sheet'!X11*'Output-Calculation-sheet'!X83</f>
        <v>269797695.19901955</v>
      </c>
      <c r="Y100" s="2">
        <f>Y12/'Output-Calculation-sheet'!Y11*'Output-Calculation-sheet'!Y83</f>
        <v>297399061.2297585</v>
      </c>
      <c r="AA100" s="2">
        <f t="shared" si="8"/>
        <v>55.194031964985349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1371617906.6911347</v>
      </c>
      <c r="C107" s="2">
        <f>C8/'Output-Calculation-sheet'!C7*'Output-Calculation-sheet'!C88</f>
        <v>17687430850.373535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7047895981.0842648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4862458837.1428766</v>
      </c>
      <c r="N107" s="2">
        <f>N8/'Output-Calculation-sheet'!N7*'Output-Calculation-sheet'!N88</f>
        <v>1623242075.0281942</v>
      </c>
      <c r="O107" s="2">
        <f>O8/'Output-Calculation-sheet'!O7*'Output-Calculation-sheet'!O88</f>
        <v>2786707021.0857301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487682006.60381186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526605422.21655077</v>
      </c>
      <c r="Y107" s="2">
        <f>Y8/'Output-Calculation-sheet'!Y7*'Output-Calculation-sheet'!Y88</f>
        <v>0</v>
      </c>
      <c r="AA107" s="2">
        <f t="shared" si="9"/>
        <v>36393.640100226097</v>
      </c>
    </row>
    <row r="108" spans="1:27" x14ac:dyDescent="0.25">
      <c r="A108" s="2">
        <v>2032</v>
      </c>
      <c r="B108" s="2">
        <f>B9/'Output-Calculation-sheet'!B8*'Output-Calculation-sheet'!B89</f>
        <v>6194516561.3819103</v>
      </c>
      <c r="C108" s="2">
        <f>C9/'Output-Calculation-sheet'!C8*'Output-Calculation-sheet'!C89</f>
        <v>21042474559.073696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9688206624.8225689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6684020151.5498161</v>
      </c>
      <c r="N108" s="2">
        <f>N9/'Output-Calculation-sheet'!N8*'Output-Calculation-sheet'!N89</f>
        <v>3145360085.6889014</v>
      </c>
      <c r="O108" s="2">
        <f>O9/'Output-Calculation-sheet'!O8*'Output-Calculation-sheet'!O89</f>
        <v>3367482977.4322662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936014625.46312845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723899361.60856843</v>
      </c>
      <c r="Y108" s="2">
        <f>Y9/'Output-Calculation-sheet'!Y8*'Output-Calculation-sheet'!Y89</f>
        <v>0</v>
      </c>
      <c r="AA108" s="2">
        <f t="shared" si="9"/>
        <v>51781.974947020848</v>
      </c>
    </row>
    <row r="109" spans="1:27" x14ac:dyDescent="0.25">
      <c r="A109" s="2">
        <v>2033</v>
      </c>
      <c r="B109" s="2">
        <f>B10/'Output-Calculation-sheet'!B9*'Output-Calculation-sheet'!B90</f>
        <v>17093101177.760046</v>
      </c>
      <c r="C109" s="2">
        <f>C10/'Output-Calculation-sheet'!C9*'Output-Calculation-sheet'!C90</f>
        <v>25212976386.484245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12508642579.574377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8629876369.3378716</v>
      </c>
      <c r="N109" s="2">
        <f>N10/'Output-Calculation-sheet'!N9*'Output-Calculation-sheet'!N90</f>
        <v>5083705659.818861</v>
      </c>
      <c r="O109" s="2">
        <f>O10/'Output-Calculation-sheet'!O9*'Output-Calculation-sheet'!O90</f>
        <v>3938766627.8140764</v>
      </c>
      <c r="P109" s="2">
        <f>P10/'Output-Calculation-sheet'!P9*'Output-Calculation-sheet'!P90</f>
        <v>0</v>
      </c>
      <c r="Q109" s="2">
        <f>Q10/'Output-Calculation-sheet'!Q9*'Output-Calculation-sheet'!Q90</f>
        <v>165457649.93183392</v>
      </c>
      <c r="R109" s="2">
        <f>R10/'Output-Calculation-sheet'!R9*'Output-Calculation-sheet'!R90</f>
        <v>-3.4091037299910037E-7</v>
      </c>
      <c r="S109" s="2">
        <f>S10/'Output-Calculation-sheet'!S9*'Output-Calculation-sheet'!S90</f>
        <v>2043466656.0436785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934641720.85478127</v>
      </c>
      <c r="Y109" s="2">
        <f>Y10/'Output-Calculation-sheet'!Y9*'Output-Calculation-sheet'!Y90</f>
        <v>0</v>
      </c>
      <c r="AA109" s="2">
        <f t="shared" si="9"/>
        <v>75610.634827619782</v>
      </c>
    </row>
    <row r="110" spans="1:27" x14ac:dyDescent="0.25">
      <c r="A110" s="2">
        <v>2034</v>
      </c>
      <c r="B110" s="2">
        <f>B11/'Output-Calculation-sheet'!B10*'Output-Calculation-sheet'!B91</f>
        <v>41468370137.848564</v>
      </c>
      <c r="C110" s="2">
        <f>C11/'Output-Calculation-sheet'!C10*'Output-Calculation-sheet'!C91</f>
        <v>30568248404.776882</v>
      </c>
      <c r="D110" s="2">
        <f>D11/'Output-Calculation-sheet'!D10*'Output-Calculation-sheet'!D91</f>
        <v>0</v>
      </c>
      <c r="E110" s="2">
        <f>E11/'Output-Calculation-sheet'!E10*'Output-Calculation-sheet'!E91</f>
        <v>877686413.14363062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15116477494.028021</v>
      </c>
      <c r="I110" s="2">
        <f>I11/'Output-Calculation-sheet'!I10*'Output-Calculation-sheet'!I91</f>
        <v>-1.4553536357416389E-6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705444682.89051068</v>
      </c>
      <c r="M110" s="2">
        <f>M11/'Output-Calculation-sheet'!M10*'Output-Calculation-sheet'!M91</f>
        <v>10698598442.566431</v>
      </c>
      <c r="N110" s="2">
        <f>N11/'Output-Calculation-sheet'!N10*'Output-Calculation-sheet'!N91</f>
        <v>7404158229.2583008</v>
      </c>
      <c r="O110" s="2">
        <f>O11/'Output-Calculation-sheet'!O10*'Output-Calculation-sheet'!O91</f>
        <v>4694693389.9413109</v>
      </c>
      <c r="P110" s="2">
        <f>P11/'Output-Calculation-sheet'!P10*'Output-Calculation-sheet'!P91</f>
        <v>0</v>
      </c>
      <c r="Q110" s="2">
        <f>Q11/'Output-Calculation-sheet'!Q10*'Output-Calculation-sheet'!Q91</f>
        <v>1185282941.4551373</v>
      </c>
      <c r="R110" s="2">
        <f>R11/'Output-Calculation-sheet'!R10*'Output-Calculation-sheet'!R91</f>
        <v>0</v>
      </c>
      <c r="S110" s="2">
        <f>S11/'Output-Calculation-sheet'!S10*'Output-Calculation-sheet'!S91</f>
        <v>3624651611.5977511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1044417791.2369763</v>
      </c>
      <c r="Y110" s="2">
        <f>Y11/'Output-Calculation-sheet'!Y10*'Output-Calculation-sheet'!Y91</f>
        <v>46443518.258117676</v>
      </c>
      <c r="AA110" s="2">
        <f t="shared" si="9"/>
        <v>117434.47305700163</v>
      </c>
    </row>
    <row r="111" spans="1:27" x14ac:dyDescent="0.25">
      <c r="A111" s="2">
        <v>2035</v>
      </c>
      <c r="B111" s="2">
        <f>B12/'Output-Calculation-sheet'!B11*'Output-Calculation-sheet'!B92</f>
        <v>45055503926.057541</v>
      </c>
      <c r="C111" s="2">
        <f>C12/'Output-Calculation-sheet'!C11*'Output-Calculation-sheet'!C92</f>
        <v>39502418670.463501</v>
      </c>
      <c r="D111" s="2">
        <f>D12/'Output-Calculation-sheet'!D11*'Output-Calculation-sheet'!D92</f>
        <v>-1.1792754458979666E-6</v>
      </c>
      <c r="E111" s="2">
        <f>E12/'Output-Calculation-sheet'!E11*'Output-Calculation-sheet'!E92</f>
        <v>3654372427.8427315</v>
      </c>
      <c r="F111" s="2">
        <f>F12/'Output-Calculation-sheet'!F11*'Output-Calculation-sheet'!F92</f>
        <v>-2.5906645473242145E-7</v>
      </c>
      <c r="G111" s="2">
        <f>G12/'Output-Calculation-sheet'!G11*'Output-Calculation-sheet'!G92</f>
        <v>0</v>
      </c>
      <c r="H111" s="2">
        <f>H12/'Output-Calculation-sheet'!H11*'Output-Calculation-sheet'!H92</f>
        <v>16419956534.732323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1778129108.1627285</v>
      </c>
      <c r="M111" s="2">
        <f>M12/'Output-Calculation-sheet'!M11*'Output-Calculation-sheet'!M92</f>
        <v>11700892806.886654</v>
      </c>
      <c r="N111" s="2">
        <f>N12/'Output-Calculation-sheet'!N11*'Output-Calculation-sheet'!N92</f>
        <v>8238078370.261548</v>
      </c>
      <c r="O111" s="2">
        <f>O12/'Output-Calculation-sheet'!O11*'Output-Calculation-sheet'!O92</f>
        <v>5969084298.9048615</v>
      </c>
      <c r="P111" s="2">
        <f>P12/'Output-Calculation-sheet'!P11*'Output-Calculation-sheet'!P92</f>
        <v>353990295.81201911</v>
      </c>
      <c r="Q111" s="2">
        <f>Q12/'Output-Calculation-sheet'!Q11*'Output-Calculation-sheet'!Q92</f>
        <v>1565596690.4572492</v>
      </c>
      <c r="R111" s="2">
        <f>R12/'Output-Calculation-sheet'!R11*'Output-Calculation-sheet'!R92</f>
        <v>0</v>
      </c>
      <c r="S111" s="2">
        <f>S12/'Output-Calculation-sheet'!S11*'Output-Calculation-sheet'!S92</f>
        <v>3935532786.6713214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1143752391.9232359</v>
      </c>
      <c r="Y111" s="2">
        <f>Y12/'Output-Calculation-sheet'!Y11*'Output-Calculation-sheet'!Y92</f>
        <v>77451727.124952018</v>
      </c>
      <c r="AA111" s="2">
        <f t="shared" si="9"/>
        <v>139394.76003530066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46573653762.247322</v>
      </c>
      <c r="C118" s="2">
        <f>C8/'Output-Calculation-sheet'!C7*'Output-Calculation-sheet'!C97</f>
        <v>0</v>
      </c>
      <c r="D118" s="2">
        <f>D8/'Output-Calculation-sheet'!D7*'Output-Calculation-sheet'!D97</f>
        <v>20137566570.62141</v>
      </c>
      <c r="E118" s="2">
        <f>E8/'Output-Calculation-sheet'!E7*'Output-Calculation-sheet'!E97</f>
        <v>15977115578.003582</v>
      </c>
      <c r="F118" s="2">
        <f>F8/'Output-Calculation-sheet'!F7*'Output-Calculation-sheet'!F97</f>
        <v>10285042630.803164</v>
      </c>
      <c r="G118" s="2">
        <f>G8/'Output-Calculation-sheet'!G7*'Output-Calculation-sheet'!G97</f>
        <v>7226553217.7786293</v>
      </c>
      <c r="H118" s="2">
        <f>H8/'Output-Calculation-sheet'!H7*'Output-Calculation-sheet'!H97</f>
        <v>0</v>
      </c>
      <c r="I118" s="2">
        <f>I8/'Output-Calculation-sheet'!I7*'Output-Calculation-sheet'!I97</f>
        <v>6583958835.4396992</v>
      </c>
      <c r="J118" s="2">
        <f>J8/'Output-Calculation-sheet'!J7*'Output-Calculation-sheet'!J97</f>
        <v>6408372054.9619751</v>
      </c>
      <c r="K118" s="2">
        <f>K8/'Output-Calculation-sheet'!K7*'Output-Calculation-sheet'!K97</f>
        <v>6346935069.3999138</v>
      </c>
      <c r="L118" s="2">
        <f>L8/'Output-Calculation-sheet'!L7*'Output-Calculation-sheet'!L97</f>
        <v>5091593840.4188967</v>
      </c>
      <c r="M118" s="2">
        <f>M8/'Output-Calculation-sheet'!M7*'Output-Calculation-sheet'!M97</f>
        <v>0</v>
      </c>
      <c r="N118" s="2">
        <f>N8/'Output-Calculation-sheet'!N7*'Output-Calculation-sheet'!N97</f>
        <v>3150086003.5097685</v>
      </c>
      <c r="O118" s="2">
        <f>O8/'Output-Calculation-sheet'!O7*'Output-Calculation-sheet'!O97</f>
        <v>0</v>
      </c>
      <c r="P118" s="2">
        <f>P8/'Output-Calculation-sheet'!P7*'Output-Calculation-sheet'!P97</f>
        <v>4345412831.3902044</v>
      </c>
      <c r="Q118" s="2">
        <f>Q8/'Output-Calculation-sheet'!Q7*'Output-Calculation-sheet'!Q97</f>
        <v>4275183126.8166757</v>
      </c>
      <c r="R118" s="2">
        <f>R8/'Output-Calculation-sheet'!R7*'Output-Calculation-sheet'!R97</f>
        <v>4112922784.8457313</v>
      </c>
      <c r="S118" s="2">
        <f>S8/'Output-Calculation-sheet'!S7*'Output-Calculation-sheet'!S97</f>
        <v>2245977489.8034177</v>
      </c>
      <c r="T118" s="2">
        <f>T8/'Output-Calculation-sheet'!T7*'Output-Calculation-sheet'!T97</f>
        <v>1511875345.2431993</v>
      </c>
      <c r="U118" s="2">
        <f>U8/'Output-Calculation-sheet'!U7*'Output-Calculation-sheet'!U97</f>
        <v>1316791508.54353</v>
      </c>
      <c r="V118" s="2">
        <f>V8/'Output-Calculation-sheet'!V7*'Output-Calculation-sheet'!V97</f>
        <v>1013956195.8542476</v>
      </c>
      <c r="W118" s="2">
        <f>W8/'Output-Calculation-sheet'!W7*'Output-Calculation-sheet'!W97</f>
        <v>877861005.42682874</v>
      </c>
      <c r="X118" s="2">
        <f>X8/'Output-Calculation-sheet'!X7*'Output-Calculation-sheet'!X97</f>
        <v>0</v>
      </c>
      <c r="Y118" s="2">
        <f>Y8/'Output-Calculation-sheet'!Y7*'Output-Calculation-sheet'!Y97</f>
        <v>512226829.85140264</v>
      </c>
      <c r="AA118" s="2">
        <f t="shared" si="10"/>
        <v>147993.08468095955</v>
      </c>
    </row>
    <row r="119" spans="1:27" x14ac:dyDescent="0.25">
      <c r="A119" s="2">
        <v>2032</v>
      </c>
      <c r="B119" s="2">
        <f>B9/'Output-Calculation-sheet'!B8*'Output-Calculation-sheet'!B98</f>
        <v>59711639727.589493</v>
      </c>
      <c r="C119" s="2">
        <f>C9/'Output-Calculation-sheet'!C8*'Output-Calculation-sheet'!C98</f>
        <v>0</v>
      </c>
      <c r="D119" s="2">
        <f>D9/'Output-Calculation-sheet'!D8*'Output-Calculation-sheet'!D98</f>
        <v>27681347165.012623</v>
      </c>
      <c r="E119" s="2">
        <f>E9/'Output-Calculation-sheet'!E8*'Output-Calculation-sheet'!E98</f>
        <v>21962334804.770947</v>
      </c>
      <c r="F119" s="2">
        <f>F9/'Output-Calculation-sheet'!F8*'Output-Calculation-sheet'!F98</f>
        <v>14137947401.770195</v>
      </c>
      <c r="G119" s="2">
        <f>G9/'Output-Calculation-sheet'!G8*'Output-Calculation-sheet'!G98</f>
        <v>9933709882.5447731</v>
      </c>
      <c r="H119" s="2">
        <f>H9/'Output-Calculation-sheet'!H8*'Output-Calculation-sheet'!H98</f>
        <v>2.0856097906265777E-7</v>
      </c>
      <c r="I119" s="2">
        <f>I9/'Output-Calculation-sheet'!I8*'Output-Calculation-sheet'!I98</f>
        <v>9050392336.9347324</v>
      </c>
      <c r="J119" s="2">
        <f>J9/'Output-Calculation-sheet'!J8*'Output-Calculation-sheet'!J98</f>
        <v>8809025127.181076</v>
      </c>
      <c r="K119" s="2">
        <f>K9/'Output-Calculation-sheet'!K8*'Output-Calculation-sheet'!K98</f>
        <v>8724574478.2445049</v>
      </c>
      <c r="L119" s="2">
        <f>L9/'Output-Calculation-sheet'!L8*'Output-Calculation-sheet'!L98</f>
        <v>6998968726.964036</v>
      </c>
      <c r="M119" s="2">
        <f>M9/'Output-Calculation-sheet'!M8*'Output-Calculation-sheet'!M98</f>
        <v>0</v>
      </c>
      <c r="N119" s="2">
        <f>N9/'Output-Calculation-sheet'!N8*'Output-Calculation-sheet'!N98</f>
        <v>3415566288.572526</v>
      </c>
      <c r="O119" s="2">
        <f>O9/'Output-Calculation-sheet'!O8*'Output-Calculation-sheet'!O98</f>
        <v>0</v>
      </c>
      <c r="P119" s="2">
        <f>P9/'Output-Calculation-sheet'!P8*'Output-Calculation-sheet'!P98</f>
        <v>5973218566.8732042</v>
      </c>
      <c r="Q119" s="2">
        <f>Q9/'Output-Calculation-sheet'!Q8*'Output-Calculation-sheet'!Q98</f>
        <v>5876719395.7575111</v>
      </c>
      <c r="R119" s="2">
        <f>R9/'Output-Calculation-sheet'!R8*'Output-Calculation-sheet'!R98</f>
        <v>5653674785.7178936</v>
      </c>
      <c r="S119" s="2">
        <f>S9/'Output-Calculation-sheet'!S8*'Output-Calculation-sheet'!S98</f>
        <v>2821508738.9020972</v>
      </c>
      <c r="T119" s="2">
        <f>T9/'Output-Calculation-sheet'!T8*'Output-Calculation-sheet'!T98</f>
        <v>2078242154.6205688</v>
      </c>
      <c r="U119" s="2">
        <f>U9/'Output-Calculation-sheet'!U8*'Output-Calculation-sheet'!U98</f>
        <v>1810078261.7267466</v>
      </c>
      <c r="V119" s="2">
        <f>V9/'Output-Calculation-sheet'!V8*'Output-Calculation-sheet'!V98</f>
        <v>1393796463.323144</v>
      </c>
      <c r="W119" s="2">
        <f>W9/'Output-Calculation-sheet'!W8*'Output-Calculation-sheet'!W98</f>
        <v>1206718651.5314848</v>
      </c>
      <c r="X119" s="2">
        <f>X9/'Output-Calculation-sheet'!X8*'Output-Calculation-sheet'!X98</f>
        <v>0</v>
      </c>
      <c r="Y119" s="2">
        <f>Y9/'Output-Calculation-sheet'!Y8*'Output-Calculation-sheet'!Y98</f>
        <v>704113093.16142344</v>
      </c>
      <c r="AA119" s="2">
        <f t="shared" si="10"/>
        <v>197943.57605119902</v>
      </c>
    </row>
    <row r="120" spans="1:27" x14ac:dyDescent="0.25">
      <c r="A120" s="2">
        <v>2033</v>
      </c>
      <c r="B120" s="2">
        <f>B10/'Output-Calculation-sheet'!B9*'Output-Calculation-sheet'!B99</f>
        <v>67991962347.255035</v>
      </c>
      <c r="C120" s="2">
        <f>C10/'Output-Calculation-sheet'!C9*'Output-Calculation-sheet'!C99</f>
        <v>0</v>
      </c>
      <c r="D120" s="2">
        <f>D10/'Output-Calculation-sheet'!D9*'Output-Calculation-sheet'!D99</f>
        <v>35738885225.423058</v>
      </c>
      <c r="E120" s="2">
        <f>E10/'Output-Calculation-sheet'!E9*'Output-Calculation-sheet'!E99</f>
        <v>28355175064.502483</v>
      </c>
      <c r="F120" s="2">
        <f>F10/'Output-Calculation-sheet'!F9*'Output-Calculation-sheet'!F99</f>
        <v>18253243704.627186</v>
      </c>
      <c r="G120" s="2">
        <f>G10/'Output-Calculation-sheet'!G9*'Output-Calculation-sheet'!G99</f>
        <v>12825229973.62339</v>
      </c>
      <c r="H120" s="2">
        <f>H10/'Output-Calculation-sheet'!H9*'Output-Calculation-sheet'!H99</f>
        <v>0</v>
      </c>
      <c r="I120" s="2">
        <f>I10/'Output-Calculation-sheet'!I9*'Output-Calculation-sheet'!I99</f>
        <v>11684795574.492926</v>
      </c>
      <c r="J120" s="2">
        <f>J10/'Output-Calculation-sheet'!J9*'Output-Calculation-sheet'!J99</f>
        <v>11373170776.682611</v>
      </c>
      <c r="K120" s="2">
        <f>K10/'Output-Calculation-sheet'!K9*'Output-Calculation-sheet'!K99</f>
        <v>11264139270.772722</v>
      </c>
      <c r="L120" s="2">
        <f>L10/'Output-Calculation-sheet'!L9*'Output-Calculation-sheet'!L99</f>
        <v>9036240162.1152725</v>
      </c>
      <c r="M120" s="2">
        <f>M10/'Output-Calculation-sheet'!M9*'Output-Calculation-sheet'!M99</f>
        <v>0</v>
      </c>
      <c r="N120" s="2">
        <f>N10/'Output-Calculation-sheet'!N9*'Output-Calculation-sheet'!N99</f>
        <v>3386491886.2240868</v>
      </c>
      <c r="O120" s="2">
        <f>O10/'Output-Calculation-sheet'!O9*'Output-Calculation-sheet'!O99</f>
        <v>0</v>
      </c>
      <c r="P120" s="2">
        <f>P10/'Output-Calculation-sheet'!P9*'Output-Calculation-sheet'!P99</f>
        <v>7711512210.7735882</v>
      </c>
      <c r="Q120" s="2">
        <f>Q10/'Output-Calculation-sheet'!Q9*'Output-Calculation-sheet'!Q99</f>
        <v>7421794310.1356411</v>
      </c>
      <c r="R120" s="2">
        <f>R10/'Output-Calculation-sheet'!R9*'Output-Calculation-sheet'!R99</f>
        <v>7299009362.4903946</v>
      </c>
      <c r="S120" s="2">
        <f>S10/'Output-Calculation-sheet'!S9*'Output-Calculation-sheet'!S99</f>
        <v>2807474910.8230333</v>
      </c>
      <c r="T120" s="2">
        <f>T10/'Output-Calculation-sheet'!T9*'Output-Calculation-sheet'!T99</f>
        <v>2683157253.2590804</v>
      </c>
      <c r="U120" s="2">
        <f>U10/'Output-Calculation-sheet'!U9*'Output-Calculation-sheet'!U99</f>
        <v>2337466759.4852095</v>
      </c>
      <c r="V120" s="2">
        <f>V10/'Output-Calculation-sheet'!V9*'Output-Calculation-sheet'!V99</f>
        <v>1799505144.2296958</v>
      </c>
      <c r="W120" s="2">
        <f>W10/'Output-Calculation-sheet'!W9*'Output-Calculation-sheet'!W99</f>
        <v>1557972645.0824988</v>
      </c>
      <c r="X120" s="2">
        <f>X10/'Output-Calculation-sheet'!X9*'Output-Calculation-sheet'!X99</f>
        <v>0</v>
      </c>
      <c r="Y120" s="2">
        <f>Y10/'Output-Calculation-sheet'!Y9*'Output-Calculation-sheet'!Y99</f>
        <v>909068868.59089565</v>
      </c>
      <c r="AA120" s="2">
        <f t="shared" si="10"/>
        <v>244436.2954505888</v>
      </c>
    </row>
    <row r="121" spans="1:27" x14ac:dyDescent="0.25">
      <c r="A121" s="2">
        <v>2034</v>
      </c>
      <c r="B121" s="2">
        <f>B11/'Output-Calculation-sheet'!B10*'Output-Calculation-sheet'!B100</f>
        <v>64003805106.783058</v>
      </c>
      <c r="C121" s="2">
        <f>C11/'Output-Calculation-sheet'!C10*'Output-Calculation-sheet'!C100</f>
        <v>0</v>
      </c>
      <c r="D121" s="2">
        <f>D11/'Output-Calculation-sheet'!D10*'Output-Calculation-sheet'!D100</f>
        <v>44305128156.138519</v>
      </c>
      <c r="E121" s="2">
        <f>E11/'Output-Calculation-sheet'!E10*'Output-Calculation-sheet'!E100</f>
        <v>34279744859.823494</v>
      </c>
      <c r="F121" s="2">
        <f>F11/'Output-Calculation-sheet'!F10*'Output-Calculation-sheet'!F100</f>
        <v>22628533189.036507</v>
      </c>
      <c r="G121" s="2">
        <f>G11/'Output-Calculation-sheet'!G10*'Output-Calculation-sheet'!G100</f>
        <v>15898444210.1401</v>
      </c>
      <c r="H121" s="2">
        <f>H11/'Output-Calculation-sheet'!H10*'Output-Calculation-sheet'!H100</f>
        <v>0</v>
      </c>
      <c r="I121" s="2">
        <f>I11/'Output-Calculation-sheet'!I10*'Output-Calculation-sheet'!I100</f>
        <v>14485014796.667337</v>
      </c>
      <c r="J121" s="2">
        <f>J11/'Output-Calculation-sheet'!J10*'Output-Calculation-sheet'!J100</f>
        <v>14098850431.194729</v>
      </c>
      <c r="K121" s="2">
        <f>K11/'Output-Calculation-sheet'!K10*'Output-Calculation-sheet'!K100</f>
        <v>13964043249.882769</v>
      </c>
      <c r="L121" s="2">
        <f>L11/'Output-Calculation-sheet'!L10*'Output-Calculation-sheet'!L100</f>
        <v>10496373360.336254</v>
      </c>
      <c r="M121" s="2">
        <f>M11/'Output-Calculation-sheet'!M10*'Output-Calculation-sheet'!M100</f>
        <v>7.4992353946427174E-7</v>
      </c>
      <c r="N121" s="2">
        <f>N11/'Output-Calculation-sheet'!N10*'Output-Calculation-sheet'!N100</f>
        <v>3096484853.2218537</v>
      </c>
      <c r="O121" s="2">
        <f>O11/'Output-Calculation-sheet'!O10*'Output-Calculation-sheet'!O100</f>
        <v>0</v>
      </c>
      <c r="P121" s="2">
        <f>P11/'Output-Calculation-sheet'!P10*'Output-Calculation-sheet'!P100</f>
        <v>9559479125.3817368</v>
      </c>
      <c r="Q121" s="2">
        <f>Q11/'Output-Calculation-sheet'!Q10*'Output-Calculation-sheet'!Q100</f>
        <v>7921995166.0586395</v>
      </c>
      <c r="R121" s="2">
        <f>R11/'Output-Calculation-sheet'!R10*'Output-Calculation-sheet'!R100</f>
        <v>9048116134.5697899</v>
      </c>
      <c r="S121" s="2">
        <f>S11/'Output-Calculation-sheet'!S10*'Output-Calculation-sheet'!S100</f>
        <v>2388962958.498486</v>
      </c>
      <c r="T121" s="2">
        <f>T11/'Output-Calculation-sheet'!T10*'Output-Calculation-sheet'!T100</f>
        <v>3326085199.1629853</v>
      </c>
      <c r="U121" s="2">
        <f>U11/'Output-Calculation-sheet'!U10*'Output-Calculation-sheet'!U100</f>
        <v>2803011541.6143117</v>
      </c>
      <c r="V121" s="2">
        <f>V11/'Output-Calculation-sheet'!V10*'Output-Calculation-sheet'!V100</f>
        <v>2231459948.4408875</v>
      </c>
      <c r="W121" s="2">
        <f>W11/'Output-Calculation-sheet'!W10*'Output-Calculation-sheet'!W100</f>
        <v>1931460019.3386612</v>
      </c>
      <c r="X121" s="2">
        <f>X11/'Output-Calculation-sheet'!X10*'Output-Calculation-sheet'!X100</f>
        <v>74383305.73233518</v>
      </c>
      <c r="Y121" s="2">
        <f>Y11/'Output-Calculation-sheet'!Y10*'Output-Calculation-sheet'!Y100</f>
        <v>1080499445.6436434</v>
      </c>
      <c r="AA121" s="2">
        <f t="shared" si="10"/>
        <v>277621.8750576661</v>
      </c>
    </row>
    <row r="122" spans="1:27" x14ac:dyDescent="0.25">
      <c r="A122" s="2">
        <v>2035</v>
      </c>
      <c r="B122" s="2">
        <f>B12/'Output-Calculation-sheet'!B11*'Output-Calculation-sheet'!B101</f>
        <v>67498353532.292374</v>
      </c>
      <c r="C122" s="2">
        <f>C12/'Output-Calculation-sheet'!C11*'Output-Calculation-sheet'!C101</f>
        <v>0</v>
      </c>
      <c r="D122" s="2">
        <f>D12/'Output-Calculation-sheet'!D11*'Output-Calculation-sheet'!D101</f>
        <v>47234274509.596191</v>
      </c>
      <c r="E122" s="2">
        <f>E12/'Output-Calculation-sheet'!E11*'Output-Calculation-sheet'!E101</f>
        <v>36681701320.090042</v>
      </c>
      <c r="F122" s="2">
        <f>F12/'Output-Calculation-sheet'!F11*'Output-Calculation-sheet'!F101</f>
        <v>24989532457.07362</v>
      </c>
      <c r="G122" s="2">
        <f>G12/'Output-Calculation-sheet'!G11*'Output-Calculation-sheet'!G101</f>
        <v>16932354551.704771</v>
      </c>
      <c r="H122" s="2">
        <f>H12/'Output-Calculation-sheet'!H11*'Output-Calculation-sheet'!H101</f>
        <v>0</v>
      </c>
      <c r="I122" s="2">
        <f>I12/'Output-Calculation-sheet'!I11*'Output-Calculation-sheet'!I101</f>
        <v>15536762999.11491</v>
      </c>
      <c r="J122" s="2">
        <f>J12/'Output-Calculation-sheet'!J11*'Output-Calculation-sheet'!J101</f>
        <v>15553724783.995443</v>
      </c>
      <c r="K122" s="2">
        <f>K12/'Output-Calculation-sheet'!K11*'Output-Calculation-sheet'!K101</f>
        <v>15270232105.761961</v>
      </c>
      <c r="L122" s="2">
        <f>L12/'Output-Calculation-sheet'!L11*'Output-Calculation-sheet'!L101</f>
        <v>11062290457.536329</v>
      </c>
      <c r="M122" s="2">
        <f>M12/'Output-Calculation-sheet'!M11*'Output-Calculation-sheet'!M101</f>
        <v>0</v>
      </c>
      <c r="N122" s="2">
        <f>N12/'Output-Calculation-sheet'!N11*'Output-Calculation-sheet'!N101</f>
        <v>3221013970.9519839</v>
      </c>
      <c r="O122" s="2">
        <f>O12/'Output-Calculation-sheet'!O11*'Output-Calculation-sheet'!O101</f>
        <v>0</v>
      </c>
      <c r="P122" s="2">
        <f>P12/'Output-Calculation-sheet'!P11*'Output-Calculation-sheet'!P101</f>
        <v>10268614998.858105</v>
      </c>
      <c r="Q122" s="2">
        <f>Q12/'Output-Calculation-sheet'!Q11*'Output-Calculation-sheet'!Q101</f>
        <v>8301647393.6304245</v>
      </c>
      <c r="R122" s="2">
        <f>R12/'Output-Calculation-sheet'!R11*'Output-Calculation-sheet'!R101</f>
        <v>10171093475.173027</v>
      </c>
      <c r="S122" s="2">
        <f>S12/'Output-Calculation-sheet'!S11*'Output-Calculation-sheet'!S101</f>
        <v>2432903988.1432729</v>
      </c>
      <c r="T122" s="2">
        <f>T12/'Output-Calculation-sheet'!T11*'Output-Calculation-sheet'!T101</f>
        <v>3795507320.0027356</v>
      </c>
      <c r="U122" s="2">
        <f>U12/'Output-Calculation-sheet'!U11*'Output-Calculation-sheet'!U101</f>
        <v>2997659801.9389477</v>
      </c>
      <c r="V122" s="2">
        <f>V12/'Output-Calculation-sheet'!V11*'Output-Calculation-sheet'!V101</f>
        <v>2610265856.9137173</v>
      </c>
      <c r="W122" s="2">
        <f>W12/'Output-Calculation-sheet'!W11*'Output-Calculation-sheet'!W101</f>
        <v>2199862696.4493814</v>
      </c>
      <c r="X122" s="2">
        <f>X12/'Output-Calculation-sheet'!X11*'Output-Calculation-sheet'!X101</f>
        <v>77564459.512232035</v>
      </c>
      <c r="Y122" s="2">
        <f>Y12/'Output-Calculation-sheet'!Y11*'Output-Calculation-sheet'!Y101</f>
        <v>1162063558.2629364</v>
      </c>
      <c r="AA122" s="2">
        <f t="shared" si="10"/>
        <v>297997.42423700239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47945272542.06588</v>
      </c>
      <c r="C129" s="2">
        <f>C8/'Output-Calculation-sheet'!C7*'Output-Calculation-sheet'!C106</f>
        <v>28101605450.851501</v>
      </c>
      <c r="D129" s="2">
        <f>D8/'Output-Calculation-sheet'!D7*'Output-Calculation-sheet'!D106</f>
        <v>20137566570.62141</v>
      </c>
      <c r="E129" s="2">
        <f>E8/'Output-Calculation-sheet'!E7*'Output-Calculation-sheet'!E106</f>
        <v>15977115578.003582</v>
      </c>
      <c r="F129" s="2">
        <f>F8/'Output-Calculation-sheet'!F7*'Output-Calculation-sheet'!F106</f>
        <v>10285042630.803164</v>
      </c>
      <c r="G129" s="2">
        <f>G8/'Output-Calculation-sheet'!G7*'Output-Calculation-sheet'!G106</f>
        <v>7226553217.7786293</v>
      </c>
      <c r="H129" s="2">
        <f>H8/'Output-Calculation-sheet'!H7*'Output-Calculation-sheet'!H106</f>
        <v>7049225259.8107777</v>
      </c>
      <c r="I129" s="2">
        <f>I8/'Output-Calculation-sheet'!I7*'Output-Calculation-sheet'!I106</f>
        <v>6583958835.4396992</v>
      </c>
      <c r="J129" s="2">
        <f>J8/'Output-Calculation-sheet'!J7*'Output-Calculation-sheet'!J106</f>
        <v>6408372054.9619751</v>
      </c>
      <c r="K129" s="2">
        <f>K8/'Output-Calculation-sheet'!K7*'Output-Calculation-sheet'!K106</f>
        <v>6346935069.3999138</v>
      </c>
      <c r="L129" s="2">
        <f>L8/'Output-Calculation-sheet'!L7*'Output-Calculation-sheet'!L106</f>
        <v>5091593840.4188967</v>
      </c>
      <c r="M129" s="2">
        <f>M8/'Output-Calculation-sheet'!M7*'Output-Calculation-sheet'!M106</f>
        <v>4863350926.4448004</v>
      </c>
      <c r="N129" s="2">
        <f>N8/'Output-Calculation-sheet'!N7*'Output-Calculation-sheet'!N106</f>
        <v>4773365813.4008131</v>
      </c>
      <c r="O129" s="2">
        <f>O8/'Output-Calculation-sheet'!O7*'Output-Calculation-sheet'!O106</f>
        <v>6122226167.2735729</v>
      </c>
      <c r="P129" s="2">
        <f>P8/'Output-Calculation-sheet'!P7*'Output-Calculation-sheet'!P106</f>
        <v>4345412831.3902044</v>
      </c>
      <c r="Q129" s="2">
        <f>Q8/'Output-Calculation-sheet'!Q7*'Output-Calculation-sheet'!Q106</f>
        <v>4275183126.8166757</v>
      </c>
      <c r="R129" s="2">
        <f>R8/'Output-Calculation-sheet'!R7*'Output-Calculation-sheet'!R106</f>
        <v>4112922784.8457313</v>
      </c>
      <c r="S129" s="2">
        <f>S8/'Output-Calculation-sheet'!S7*'Output-Calculation-sheet'!S106</f>
        <v>2733659178.3062391</v>
      </c>
      <c r="T129" s="2">
        <f>T8/'Output-Calculation-sheet'!T7*'Output-Calculation-sheet'!T106</f>
        <v>1511875345.2431993</v>
      </c>
      <c r="U129" s="2">
        <f>U8/'Output-Calculation-sheet'!U7*'Output-Calculation-sheet'!U106</f>
        <v>1316791508.54353</v>
      </c>
      <c r="V129" s="2">
        <f>V8/'Output-Calculation-sheet'!V7*'Output-Calculation-sheet'!V106</f>
        <v>1013956195.8542476</v>
      </c>
      <c r="W129" s="2">
        <f>W8/'Output-Calculation-sheet'!W7*'Output-Calculation-sheet'!W106</f>
        <v>877861005.42682874</v>
      </c>
      <c r="X129" s="2">
        <f>X8/'Output-Calculation-sheet'!X7*'Output-Calculation-sheet'!X106</f>
        <v>526716706.83517665</v>
      </c>
      <c r="Y129" s="2">
        <f>Y8/'Output-Calculation-sheet'!Y7*'Output-Calculation-sheet'!Y106</f>
        <v>512226829.85140264</v>
      </c>
      <c r="AA129" s="2">
        <f t="shared" si="11"/>
        <v>198138.78947038783</v>
      </c>
    </row>
    <row r="130" spans="1:27" x14ac:dyDescent="0.25">
      <c r="A130" s="2">
        <v>2032</v>
      </c>
      <c r="B130" s="2">
        <f>B9/'Output-Calculation-sheet'!B8*'Output-Calculation-sheet'!B107</f>
        <v>39543699537.692505</v>
      </c>
      <c r="C130" s="2">
        <f>C9/'Output-Calculation-sheet'!C8*'Output-Calculation-sheet'!C107</f>
        <v>29737929040.933296</v>
      </c>
      <c r="D130" s="2">
        <f>D9/'Output-Calculation-sheet'!D8*'Output-Calculation-sheet'!D107</f>
        <v>16608804836.836527</v>
      </c>
      <c r="E130" s="2">
        <f>E9/'Output-Calculation-sheet'!E8*'Output-Calculation-sheet'!E107</f>
        <v>13177399507.111315</v>
      </c>
      <c r="F130" s="2">
        <f>F9/'Output-Calculation-sheet'!F8*'Output-Calculation-sheet'!F107</f>
        <v>8482769306.3153162</v>
      </c>
      <c r="G130" s="2">
        <f>G9/'Output-Calculation-sheet'!G8*'Output-Calculation-sheet'!G107</f>
        <v>5960226550.5044336</v>
      </c>
      <c r="H130" s="2">
        <f>H9/'Output-Calculation-sheet'!H8*'Output-Calculation-sheet'!H107</f>
        <v>5813970691.7426882</v>
      </c>
      <c r="I130" s="2">
        <f>I9/'Output-Calculation-sheet'!I8*'Output-Calculation-sheet'!I107</f>
        <v>5430234843.6285906</v>
      </c>
      <c r="J130" s="2">
        <f>J9/'Output-Calculation-sheet'!J8*'Output-Calculation-sheet'!J107</f>
        <v>5285414523.5450945</v>
      </c>
      <c r="K130" s="2">
        <f>K9/'Output-Calculation-sheet'!K8*'Output-Calculation-sheet'!K107</f>
        <v>5234744686.946702</v>
      </c>
      <c r="L130" s="2">
        <f>L9/'Output-Calculation-sheet'!L8*'Output-Calculation-sheet'!L107</f>
        <v>4199380799.6802559</v>
      </c>
      <c r="M130" s="2">
        <f>M9/'Output-Calculation-sheet'!M8*'Output-Calculation-sheet'!M107</f>
        <v>4011133990.2816691</v>
      </c>
      <c r="N130" s="2">
        <f>N9/'Output-Calculation-sheet'!N8*'Output-Calculation-sheet'!N107</f>
        <v>3936914648.467638</v>
      </c>
      <c r="O130" s="2">
        <f>O9/'Output-Calculation-sheet'!O8*'Output-Calculation-sheet'!O107</f>
        <v>6475822647.5872231</v>
      </c>
      <c r="P130" s="2">
        <f>P9/'Output-Calculation-sheet'!P8*'Output-Calculation-sheet'!P107</f>
        <v>3583954066.2089434</v>
      </c>
      <c r="Q130" s="2">
        <f>Q9/'Output-Calculation-sheet'!Q8*'Output-Calculation-sheet'!Q107</f>
        <v>3526032706.7869101</v>
      </c>
      <c r="R130" s="2">
        <f>R9/'Output-Calculation-sheet'!R8*'Output-Calculation-sheet'!R107</f>
        <v>3392205224.9115591</v>
      </c>
      <c r="S130" s="2">
        <f>S9/'Output-Calculation-sheet'!S8*'Output-Calculation-sheet'!S107</f>
        <v>2254633071.4411788</v>
      </c>
      <c r="T130" s="2">
        <f>T9/'Output-Calculation-sheet'!T8*'Output-Calculation-sheet'!T107</f>
        <v>1246945554.3233106</v>
      </c>
      <c r="U130" s="2">
        <f>U9/'Output-Calculation-sheet'!U8*'Output-Calculation-sheet'!U107</f>
        <v>1086046615.8536737</v>
      </c>
      <c r="V130" s="2">
        <f>V9/'Output-Calculation-sheet'!V8*'Output-Calculation-sheet'!V107</f>
        <v>836277614.91133237</v>
      </c>
      <c r="W130" s="2">
        <f>W9/'Output-Calculation-sheet'!W8*'Output-Calculation-sheet'!W107</f>
        <v>724031266.85546005</v>
      </c>
      <c r="X130" s="2">
        <f>X9/'Output-Calculation-sheet'!X8*'Output-Calculation-sheet'!X107</f>
        <v>434418674.87520903</v>
      </c>
      <c r="Y130" s="2">
        <f>Y9/'Output-Calculation-sheet'!Y8*'Output-Calculation-sheet'!Y107</f>
        <v>422467899.71784753</v>
      </c>
      <c r="AA130" s="2">
        <f t="shared" si="11"/>
        <v>171405.45830715873</v>
      </c>
    </row>
    <row r="131" spans="1:27" x14ac:dyDescent="0.25">
      <c r="A131" s="2">
        <v>2033</v>
      </c>
      <c r="B131" s="2">
        <f>B10/'Output-Calculation-sheet'!B9*'Output-Calculation-sheet'!B108</f>
        <v>28363424353.89912</v>
      </c>
      <c r="C131" s="2">
        <f>C10/'Output-Calculation-sheet'!C9*'Output-Calculation-sheet'!C108</f>
        <v>29680261502.48687</v>
      </c>
      <c r="D131" s="2">
        <f>D10/'Output-Calculation-sheet'!D9*'Output-Calculation-sheet'!D108</f>
        <v>11912964845.936855</v>
      </c>
      <c r="E131" s="2">
        <f>E10/'Output-Calculation-sheet'!E9*'Output-Calculation-sheet'!E108</f>
        <v>9451725021.5008278</v>
      </c>
      <c r="F131" s="2">
        <f>F10/'Output-Calculation-sheet'!F9*'Output-Calculation-sheet'!F108</f>
        <v>6084414568.2090616</v>
      </c>
      <c r="G131" s="2">
        <f>G10/'Output-Calculation-sheet'!G9*'Output-Calculation-sheet'!G108</f>
        <v>4275076657.8744636</v>
      </c>
      <c r="H131" s="2">
        <f>H10/'Output-Calculation-sheet'!H9*'Output-Calculation-sheet'!H108</f>
        <v>4170173173.3153424</v>
      </c>
      <c r="I131" s="2">
        <f>I10/'Output-Calculation-sheet'!I9*'Output-Calculation-sheet'!I108</f>
        <v>3894932859.7071118</v>
      </c>
      <c r="J131" s="2">
        <f>J10/'Output-Calculation-sheet'!J9*'Output-Calculation-sheet'!J108</f>
        <v>3791057916.7594223</v>
      </c>
      <c r="K131" s="2">
        <f>K10/'Output-Calculation-sheet'!K9*'Output-Calculation-sheet'!K108</f>
        <v>3754713090.2575741</v>
      </c>
      <c r="L131" s="2">
        <f>L10/'Output-Calculation-sheet'!L9*'Output-Calculation-sheet'!L108</f>
        <v>3012080836.7534723</v>
      </c>
      <c r="M131" s="2">
        <f>M10/'Output-Calculation-sheet'!M9*'Output-Calculation-sheet'!M108</f>
        <v>2877055962.6608992</v>
      </c>
      <c r="N131" s="2">
        <f>N10/'Output-Calculation-sheet'!N9*'Output-Calculation-sheet'!N108</f>
        <v>2823821571.028749</v>
      </c>
      <c r="O131" s="2">
        <f>O10/'Output-Calculation-sheet'!O9*'Output-Calculation-sheet'!O108</f>
        <v>6687550201.5527916</v>
      </c>
      <c r="P131" s="2">
        <f>P10/'Output-Calculation-sheet'!P9*'Output-Calculation-sheet'!P108</f>
        <v>2570655706.7895312</v>
      </c>
      <c r="Q131" s="2">
        <f>Q10/'Output-Calculation-sheet'!Q9*'Output-Calculation-sheet'!Q108</f>
        <v>2529109240.7739344</v>
      </c>
      <c r="R131" s="2">
        <f>R10/'Output-Calculation-sheet'!R9*'Output-Calculation-sheet'!R108</f>
        <v>2433118481.6956043</v>
      </c>
      <c r="S131" s="2">
        <f>S10/'Output-Calculation-sheet'!S9*'Output-Calculation-sheet'!S108</f>
        <v>1617175813.2259398</v>
      </c>
      <c r="T131" s="2">
        <f>T10/'Output-Calculation-sheet'!T9*'Output-Calculation-sheet'!T108</f>
        <v>894393255.1684674</v>
      </c>
      <c r="U131" s="2">
        <f>U10/'Output-Calculation-sheet'!U9*'Output-Calculation-sheet'!U108</f>
        <v>778986118.52915478</v>
      </c>
      <c r="V131" s="2">
        <f>V10/'Output-Calculation-sheet'!V9*'Output-Calculation-sheet'!V108</f>
        <v>599834890.82605791</v>
      </c>
      <c r="W131" s="2">
        <f>W10/'Output-Calculation-sheet'!W9*'Output-Calculation-sheet'!W108</f>
        <v>519324078.86038584</v>
      </c>
      <c r="X131" s="2">
        <f>X10/'Output-Calculation-sheet'!X9*'Output-Calculation-sheet'!X108</f>
        <v>311594386.45110607</v>
      </c>
      <c r="Y131" s="2">
        <f>Y10/'Output-Calculation-sheet'!Y9*'Output-Calculation-sheet'!Y108</f>
        <v>303022484.72624171</v>
      </c>
      <c r="AA131" s="2">
        <f t="shared" si="11"/>
        <v>133336.467018989</v>
      </c>
    </row>
    <row r="132" spans="1:27" x14ac:dyDescent="0.25">
      <c r="A132" s="2">
        <v>2034</v>
      </c>
      <c r="B132" s="2">
        <f>B11/'Output-Calculation-sheet'!B10*'Output-Calculation-sheet'!B109</f>
        <v>15069360338.470707</v>
      </c>
      <c r="C132" s="2">
        <f>C11/'Output-Calculation-sheet'!C10*'Output-Calculation-sheet'!C109</f>
        <v>27863110681.716309</v>
      </c>
      <c r="D132" s="2">
        <f>D11/'Output-Calculation-sheet'!D10*'Output-Calculation-sheet'!D109</f>
        <v>6329304870.4708729</v>
      </c>
      <c r="E132" s="2">
        <f>E11/'Output-Calculation-sheet'!E10*'Output-Calculation-sheet'!E109</f>
        <v>5021660744.5795202</v>
      </c>
      <c r="F132" s="2">
        <f>F11/'Output-Calculation-sheet'!F10*'Output-Calculation-sheet'!F109</f>
        <v>3232623221.8371916</v>
      </c>
      <c r="G132" s="2">
        <f>G11/'Output-Calculation-sheet'!G10*'Output-Calculation-sheet'!G109</f>
        <v>2271330147.5768909</v>
      </c>
      <c r="H132" s="2">
        <f>H11/'Output-Calculation-sheet'!H10*'Output-Calculation-sheet'!H109</f>
        <v>2691609246.0885682</v>
      </c>
      <c r="I132" s="2">
        <f>I11/'Output-Calculation-sheet'!I10*'Output-Calculation-sheet'!I109</f>
        <v>2069360393.428848</v>
      </c>
      <c r="J132" s="2">
        <f>J11/'Output-Calculation-sheet'!J10*'Output-Calculation-sheet'!J109</f>
        <v>2014172406.7547586</v>
      </c>
      <c r="K132" s="2">
        <f>K11/'Output-Calculation-sheet'!K10*'Output-Calculation-sheet'!K109</f>
        <v>1994863186.9297993</v>
      </c>
      <c r="L132" s="2">
        <f>L11/'Output-Calculation-sheet'!L10*'Output-Calculation-sheet'!L109</f>
        <v>1600305309.8455153</v>
      </c>
      <c r="M132" s="2">
        <f>M11/'Output-Calculation-sheet'!M10*'Output-Calculation-sheet'!M109</f>
        <v>1528567426.0293458</v>
      </c>
      <c r="N132" s="2">
        <f>N11/'Output-Calculation-sheet'!N10*'Output-Calculation-sheet'!N109</f>
        <v>1500284688.4272456</v>
      </c>
      <c r="O132" s="2">
        <f>O11/'Output-Calculation-sheet'!O10*'Output-Calculation-sheet'!O109</f>
        <v>6612785280.450285</v>
      </c>
      <c r="P132" s="2">
        <f>P11/'Output-Calculation-sheet'!P10*'Output-Calculation-sheet'!P109</f>
        <v>1365777861.7226443</v>
      </c>
      <c r="Q132" s="2">
        <f>Q11/'Output-Calculation-sheet'!Q10*'Output-Calculation-sheet'!Q109</f>
        <v>1682042335.584728</v>
      </c>
      <c r="R132" s="2">
        <f>R11/'Output-Calculation-sheet'!R10*'Output-Calculation-sheet'!R109</f>
        <v>1292705558.8729084</v>
      </c>
      <c r="S132" s="2">
        <f>S11/'Output-Calculation-sheet'!S10*'Output-Calculation-sheet'!S109</f>
        <v>859198402.3980993</v>
      </c>
      <c r="T132" s="2">
        <f>T11/'Output-Calculation-sheet'!T10*'Output-Calculation-sheet'!T109</f>
        <v>475187429.02380884</v>
      </c>
      <c r="U132" s="2">
        <f>U11/'Output-Calculation-sheet'!U10*'Output-Calculation-sheet'!U109</f>
        <v>522659033.70102566</v>
      </c>
      <c r="V132" s="2">
        <f>V11/'Output-Calculation-sheet'!V10*'Output-Calculation-sheet'!V109</f>
        <v>318689740.91327083</v>
      </c>
      <c r="W132" s="2">
        <f>W11/'Output-Calculation-sheet'!W10*'Output-Calculation-sheet'!W109</f>
        <v>275914686.98748171</v>
      </c>
      <c r="X132" s="2">
        <f>X11/'Output-Calculation-sheet'!X10*'Output-Calculation-sheet'!X109</f>
        <v>219088157.76504961</v>
      </c>
      <c r="Y132" s="2">
        <f>Y11/'Output-Calculation-sheet'!Y10*'Output-Calculation-sheet'!Y109</f>
        <v>160994589.4877817</v>
      </c>
      <c r="AA132" s="2">
        <f t="shared" si="11"/>
        <v>86971.595739062643</v>
      </c>
    </row>
    <row r="133" spans="1:27" x14ac:dyDescent="0.25">
      <c r="A133" s="2">
        <v>2035</v>
      </c>
      <c r="B133" s="2">
        <f>B12/'Output-Calculation-sheet'!B11*'Output-Calculation-sheet'!B110</f>
        <v>16985718063.963572</v>
      </c>
      <c r="C133" s="2">
        <f>C12/'Output-Calculation-sheet'!C11*'Output-Calculation-sheet'!C110</f>
        <v>21896716689.456524</v>
      </c>
      <c r="D133" s="2">
        <f>D12/'Output-Calculation-sheet'!D11*'Output-Calculation-sheet'!D110</f>
        <v>6459028914.9329224</v>
      </c>
      <c r="E133" s="2">
        <f>E12/'Output-Calculation-sheet'!E11*'Output-Calculation-sheet'!E110</f>
        <v>3188057107.9789085</v>
      </c>
      <c r="F133" s="2">
        <f>F12/'Output-Calculation-sheet'!F11*'Output-Calculation-sheet'!F110</f>
        <v>2611189762.1469421</v>
      </c>
      <c r="G133" s="2">
        <f>G12/'Output-Calculation-sheet'!G11*'Output-Calculation-sheet'!G110</f>
        <v>2464319764.5949006</v>
      </c>
      <c r="H133" s="2">
        <f>H12/'Output-Calculation-sheet'!H11*'Output-Calculation-sheet'!H110</f>
        <v>2688909669.3733459</v>
      </c>
      <c r="I133" s="2">
        <f>I12/'Output-Calculation-sheet'!I11*'Output-Calculation-sheet'!I110</f>
        <v>2115092101.0903077</v>
      </c>
      <c r="J133" s="2">
        <f>J12/'Output-Calculation-sheet'!J11*'Output-Calculation-sheet'!J110</f>
        <v>1539004560.6953509</v>
      </c>
      <c r="K133" s="2">
        <f>K12/'Output-Calculation-sheet'!K11*'Output-Calculation-sheet'!K110</f>
        <v>1697669173.8368022</v>
      </c>
      <c r="L133" s="2">
        <f>L12/'Output-Calculation-sheet'!L11*'Output-Calculation-sheet'!L110</f>
        <v>742630731.0258323</v>
      </c>
      <c r="M133" s="2">
        <f>M12/'Output-Calculation-sheet'!M11*'Output-Calculation-sheet'!M110</f>
        <v>1479044902.4538515</v>
      </c>
      <c r="N133" s="2">
        <f>N12/'Output-Calculation-sheet'!N11*'Output-Calculation-sheet'!N110</f>
        <v>1344496469.4014595</v>
      </c>
      <c r="O133" s="2">
        <f>O12/'Output-Calculation-sheet'!O11*'Output-Calculation-sheet'!O110</f>
        <v>5934686775.2853785</v>
      </c>
      <c r="P133" s="2">
        <f>P12/'Output-Calculation-sheet'!P11*'Output-Calculation-sheet'!P110</f>
        <v>1136882447.6585217</v>
      </c>
      <c r="Q133" s="2">
        <f>Q12/'Output-Calculation-sheet'!Q11*'Output-Calculation-sheet'!Q110</f>
        <v>1633926752.7808161</v>
      </c>
      <c r="R133" s="2">
        <f>R12/'Output-Calculation-sheet'!R11*'Output-Calculation-sheet'!R110</f>
        <v>854586868.62848878</v>
      </c>
      <c r="S133" s="2">
        <f>S12/'Output-Calculation-sheet'!S11*'Output-Calculation-sheet'!S110</f>
        <v>993944270.09587502</v>
      </c>
      <c r="T133" s="2">
        <f>T12/'Output-Calculation-sheet'!T11*'Output-Calculation-sheet'!T110</f>
        <v>237952753.25781959</v>
      </c>
      <c r="U133" s="2">
        <f>U12/'Output-Calculation-sheet'!U11*'Output-Calculation-sheet'!U110</f>
        <v>550709116.83095241</v>
      </c>
      <c r="V133" s="2">
        <f>V12/'Output-Calculation-sheet'!V11*'Output-Calculation-sheet'!V110</f>
        <v>82351056.555939883</v>
      </c>
      <c r="W133" s="2">
        <f>W12/'Output-Calculation-sheet'!W11*'Output-Calculation-sheet'!W110</f>
        <v>164971264.26645166</v>
      </c>
      <c r="X133" s="2">
        <f>X12/'Output-Calculation-sheet'!X11*'Output-Calculation-sheet'!X110</f>
        <v>229436264.38489184</v>
      </c>
      <c r="Y133" s="2">
        <f>Y12/'Output-Calculation-sheet'!Y11*'Output-Calculation-sheet'!Y110</f>
        <v>162007532.67564341</v>
      </c>
      <c r="AA133" s="2">
        <f t="shared" si="11"/>
        <v>77193.333013371492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1037.6250859230158</v>
      </c>
      <c r="C19" s="2">
        <f>C8/'Output-Calculation-sheet'!C7*'Output-Calculation-sheet'!C25</f>
        <v>11873.740565620068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4655.3522207011229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3234.0923563059546</v>
      </c>
      <c r="N19" s="2">
        <f>N8/'Output-Calculation-sheet'!N7*'Output-Calculation-sheet'!N25</f>
        <v>1107.4787578775185</v>
      </c>
      <c r="O19" s="2">
        <f>O8/'Output-Calculation-sheet'!O7*'Output-Calculation-sheet'!O25</f>
        <v>1825.4134890277724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395.16590366548797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361.75662575919739</v>
      </c>
      <c r="Y19" s="2">
        <f>Y8/'Output-Calculation-sheet'!Y7*'Output-Calculation-sheet'!Y25</f>
        <v>0</v>
      </c>
      <c r="AA19" s="2">
        <f t="shared" si="0"/>
        <v>24.490625004880137</v>
      </c>
    </row>
    <row r="20" spans="1:27" x14ac:dyDescent="0.25">
      <c r="A20" s="2">
        <v>2032</v>
      </c>
      <c r="B20" s="2">
        <f>B9/'Output-Calculation-sheet'!B8*'Output-Calculation-sheet'!B26</f>
        <v>5488.4563694999024</v>
      </c>
      <c r="C20" s="2">
        <f>C9/'Output-Calculation-sheet'!C8*'Output-Calculation-sheet'!C26</f>
        <v>12979.916115534143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5963.3153371533454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4149.0880864347328</v>
      </c>
      <c r="N20" s="2">
        <f>N9/'Output-Calculation-sheet'!N8*'Output-Calculation-sheet'!N26</f>
        <v>1872.409033879667</v>
      </c>
      <c r="O20" s="2">
        <f>O9/'Output-Calculation-sheet'!O8*'Output-Calculation-sheet'!O26</f>
        <v>2056.4833683448251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677.00789065869139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464.18105250449997</v>
      </c>
      <c r="Y20" s="2">
        <f>Y9/'Output-Calculation-sheet'!Y8*'Output-Calculation-sheet'!Y26</f>
        <v>0</v>
      </c>
      <c r="AA20" s="2">
        <f t="shared" si="0"/>
        <v>33.6508572540098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13769.758594215516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6861.4646653374994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4765.3542281410755</v>
      </c>
      <c r="N21" s="2">
        <f>N10/'Output-Calculation-sheet'!N9*'Output-Calculation-sheet'!N27</f>
        <v>2606.5910494910877</v>
      </c>
      <c r="O21" s="2">
        <f>O10/'Output-Calculation-sheet'!O9*'Output-Calculation-sheet'!O27</f>
        <v>2113.8270621136803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1134.7974227753684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560.40540664450327</v>
      </c>
      <c r="Y21" s="2">
        <f>Y10/'Output-Calculation-sheet'!Y9*'Output-Calculation-sheet'!Y27</f>
        <v>0</v>
      </c>
      <c r="AA21" s="2">
        <f t="shared" si="0"/>
        <v>43.857857325857992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14125.673647189584</v>
      </c>
      <c r="D22" s="2">
        <f>D11/'Output-Calculation-sheet'!D10*'Output-Calculation-sheet'!D28</f>
        <v>0</v>
      </c>
      <c r="E22" s="2">
        <f>E11/'Output-Calculation-sheet'!E10*'Output-Calculation-sheet'!E28</f>
        <v>1043.7041010328251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7440.1834468205661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611.91355014476903</v>
      </c>
      <c r="M22" s="2">
        <f>M11/'Output-Calculation-sheet'!M10*'Output-Calculation-sheet'!M28</f>
        <v>5562.2552615800505</v>
      </c>
      <c r="N22" s="2">
        <f>N11/'Output-Calculation-sheet'!N10*'Output-Calculation-sheet'!N28</f>
        <v>3201.1088866008567</v>
      </c>
      <c r="O22" s="2">
        <f>O11/'Output-Calculation-sheet'!O10*'Output-Calculation-sheet'!O28</f>
        <v>2126.8885819005127</v>
      </c>
      <c r="P22" s="2">
        <f>P11/'Output-Calculation-sheet'!P10*'Output-Calculation-sheet'!P28</f>
        <v>0</v>
      </c>
      <c r="Q22" s="2">
        <f>Q11/'Output-Calculation-sheet'!Q10*'Output-Calculation-sheet'!Q28</f>
        <v>924.55367430525075</v>
      </c>
      <c r="R22" s="2">
        <f>R11/'Output-Calculation-sheet'!R10*'Output-Calculation-sheet'!R28</f>
        <v>0</v>
      </c>
      <c r="S22" s="2">
        <f>S11/'Output-Calculation-sheet'!S10*'Output-Calculation-sheet'!S28</f>
        <v>1623.4170233556838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535.70657325340198</v>
      </c>
      <c r="Y22" s="2">
        <f>Y11/'Output-Calculation-sheet'!Y10*'Output-Calculation-sheet'!Y28</f>
        <v>55.900984311832921</v>
      </c>
      <c r="AA22" s="2">
        <f t="shared" si="0"/>
        <v>57.346743865665928</v>
      </c>
    </row>
    <row r="23" spans="1:27" x14ac:dyDescent="0.25">
      <c r="A23" s="2">
        <v>2035</v>
      </c>
      <c r="B23" s="2">
        <f>B12/'Output-Calculation-sheet'!B11*'Output-Calculation-sheet'!B29</f>
        <v>16999.295418448819</v>
      </c>
      <c r="C23" s="2">
        <f>C12/'Output-Calculation-sheet'!C11*'Output-Calculation-sheet'!C29</f>
        <v>14443.271326492029</v>
      </c>
      <c r="D23" s="2">
        <f>D12/'Output-Calculation-sheet'!D11*'Output-Calculation-sheet'!D29</f>
        <v>0</v>
      </c>
      <c r="E23" s="2">
        <f>E12/'Output-Calculation-sheet'!E11*'Output-Calculation-sheet'!E29</f>
        <v>2859.51567087694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6269.3081403556462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1034.7805548190681</v>
      </c>
      <c r="M23" s="2">
        <f>M12/'Output-Calculation-sheet'!M11*'Output-Calculation-sheet'!M29</f>
        <v>4752.3691486550106</v>
      </c>
      <c r="N23" s="2">
        <f>N12/'Output-Calculation-sheet'!N11*'Output-Calculation-sheet'!N29</f>
        <v>2798.5363931277839</v>
      </c>
      <c r="O23" s="2">
        <f>O12/'Output-Calculation-sheet'!O11*'Output-Calculation-sheet'!O29</f>
        <v>2164.0097770501216</v>
      </c>
      <c r="P23" s="2">
        <f>P12/'Output-Calculation-sheet'!P11*'Output-Calculation-sheet'!P29</f>
        <v>330.26183006215825</v>
      </c>
      <c r="Q23" s="2">
        <f>Q12/'Output-Calculation-sheet'!Q11*'Output-Calculation-sheet'!Q29</f>
        <v>883.2133775697406</v>
      </c>
      <c r="R23" s="2">
        <f>R12/'Output-Calculation-sheet'!R11*'Output-Calculation-sheet'!R29</f>
        <v>0</v>
      </c>
      <c r="S23" s="2">
        <f>S12/'Output-Calculation-sheet'!S11*'Output-Calculation-sheet'!S29</f>
        <v>1345.5604331004786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445.4965856260161</v>
      </c>
      <c r="Y23" s="2">
        <f>Y12/'Output-Calculation-sheet'!Y11*'Output-Calculation-sheet'!Y29</f>
        <v>62.877691937034236</v>
      </c>
      <c r="AA23" s="2">
        <f t="shared" si="0"/>
        <v>54.38849634812086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18085.468178909639</v>
      </c>
      <c r="C30" s="2">
        <f>C8/'Output-Calculation-sheet'!C7*'Output-Calculation-sheet'!C16</f>
        <v>0</v>
      </c>
      <c r="D30" s="2">
        <f>D8/'Output-Calculation-sheet'!D7*'Output-Calculation-sheet'!D16</f>
        <v>3045.353757677432</v>
      </c>
      <c r="E30" s="2">
        <f>E8/'Output-Calculation-sheet'!E7*'Output-Calculation-sheet'!E16</f>
        <v>3276.6285872967997</v>
      </c>
      <c r="F30" s="2">
        <f>F8/'Output-Calculation-sheet'!F7*'Output-Calculation-sheet'!F16</f>
        <v>1653.0765581237924</v>
      </c>
      <c r="G30" s="2">
        <f>G8/'Output-Calculation-sheet'!G7*'Output-Calculation-sheet'!G16</f>
        <v>1082.5688069977859</v>
      </c>
      <c r="H30" s="2">
        <f>H8/'Output-Calculation-sheet'!H7*'Output-Calculation-sheet'!H16</f>
        <v>0</v>
      </c>
      <c r="I30" s="2">
        <f>I8/'Output-Calculation-sheet'!I7*'Output-Calculation-sheet'!I16</f>
        <v>1055.3424923787115</v>
      </c>
      <c r="J30" s="2">
        <f>J8/'Output-Calculation-sheet'!J7*'Output-Calculation-sheet'!J16</f>
        <v>939.45774349220176</v>
      </c>
      <c r="K30" s="2">
        <f>K8/'Output-Calculation-sheet'!K7*'Output-Calculation-sheet'!K16</f>
        <v>1254.3556553351107</v>
      </c>
      <c r="L30" s="2">
        <f>L8/'Output-Calculation-sheet'!L7*'Output-Calculation-sheet'!L16</f>
        <v>1059.5227213720323</v>
      </c>
      <c r="M30" s="2">
        <f>M8/'Output-Calculation-sheet'!M7*'Output-Calculation-sheet'!M16</f>
        <v>0</v>
      </c>
      <c r="N30" s="2">
        <f>N8/'Output-Calculation-sheet'!N7*'Output-Calculation-sheet'!N16</f>
        <v>1504.9627622206713</v>
      </c>
      <c r="O30" s="2">
        <f>O8/'Output-Calculation-sheet'!O7*'Output-Calculation-sheet'!O16</f>
        <v>0</v>
      </c>
      <c r="P30" s="2">
        <f>P8/'Output-Calculation-sheet'!P7*'Output-Calculation-sheet'!P16</f>
        <v>1352.611148912192</v>
      </c>
      <c r="Q30" s="2">
        <f>Q8/'Output-Calculation-sheet'!Q7*'Output-Calculation-sheet'!Q16</f>
        <v>1487.4255506687073</v>
      </c>
      <c r="R30" s="2">
        <f>R8/'Output-Calculation-sheet'!R7*'Output-Calculation-sheet'!R16</f>
        <v>943.77797682211678</v>
      </c>
      <c r="S30" s="2">
        <f>S8/'Output-Calculation-sheet'!S7*'Output-Calculation-sheet'!S16</f>
        <v>949.16389819370249</v>
      </c>
      <c r="T30" s="2">
        <f>T8/'Output-Calculation-sheet'!T7*'Output-Calculation-sheet'!T16</f>
        <v>283.30858255019876</v>
      </c>
      <c r="U30" s="2">
        <f>U8/'Output-Calculation-sheet'!U7*'Output-Calculation-sheet'!U16</f>
        <v>282.802175642946</v>
      </c>
      <c r="V30" s="2">
        <f>V8/'Output-Calculation-sheet'!V7*'Output-Calculation-sheet'!V16</f>
        <v>220.09955766566614</v>
      </c>
      <c r="W30" s="2">
        <f>W8/'Output-Calculation-sheet'!W7*'Output-Calculation-sheet'!W16</f>
        <v>133.50147750107934</v>
      </c>
      <c r="X30" s="2">
        <f>X8/'Output-Calculation-sheet'!X7*'Output-Calculation-sheet'!X16</f>
        <v>0</v>
      </c>
      <c r="Y30" s="2">
        <f>Y8/'Output-Calculation-sheet'!Y7*'Output-Calculation-sheet'!Y16</f>
        <v>112.99382327585751</v>
      </c>
      <c r="AA30" s="2">
        <f t="shared" si="1"/>
        <v>38.722421455036631</v>
      </c>
    </row>
    <row r="31" spans="1:27" x14ac:dyDescent="0.25">
      <c r="A31" s="2">
        <v>2032</v>
      </c>
      <c r="B31" s="2">
        <f>B9/'Output-Calculation-sheet'!B8*'Output-Calculation-sheet'!B17</f>
        <v>23239.937585794723</v>
      </c>
      <c r="C31" s="2">
        <f>C9/'Output-Calculation-sheet'!C8*'Output-Calculation-sheet'!C17</f>
        <v>0</v>
      </c>
      <c r="D31" s="2">
        <f>D9/'Output-Calculation-sheet'!D8*'Output-Calculation-sheet'!D17</f>
        <v>3897.6426651406377</v>
      </c>
      <c r="E31" s="2">
        <f>E9/'Output-Calculation-sheet'!E8*'Output-Calculation-sheet'!E17</f>
        <v>4581.1464249203937</v>
      </c>
      <c r="F31" s="2">
        <f>F9/'Output-Calculation-sheet'!F8*'Output-Calculation-sheet'!F17</f>
        <v>2115.7668938205766</v>
      </c>
      <c r="G31" s="2">
        <f>G9/'Output-Calculation-sheet'!G8*'Output-Calculation-sheet'!G17</f>
        <v>1385.5631853858133</v>
      </c>
      <c r="H31" s="2">
        <f>H9/'Output-Calculation-sheet'!H8*'Output-Calculation-sheet'!H17</f>
        <v>0</v>
      </c>
      <c r="I31" s="2">
        <f>I9/'Output-Calculation-sheet'!I8*'Output-Calculation-sheet'!I17</f>
        <v>1350.7229702520838</v>
      </c>
      <c r="J31" s="2">
        <f>J9/'Output-Calculation-sheet'!J8*'Output-Calculation-sheet'!J17</f>
        <v>1202.4037950584507</v>
      </c>
      <c r="K31" s="2">
        <f>K9/'Output-Calculation-sheet'!K8*'Output-Calculation-sheet'!K17</f>
        <v>1711.9037485833226</v>
      </c>
      <c r="L31" s="2">
        <f>L9/'Output-Calculation-sheet'!L8*'Output-Calculation-sheet'!L17</f>
        <v>1459.9529524714685</v>
      </c>
      <c r="M31" s="2">
        <f>M9/'Output-Calculation-sheet'!M8*'Output-Calculation-sheet'!M17</f>
        <v>0</v>
      </c>
      <c r="N31" s="2">
        <f>N9/'Output-Calculation-sheet'!N8*'Output-Calculation-sheet'!N17</f>
        <v>1587.1181774210281</v>
      </c>
      <c r="O31" s="2">
        <f>O9/'Output-Calculation-sheet'!O8*'Output-Calculation-sheet'!O17</f>
        <v>0</v>
      </c>
      <c r="P31" s="2">
        <f>P9/'Output-Calculation-sheet'!P8*'Output-Calculation-sheet'!P17</f>
        <v>1969.8599964841237</v>
      </c>
      <c r="Q31" s="2">
        <f>Q9/'Output-Calculation-sheet'!Q8*'Output-Calculation-sheet'!Q17</f>
        <v>2100.051740979608</v>
      </c>
      <c r="R31" s="2">
        <f>R9/'Output-Calculation-sheet'!R8*'Output-Calculation-sheet'!R17</f>
        <v>1373.9648353966109</v>
      </c>
      <c r="S31" s="2">
        <f>S9/'Output-Calculation-sheet'!S8*'Output-Calculation-sheet'!S17</f>
        <v>1186.4412446634178</v>
      </c>
      <c r="T31" s="2">
        <f>T9/'Output-Calculation-sheet'!T8*'Output-Calculation-sheet'!T17</f>
        <v>372.83539637231763</v>
      </c>
      <c r="U31" s="2">
        <f>U9/'Output-Calculation-sheet'!U8*'Output-Calculation-sheet'!U17</f>
        <v>428.50673093841237</v>
      </c>
      <c r="V31" s="2">
        <f>V9/'Output-Calculation-sheet'!V8*'Output-Calculation-sheet'!V17</f>
        <v>306.91903919160137</v>
      </c>
      <c r="W31" s="2">
        <f>W9/'Output-Calculation-sheet'!W8*'Output-Calculation-sheet'!W17</f>
        <v>170.86907065091094</v>
      </c>
      <c r="X31" s="2">
        <f>X9/'Output-Calculation-sheet'!X8*'Output-Calculation-sheet'!X17</f>
        <v>0</v>
      </c>
      <c r="Y31" s="2">
        <f>Y9/'Output-Calculation-sheet'!Y8*'Output-Calculation-sheet'!Y17</f>
        <v>165.09654146955288</v>
      </c>
      <c r="AA31" s="2">
        <f t="shared" si="1"/>
        <v>50.606702994995054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1466.9777241560121</v>
      </c>
      <c r="O32" s="2">
        <f>O10/'Output-Calculation-sheet'!O9*'Output-Calculation-sheet'!O18</f>
        <v>0</v>
      </c>
      <c r="P32" s="2">
        <f>P10/'Output-Calculation-sheet'!P9*'Output-Calculation-sheet'!P18</f>
        <v>2361.1618799489029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1695.2347014301404</v>
      </c>
      <c r="S32" s="2">
        <f>S10/'Output-Calculation-sheet'!S9*'Output-Calculation-sheet'!S18</f>
        <v>1109.5263252617212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547.24865800593875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57.826764466625576</v>
      </c>
    </row>
    <row r="33" spans="1:27" x14ac:dyDescent="0.25">
      <c r="A33" s="2">
        <v>2034</v>
      </c>
      <c r="B33" s="2">
        <f>B11/'Output-Calculation-sheet'!B10*'Output-Calculation-sheet'!B19</f>
        <v>20269.121801655805</v>
      </c>
      <c r="C33" s="2">
        <f>C11/'Output-Calculation-sheet'!C10*'Output-Calculation-sheet'!C19</f>
        <v>0</v>
      </c>
      <c r="D33" s="2">
        <f>D11/'Output-Calculation-sheet'!D10*'Output-Calculation-sheet'!D19</f>
        <v>6056.4209025207501</v>
      </c>
      <c r="E33" s="2">
        <f>E11/'Output-Calculation-sheet'!E10*'Output-Calculation-sheet'!E19</f>
        <v>7478.8635816354072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2058.148317954784</v>
      </c>
      <c r="H33" s="2">
        <f>H11/'Output-Calculation-sheet'!H10*'Output-Calculation-sheet'!H19</f>
        <v>0</v>
      </c>
      <c r="I33" s="2">
        <f>I11/'Output-Calculation-sheet'!I10*'Output-Calculation-sheet'!I19</f>
        <v>2248.8515155991372</v>
      </c>
      <c r="J33" s="2">
        <f>J11/'Output-Calculation-sheet'!J10*'Output-Calculation-sheet'!J19</f>
        <v>1899.1605317145513</v>
      </c>
      <c r="K33" s="2">
        <f>K11/'Output-Calculation-sheet'!K10*'Output-Calculation-sheet'!K19</f>
        <v>2634.9288078561485</v>
      </c>
      <c r="L33" s="2">
        <f>L11/'Output-Calculation-sheet'!L10*'Output-Calculation-sheet'!L19</f>
        <v>2145.0436963634875</v>
      </c>
      <c r="M33" s="2">
        <f>M11/'Output-Calculation-sheet'!M10*'Output-Calculation-sheet'!M19</f>
        <v>0</v>
      </c>
      <c r="N33" s="2">
        <f>N11/'Output-Calculation-sheet'!N10*'Output-Calculation-sheet'!N19</f>
        <v>1211.6412632710512</v>
      </c>
      <c r="O33" s="2">
        <f>O11/'Output-Calculation-sheet'!O10*'Output-Calculation-sheet'!O19</f>
        <v>0</v>
      </c>
      <c r="P33" s="2">
        <f>P11/'Output-Calculation-sheet'!P10*'Output-Calculation-sheet'!P19</f>
        <v>2667.9660031019712</v>
      </c>
      <c r="Q33" s="2">
        <f>Q11/'Output-Calculation-sheet'!Q10*'Output-Calculation-sheet'!Q19</f>
        <v>2173.3485734752721</v>
      </c>
      <c r="R33" s="2">
        <f>R11/'Output-Calculation-sheet'!R10*'Output-Calculation-sheet'!R19</f>
        <v>1903.3872849092274</v>
      </c>
      <c r="S33" s="2">
        <f>S11/'Output-Calculation-sheet'!S10*'Output-Calculation-sheet'!S19</f>
        <v>889.67611914649069</v>
      </c>
      <c r="T33" s="2">
        <f>T11/'Output-Calculation-sheet'!T10*'Output-Calculation-sheet'!T19</f>
        <v>558.54496760362167</v>
      </c>
      <c r="U33" s="2">
        <f>U11/'Output-Calculation-sheet'!U10*'Output-Calculation-sheet'!U19</f>
        <v>598.46895044095334</v>
      </c>
      <c r="V33" s="2">
        <f>V11/'Output-Calculation-sheet'!V10*'Output-Calculation-sheet'!V19</f>
        <v>437.98799610759323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70.554043504028627</v>
      </c>
      <c r="Y33" s="2">
        <f>Y11/'Output-Calculation-sheet'!Y10*'Output-Calculation-sheet'!Y19</f>
        <v>245.81138571692648</v>
      </c>
      <c r="AA33" s="2">
        <f t="shared" si="1"/>
        <v>59.257361664342717</v>
      </c>
    </row>
    <row r="34" spans="1:27" x14ac:dyDescent="0.25">
      <c r="A34" s="2">
        <v>2035</v>
      </c>
      <c r="B34" s="2">
        <f>B12/'Output-Calculation-sheet'!B11*'Output-Calculation-sheet'!B20</f>
        <v>15549.138375103996</v>
      </c>
      <c r="C34" s="2">
        <f>C12/'Output-Calculation-sheet'!C11*'Output-Calculation-sheet'!C20</f>
        <v>0</v>
      </c>
      <c r="D34" s="2">
        <f>D12/'Output-Calculation-sheet'!D11*'Output-Calculation-sheet'!D20</f>
        <v>5004.5943366491556</v>
      </c>
      <c r="E34" s="2">
        <f>E12/'Output-Calculation-sheet'!E11*'Output-Calculation-sheet'!E20</f>
        <v>5560.8048661796593</v>
      </c>
      <c r="F34" s="2">
        <f>F12/'Output-Calculation-sheet'!F11*'Output-Calculation-sheet'!F20</f>
        <v>3110.3767444928972</v>
      </c>
      <c r="G34" s="2">
        <f>G12/'Output-Calculation-sheet'!G11*'Output-Calculation-sheet'!G20</f>
        <v>1678.9430745644108</v>
      </c>
      <c r="H34" s="2">
        <f>H12/'Output-Calculation-sheet'!H11*'Output-Calculation-sheet'!H20</f>
        <v>0</v>
      </c>
      <c r="I34" s="2">
        <f>I12/'Output-Calculation-sheet'!I11*'Output-Calculation-sheet'!I20</f>
        <v>1866.5872488803602</v>
      </c>
      <c r="J34" s="2">
        <f>J12/'Output-Calculation-sheet'!J11*'Output-Calculation-sheet'!J20</f>
        <v>1730.1424666886357</v>
      </c>
      <c r="K34" s="2">
        <f>K12/'Output-Calculation-sheet'!K11*'Output-Calculation-sheet'!K20</f>
        <v>2300.9151409932138</v>
      </c>
      <c r="L34" s="2">
        <f>L12/'Output-Calculation-sheet'!L11*'Output-Calculation-sheet'!L20</f>
        <v>1836.2267455185045</v>
      </c>
      <c r="M34" s="2">
        <f>M12/'Output-Calculation-sheet'!M11*'Output-Calculation-sheet'!M20</f>
        <v>0</v>
      </c>
      <c r="N34" s="2">
        <f>N12/'Output-Calculation-sheet'!N11*'Output-Calculation-sheet'!N20</f>
        <v>984.69220911575655</v>
      </c>
      <c r="O34" s="2">
        <f>O12/'Output-Calculation-sheet'!O11*'Output-Calculation-sheet'!O20</f>
        <v>0</v>
      </c>
      <c r="P34" s="2">
        <f>P12/'Output-Calculation-sheet'!P11*'Output-Calculation-sheet'!P20</f>
        <v>2097.3158898649203</v>
      </c>
      <c r="Q34" s="2">
        <f>Q12/'Output-Calculation-sheet'!Q11*'Output-Calculation-sheet'!Q20</f>
        <v>1749.1418947974271</v>
      </c>
      <c r="R34" s="2">
        <f>R12/'Output-Calculation-sheet'!R11*'Output-Calculation-sheet'!R20</f>
        <v>1761.9947857951397</v>
      </c>
      <c r="S34" s="2">
        <f>S12/'Output-Calculation-sheet'!S11*'Output-Calculation-sheet'!S20</f>
        <v>673.076259680411</v>
      </c>
      <c r="T34" s="2">
        <f>T12/'Output-Calculation-sheet'!T11*'Output-Calculation-sheet'!T20</f>
        <v>534.43154205055237</v>
      </c>
      <c r="U34" s="2">
        <f>U12/'Output-Calculation-sheet'!U11*'Output-Calculation-sheet'!U20</f>
        <v>491.91845726402016</v>
      </c>
      <c r="V34" s="2">
        <f>V12/'Output-Calculation-sheet'!V11*'Output-Calculation-sheet'!V20</f>
        <v>484.3295554445599</v>
      </c>
      <c r="W34" s="2">
        <f>W12/'Output-Calculation-sheet'!W11*'Output-Calculation-sheet'!W20</f>
        <v>262.7869497282245</v>
      </c>
      <c r="X34" s="2">
        <f>X12/'Output-Calculation-sheet'!X11*'Output-Calculation-sheet'!X20</f>
        <v>55.481354525920779</v>
      </c>
      <c r="Y34" s="2">
        <f>Y12/'Output-Calculation-sheet'!Y11*'Output-Calculation-sheet'!Y20</f>
        <v>190.72885980573056</v>
      </c>
      <c r="AA34" s="2">
        <f t="shared" si="1"/>
        <v>47.923626757143502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0.98582477548900493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0.19151923294541126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1.1773440084344162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1.0093935885308349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0.19609801926467985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1.2054916077955147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0.96409114231526993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0.18729697270399467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1.1513881150192646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0.85821846329042006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0.26418637143207829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0.16672875938570292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0.1565387694684448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4.9945432174428026E-2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1.5155601763904158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0.70700634262825535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0.13735231229154099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5.9259932440895371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11847.192477367866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6601.7506131784767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4506.0161624099592</v>
      </c>
      <c r="N52" s="2">
        <f>N8/'Output-Calculation-sheet'!N7*'Output-Calculation-sheet'!N43</f>
        <v>144.02246635922018</v>
      </c>
      <c r="O52" s="2">
        <f>O8/'Output-Calculation-sheet'!O7*'Output-Calculation-sheet'!O43</f>
        <v>554.397779578822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580.72679870691968</v>
      </c>
      <c r="Y52" s="2">
        <f>Y8/'Output-Calculation-sheet'!Y7*'Output-Calculation-sheet'!Y43</f>
        <v>0</v>
      </c>
      <c r="AA52" s="2">
        <f t="shared" si="3"/>
        <v>24.234106297601265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15229.447125202072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11965.552791359221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8177.2060376790305</v>
      </c>
      <c r="N53" s="2">
        <f>N9/'Output-Calculation-sheet'!N8*'Output-Calculation-sheet'!N44</f>
        <v>2912.4478465119155</v>
      </c>
      <c r="O53" s="2">
        <f>O9/'Output-Calculation-sheet'!O8*'Output-Calculation-sheet'!O44</f>
        <v>1135.3043220586728</v>
      </c>
      <c r="P53" s="2">
        <f>P9/'Output-Calculation-sheet'!P8*'Output-Calculation-sheet'!P44</f>
        <v>136.23174850551959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898.15471439479279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1022.5657142497196</v>
      </c>
      <c r="Y53" s="2">
        <f>Y9/'Output-Calculation-sheet'!Y8*'Output-Calculation-sheet'!Y44</f>
        <v>0</v>
      </c>
      <c r="AA53" s="2">
        <f t="shared" si="3"/>
        <v>41.476910299960942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20550.363823036016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1823.6810500125796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408.49736145129975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87.666874776188365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26499.37711212525</v>
      </c>
      <c r="D55" s="2">
        <f>D11/'Output-Calculation-sheet'!D10*'Output-Calculation-sheet'!D46</f>
        <v>5268.3086095172685</v>
      </c>
      <c r="E55" s="2">
        <f>E11/'Output-Calculation-sheet'!E10*'Output-Calculation-sheet'!E46</f>
        <v>6571.8432198278724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17241.636872409319</v>
      </c>
      <c r="I55" s="2">
        <f>I11/'Output-Calculation-sheet'!I10*'Output-Calculation-sheet'!I46</f>
        <v>1269.4799833553307</v>
      </c>
      <c r="J55" s="2">
        <f>J11/'Output-Calculation-sheet'!J10*'Output-Calculation-sheet'!J46</f>
        <v>936.95269880295393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12182.856298746208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2661.810018262976</v>
      </c>
      <c r="P55" s="2">
        <f>P11/'Output-Calculation-sheet'!P10*'Output-Calculation-sheet'!P46</f>
        <v>3416.9424037122981</v>
      </c>
      <c r="Q55" s="2">
        <f>Q11/'Output-Calculation-sheet'!Q10*'Output-Calculation-sheet'!Q46</f>
        <v>2663.9053751647625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4563.8698616205083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814.89915653014145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1226.2814761560069</v>
      </c>
      <c r="Y55" s="2">
        <f>Y11/'Output-Calculation-sheet'!Y10*'Output-Calculation-sheet'!Y46</f>
        <v>322.43425752129275</v>
      </c>
      <c r="AA55" s="2">
        <f t="shared" si="3"/>
        <v>162.50625031395134</v>
      </c>
    </row>
    <row r="56" spans="1:27" x14ac:dyDescent="0.25">
      <c r="A56" s="2">
        <v>2035</v>
      </c>
      <c r="B56" s="2">
        <f>B12/'Output-Calculation-sheet'!B11*'Output-Calculation-sheet'!B47</f>
        <v>48477.947655517215</v>
      </c>
      <c r="C56" s="2">
        <f>C12/'Output-Calculation-sheet'!C11*'Output-Calculation-sheet'!C47</f>
        <v>36156.552434409896</v>
      </c>
      <c r="D56" s="2">
        <f>D12/'Output-Calculation-sheet'!D11*'Output-Calculation-sheet'!D47</f>
        <v>4944.3827423643634</v>
      </c>
      <c r="E56" s="2">
        <f>E12/'Output-Calculation-sheet'!E11*'Output-Calculation-sheet'!E47</f>
        <v>12443.30726784023</v>
      </c>
      <c r="F56" s="2">
        <f>F12/'Output-Calculation-sheet'!F11*'Output-Calculation-sheet'!F47</f>
        <v>686.49008671524416</v>
      </c>
      <c r="G56" s="2">
        <f>G12/'Output-Calculation-sheet'!G11*'Output-Calculation-sheet'!G47</f>
        <v>1832.7781995737987</v>
      </c>
      <c r="H56" s="2">
        <f>H12/'Output-Calculation-sheet'!H11*'Output-Calculation-sheet'!H47</f>
        <v>14337.418163845592</v>
      </c>
      <c r="I56" s="2">
        <f>I12/'Output-Calculation-sheet'!I11*'Output-Calculation-sheet'!I47</f>
        <v>1169.8851756906488</v>
      </c>
      <c r="J56" s="2">
        <f>J12/'Output-Calculation-sheet'!J11*'Output-Calculation-sheet'!J47</f>
        <v>1912.1279263993399</v>
      </c>
      <c r="K56" s="2">
        <f>K12/'Output-Calculation-sheet'!K11*'Output-Calculation-sheet'!K47</f>
        <v>2630.6327232458716</v>
      </c>
      <c r="L56" s="2">
        <f>L12/'Output-Calculation-sheet'!L11*'Output-Calculation-sheet'!L47</f>
        <v>2825.9445666352949</v>
      </c>
      <c r="M56" s="2">
        <f>M12/'Output-Calculation-sheet'!M11*'Output-Calculation-sheet'!M47</f>
        <v>10075.731443217299</v>
      </c>
      <c r="N56" s="2">
        <f>N12/'Output-Calculation-sheet'!N11*'Output-Calculation-sheet'!N47</f>
        <v>8056.537407898988</v>
      </c>
      <c r="O56" s="2">
        <f>O12/'Output-Calculation-sheet'!O11*'Output-Calculation-sheet'!O47</f>
        <v>3988.0364358333391</v>
      </c>
      <c r="P56" s="2">
        <f>P12/'Output-Calculation-sheet'!P11*'Output-Calculation-sheet'!P47</f>
        <v>3494.7710718412495</v>
      </c>
      <c r="Q56" s="2">
        <f>Q12/'Output-Calculation-sheet'!Q11*'Output-Calculation-sheet'!Q47</f>
        <v>2545.2183095302285</v>
      </c>
      <c r="R56" s="2">
        <f>R12/'Output-Calculation-sheet'!R11*'Output-Calculation-sheet'!R47</f>
        <v>2961.5620205892787</v>
      </c>
      <c r="S56" s="2">
        <f>S12/'Output-Calculation-sheet'!S11*'Output-Calculation-sheet'!S47</f>
        <v>3752.3466749279041</v>
      </c>
      <c r="T56" s="2">
        <f>T12/'Output-Calculation-sheet'!T11*'Output-Calculation-sheet'!T47</f>
        <v>971.16549537803257</v>
      </c>
      <c r="U56" s="2">
        <f>U12/'Output-Calculation-sheet'!U11*'Output-Calculation-sheet'!U47</f>
        <v>678.53808653085082</v>
      </c>
      <c r="V56" s="2">
        <f>V12/'Output-Calculation-sheet'!V11*'Output-Calculation-sheet'!V47</f>
        <v>667.93328261368504</v>
      </c>
      <c r="W56" s="2">
        <f>W12/'Output-Calculation-sheet'!W11*'Output-Calculation-sheet'!W47</f>
        <v>238.58174702958644</v>
      </c>
      <c r="X56" s="2">
        <f>X12/'Output-Calculation-sheet'!X11*'Output-Calculation-sheet'!X47</f>
        <v>1017.4247719499225</v>
      </c>
      <c r="Y56" s="2">
        <f>Y12/'Output-Calculation-sheet'!Y11*'Output-Calculation-sheet'!Y47</f>
        <v>310.12596602655509</v>
      </c>
      <c r="AA56" s="2">
        <f t="shared" si="3"/>
        <v>166.17543965560444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7.0434593397931495</v>
      </c>
      <c r="C63" s="2">
        <f>C8*'Output-Calculation-sheet'!C52/10^9</f>
        <v>4.41510217122139</v>
      </c>
      <c r="D63" s="2">
        <f>D8*'Output-Calculation-sheet'!D52/10^9</f>
        <v>2.415336801846157</v>
      </c>
      <c r="E63" s="2">
        <f>E8*'Output-Calculation-sheet'!E52/10^9</f>
        <v>2.401504736969875</v>
      </c>
      <c r="F63" s="2">
        <f>F8*'Output-Calculation-sheet'!F52/10^9</f>
        <v>1.0170378673383145</v>
      </c>
      <c r="G63" s="2">
        <f>G8*'Output-Calculation-sheet'!G52/10^9</f>
        <v>0.73120339352671038</v>
      </c>
      <c r="H63" s="2">
        <f>H8*'Output-Calculation-sheet'!H52/10^9</f>
        <v>1.2772612332638709</v>
      </c>
      <c r="I63" s="2">
        <f>I8*'Output-Calculation-sheet'!I52/10^9</f>
        <v>0.68018900675028371</v>
      </c>
      <c r="J63" s="2">
        <f>J8*'Output-Calculation-sheet'!J52/10^9</f>
        <v>0.93598709198111474</v>
      </c>
      <c r="K63" s="2">
        <f>K8*'Output-Calculation-sheet'!K52/10^9</f>
        <v>0.82234577985786461</v>
      </c>
      <c r="L63" s="2">
        <f>L8*'Output-Calculation-sheet'!L52/10^9</f>
        <v>1.1060930821654555</v>
      </c>
      <c r="M63" s="2">
        <f>M8*'Output-Calculation-sheet'!M52/10^9</f>
        <v>1.0367356781448236</v>
      </c>
      <c r="N63" s="2">
        <f>N8*'Output-Calculation-sheet'!N52/10^9</f>
        <v>0.865236573883303</v>
      </c>
      <c r="O63" s="2">
        <f>O8*'Output-Calculation-sheet'!O52/10^9</f>
        <v>0.90652168032624458</v>
      </c>
      <c r="P63" s="2">
        <f>P8*'Output-Calculation-sheet'!P52/10^9</f>
        <v>0.56821979513303378</v>
      </c>
      <c r="Q63" s="2">
        <f>Q8*'Output-Calculation-sheet'!Q52/10^9</f>
        <v>0.64305478649953385</v>
      </c>
      <c r="R63" s="2">
        <f>R8*'Output-Calculation-sheet'!R52/10^9</f>
        <v>0.57733619779139533</v>
      </c>
      <c r="S63" s="2">
        <f>S8*'Output-Calculation-sheet'!S52/10^9</f>
        <v>0.42782912544561991</v>
      </c>
      <c r="T63" s="2">
        <f>T8*'Output-Calculation-sheet'!T52/10^9</f>
        <v>0.21949587109219179</v>
      </c>
      <c r="U63" s="2">
        <f>U8*'Output-Calculation-sheet'!U52/10^9</f>
        <v>0.15074732370112218</v>
      </c>
      <c r="V63" s="2">
        <f>V8*'Output-Calculation-sheet'!V52/10^9</f>
        <v>0.26754107994747994</v>
      </c>
      <c r="W63" s="2">
        <f>W8*'Output-Calculation-sheet'!W52/10^9</f>
        <v>9.6837523625381033E-2</v>
      </c>
      <c r="X63" s="2">
        <f>X8*'Output-Calculation-sheet'!X52/10^9</f>
        <v>0.11146575317157587</v>
      </c>
      <c r="Y63" s="2">
        <f>Y8*'Output-Calculation-sheet'!Y52/10^9</f>
        <v>6.3183729351047171E-2</v>
      </c>
      <c r="AA63" s="2">
        <f t="shared" si="4"/>
        <v>28.779725622826934</v>
      </c>
    </row>
    <row r="64" spans="1:27" x14ac:dyDescent="0.25">
      <c r="A64" s="2">
        <v>2032</v>
      </c>
      <c r="B64" s="2">
        <f>B9*'Output-Calculation-sheet'!B53/10^9</f>
        <v>6.8814942798198881</v>
      </c>
      <c r="C64" s="2">
        <f>C9*'Output-Calculation-sheet'!C53/10^9</f>
        <v>4.5914152238975054</v>
      </c>
      <c r="D64" s="2">
        <f>D9*'Output-Calculation-sheet'!D53/10^9</f>
        <v>2.0365078659871187</v>
      </c>
      <c r="E64" s="2">
        <f>E9*'Output-Calculation-sheet'!E53/10^9</f>
        <v>2.0854833445977206</v>
      </c>
      <c r="F64" s="2">
        <f>F9*'Output-Calculation-sheet'!F53/10^9</f>
        <v>0.87964453619250793</v>
      </c>
      <c r="G64" s="2">
        <f>G9*'Output-Calculation-sheet'!G53/10^9</f>
        <v>0.62610340646984097</v>
      </c>
      <c r="H64" s="2">
        <f>H9*'Output-Calculation-sheet'!H53/10^9</f>
        <v>1.2864745846496732</v>
      </c>
      <c r="I64" s="2">
        <f>I9*'Output-Calculation-sheet'!I53/10^9</f>
        <v>0.58530445432093159</v>
      </c>
      <c r="J64" s="2">
        <f>J9*'Output-Calculation-sheet'!J53/10^9</f>
        <v>0.77482492917906876</v>
      </c>
      <c r="K64" s="2">
        <f>K9*'Output-Calculation-sheet'!K53/10^9</f>
        <v>0.71893027007313703</v>
      </c>
      <c r="L64" s="2">
        <f>L9*'Output-Calculation-sheet'!L53/10^9</f>
        <v>0.9248978370390406</v>
      </c>
      <c r="M64" s="2">
        <f>M9*'Output-Calculation-sheet'!M53/10^9</f>
        <v>1.008274999845755</v>
      </c>
      <c r="N64" s="2">
        <f>N9*'Output-Calculation-sheet'!N53/10^9</f>
        <v>0.84879922288320842</v>
      </c>
      <c r="O64" s="2">
        <f>O9*'Output-Calculation-sheet'!O53/10^9</f>
        <v>0.93455468466143865</v>
      </c>
      <c r="P64" s="2">
        <f>P9*'Output-Calculation-sheet'!P53/10^9</f>
        <v>0.54812625999249787</v>
      </c>
      <c r="Q64" s="2">
        <f>Q9*'Output-Calculation-sheet'!Q53/10^9</f>
        <v>0.60577150177929218</v>
      </c>
      <c r="R64" s="2">
        <f>R9*'Output-Calculation-sheet'!R53/10^9</f>
        <v>0.51928852341648779</v>
      </c>
      <c r="S64" s="2">
        <f>S9*'Output-Calculation-sheet'!S53/10^9</f>
        <v>0.4290483777989969</v>
      </c>
      <c r="T64" s="2">
        <f>T9*'Output-Calculation-sheet'!T53/10^9</f>
        <v>0.18667070780220404</v>
      </c>
      <c r="U64" s="2">
        <f>U9*'Output-Calculation-sheet'!U53/10^9</f>
        <v>0.14050308229867614</v>
      </c>
      <c r="V64" s="2">
        <f>V9*'Output-Calculation-sheet'!V53/10^9</f>
        <v>0.22156558405724056</v>
      </c>
      <c r="W64" s="2">
        <f>W9*'Output-Calculation-sheet'!W53/10^9</f>
        <v>8.2329777480545999E-2</v>
      </c>
      <c r="X64" s="2">
        <f>X9*'Output-Calculation-sheet'!X53/10^9</f>
        <v>0.1117518942232785</v>
      </c>
      <c r="Y64" s="2">
        <f>Y9*'Output-Calculation-sheet'!Y53/10^9</f>
        <v>5.7682919404544147E-2</v>
      </c>
      <c r="AA64" s="2">
        <f t="shared" si="4"/>
        <v>27.085448267870596</v>
      </c>
    </row>
    <row r="65" spans="1:27" x14ac:dyDescent="0.25">
      <c r="A65" s="2">
        <v>2033</v>
      </c>
      <c r="B65" s="2">
        <f>B10*'Output-Calculation-sheet'!B54/10^9</f>
        <v>6.538337758555075</v>
      </c>
      <c r="C65" s="2">
        <f>C10*'Output-Calculation-sheet'!C54/10^9</f>
        <v>4.4204943690055307</v>
      </c>
      <c r="D65" s="2">
        <f>D10*'Output-Calculation-sheet'!D54/10^9</f>
        <v>1.544680643645356</v>
      </c>
      <c r="E65" s="2">
        <f>E10*'Output-Calculation-sheet'!E54/10^9</f>
        <v>1.7392927405292016</v>
      </c>
      <c r="F65" s="2">
        <f>F10*'Output-Calculation-sheet'!F54/10^9</f>
        <v>0.70612308810800639</v>
      </c>
      <c r="G65" s="2">
        <f>G10*'Output-Calculation-sheet'!G54/10^9</f>
        <v>0.4848173721447992</v>
      </c>
      <c r="H65" s="2">
        <f>H10*'Output-Calculation-sheet'!H54/10^9</f>
        <v>1.1981365867224647</v>
      </c>
      <c r="I65" s="2">
        <f>I10*'Output-Calculation-sheet'!I54/10^9</f>
        <v>0.47207971512146629</v>
      </c>
      <c r="J65" s="2">
        <f>J10*'Output-Calculation-sheet'!J54/10^9</f>
        <v>0.56424055107901461</v>
      </c>
      <c r="K65" s="2">
        <f>K10*'Output-Calculation-sheet'!K54/10^9</f>
        <v>0.60196992552171913</v>
      </c>
      <c r="L65" s="2">
        <f>L10*'Output-Calculation-sheet'!L54/10^9</f>
        <v>0.71105308376160725</v>
      </c>
      <c r="M65" s="2">
        <f>M10*'Output-Calculation-sheet'!M54/10^9</f>
        <v>0.90464612773530073</v>
      </c>
      <c r="N65" s="2">
        <f>N10*'Output-Calculation-sheet'!N54/10^9</f>
        <v>0.78122400573339834</v>
      </c>
      <c r="O65" s="2">
        <f>O10*'Output-Calculation-sheet'!O54/10^9</f>
        <v>0.89416307553430296</v>
      </c>
      <c r="P65" s="2">
        <f>P10*'Output-Calculation-sheet'!P54/10^9</f>
        <v>0.50933485490798636</v>
      </c>
      <c r="Q65" s="2">
        <f>Q10*'Output-Calculation-sheet'!Q54/10^9</f>
        <v>0.55579404561554147</v>
      </c>
      <c r="R65" s="2">
        <f>R10*'Output-Calculation-sheet'!R54/10^9</f>
        <v>0.44841416476977647</v>
      </c>
      <c r="S65" s="2">
        <f>S10*'Output-Calculation-sheet'!S54/10^9</f>
        <v>0.40731227516168905</v>
      </c>
      <c r="T65" s="2">
        <f>T10*'Output-Calculation-sheet'!T54/10^9</f>
        <v>0.14992462369493473</v>
      </c>
      <c r="U65" s="2">
        <f>U10*'Output-Calculation-sheet'!U54/10^9</f>
        <v>0.12945832205127644</v>
      </c>
      <c r="V65" s="2">
        <f>V10*'Output-Calculation-sheet'!V54/10^9</f>
        <v>0.16591422653689039</v>
      </c>
      <c r="W65" s="2">
        <f>W10*'Output-Calculation-sheet'!W54/10^9</f>
        <v>6.3169786355754959E-2</v>
      </c>
      <c r="X65" s="2">
        <f>X10*'Output-Calculation-sheet'!X54/10^9</f>
        <v>0.10404736864536829</v>
      </c>
      <c r="Y65" s="2">
        <f>Y10*'Output-Calculation-sheet'!Y54/10^9</f>
        <v>5.1992120128856324E-2</v>
      </c>
      <c r="AA65" s="2">
        <f t="shared" si="4"/>
        <v>24.14662083106532</v>
      </c>
    </row>
    <row r="66" spans="1:27" x14ac:dyDescent="0.25">
      <c r="A66" s="2">
        <v>2034</v>
      </c>
      <c r="B66" s="2">
        <f>B11*'Output-Calculation-sheet'!B55/10^9</f>
        <v>5.9705159132045296</v>
      </c>
      <c r="C66" s="2">
        <f>C11*'Output-Calculation-sheet'!C55/10^9</f>
        <v>3.93820959104985</v>
      </c>
      <c r="D66" s="2">
        <f>D11*'Output-Calculation-sheet'!D55/10^9</f>
        <v>1.248848941748063</v>
      </c>
      <c r="E66" s="2">
        <f>E11*'Output-Calculation-sheet'!E55/10^9</f>
        <v>1.5122731284046786</v>
      </c>
      <c r="F66" s="2">
        <f>F11*'Output-Calculation-sheet'!F55/10^9</f>
        <v>0.58118577011667172</v>
      </c>
      <c r="G66" s="2">
        <f>G11*'Output-Calculation-sheet'!G55/10^9</f>
        <v>0.41542079433518508</v>
      </c>
      <c r="H66" s="2">
        <f>H11*'Output-Calculation-sheet'!H55/10^9</f>
        <v>1.0620470391165646</v>
      </c>
      <c r="I66" s="2">
        <f>I11*'Output-Calculation-sheet'!I55/10^9</f>
        <v>0.40623471302644176</v>
      </c>
      <c r="J66" s="2">
        <f>J11*'Output-Calculation-sheet'!J55/10^9</f>
        <v>0.41774955791764073</v>
      </c>
      <c r="K66" s="2">
        <f>K11*'Output-Calculation-sheet'!K55/10^9</f>
        <v>0.49965179876347338</v>
      </c>
      <c r="L66" s="2">
        <f>L11*'Output-Calculation-sheet'!L55/10^9</f>
        <v>0.52913503277559037</v>
      </c>
      <c r="M66" s="2">
        <f>M11*'Output-Calculation-sheet'!M55/10^9</f>
        <v>0.7694293811237346</v>
      </c>
      <c r="N66" s="2">
        <f>N11*'Output-Calculation-sheet'!N55/10^9</f>
        <v>0.67227609367962393</v>
      </c>
      <c r="O66" s="2">
        <f>O11*'Output-Calculation-sheet'!O55/10^9</f>
        <v>0.79337018123093928</v>
      </c>
      <c r="P66" s="2">
        <f>P11*'Output-Calculation-sheet'!P55/10^9</f>
        <v>0.46212738711571072</v>
      </c>
      <c r="Q66" s="2">
        <f>Q11*'Output-Calculation-sheet'!Q55/10^9</f>
        <v>0.50331955752835422</v>
      </c>
      <c r="R66" s="2">
        <f>R11*'Output-Calculation-sheet'!R55/10^9</f>
        <v>0.37428553066857034</v>
      </c>
      <c r="S66" s="2">
        <f>S11*'Output-Calculation-sheet'!S55/10^9</f>
        <v>0.36828787847297184</v>
      </c>
      <c r="T66" s="2">
        <f>T11*'Output-Calculation-sheet'!T55/10^9</f>
        <v>0.11732217755847765</v>
      </c>
      <c r="U66" s="2">
        <f>U11*'Output-Calculation-sheet'!U55/10^9</f>
        <v>0.11930118182255271</v>
      </c>
      <c r="V66" s="2">
        <f>V11*'Output-Calculation-sheet'!V55/10^9</f>
        <v>0.11130065285810617</v>
      </c>
      <c r="W66" s="2">
        <f>W11*'Output-Calculation-sheet'!W55/10^9</f>
        <v>5.0394430085355622E-2</v>
      </c>
      <c r="X66" s="2">
        <f>X11*'Output-Calculation-sheet'!X55/10^9</f>
        <v>9.4782933796414892E-2</v>
      </c>
      <c r="Y66" s="2">
        <f>Y11*'Output-Calculation-sheet'!Y55/10^9</f>
        <v>4.9452076681870759E-2</v>
      </c>
      <c r="AA66" s="2">
        <f t="shared" si="4"/>
        <v>21.066921743081377</v>
      </c>
    </row>
    <row r="67" spans="1:27" x14ac:dyDescent="0.25">
      <c r="A67" s="2">
        <v>2035</v>
      </c>
      <c r="B67" s="2">
        <f>B12*'Output-Calculation-sheet'!B56/10^9</f>
        <v>5.110173409279521</v>
      </c>
      <c r="C67" s="2">
        <f>C12*'Output-Calculation-sheet'!C56/10^9</f>
        <v>3.2228596523714401</v>
      </c>
      <c r="D67" s="2">
        <f>D12*'Output-Calculation-sheet'!D56/10^9</f>
        <v>1.0642654681641619</v>
      </c>
      <c r="E67" s="2">
        <f>E12*'Output-Calculation-sheet'!E56/10^9</f>
        <v>1.4440678588440761</v>
      </c>
      <c r="F67" s="2">
        <f>F12*'Output-Calculation-sheet'!F56/10^9</f>
        <v>0.52740274522186237</v>
      </c>
      <c r="G67" s="2">
        <f>G12*'Output-Calculation-sheet'!G56/10^9</f>
        <v>0.36946093974476141</v>
      </c>
      <c r="H67" s="2">
        <f>H12*'Output-Calculation-sheet'!H56/10^9</f>
        <v>0.89168784110699462</v>
      </c>
      <c r="I67" s="2">
        <f>I12*'Output-Calculation-sheet'!I56/10^9</f>
        <v>0.35887452154216992</v>
      </c>
      <c r="J67" s="2">
        <f>J12*'Output-Calculation-sheet'!J56/10^9</f>
        <v>0.35551836152911376</v>
      </c>
      <c r="K67" s="2">
        <f>K12*'Output-Calculation-sheet'!K56/10^9</f>
        <v>0.42817421170455788</v>
      </c>
      <c r="L67" s="2">
        <f>L12*'Output-Calculation-sheet'!L56/10^9</f>
        <v>0.43013173164393365</v>
      </c>
      <c r="M67" s="2">
        <f>M12*'Output-Calculation-sheet'!M56/10^9</f>
        <v>0.65242883890305292</v>
      </c>
      <c r="N67" s="2">
        <f>N12*'Output-Calculation-sheet'!N56/10^9</f>
        <v>0.56023495237292686</v>
      </c>
      <c r="O67" s="2">
        <f>O12*'Output-Calculation-sheet'!O56/10^9</f>
        <v>0.64806235355271491</v>
      </c>
      <c r="P67" s="2">
        <f>P12*'Output-Calculation-sheet'!P56/10^9</f>
        <v>0.41469383065693766</v>
      </c>
      <c r="Q67" s="2">
        <f>Q12*'Output-Calculation-sheet'!Q56/10^9</f>
        <v>0.4264577379908237</v>
      </c>
      <c r="R67" s="2">
        <f>R12*'Output-Calculation-sheet'!R56/10^9</f>
        <v>0.3246753790053426</v>
      </c>
      <c r="S67" s="2">
        <f>S12*'Output-Calculation-sheet'!S56/10^9</f>
        <v>0.30939668062257814</v>
      </c>
      <c r="T67" s="2">
        <f>T12*'Output-Calculation-sheet'!T56/10^9</f>
        <v>9.845939135447801E-2</v>
      </c>
      <c r="U67" s="2">
        <f>U12*'Output-Calculation-sheet'!U56/10^9</f>
        <v>0.10281745821438652</v>
      </c>
      <c r="V67" s="2">
        <f>V12*'Output-Calculation-sheet'!V56/10^9</f>
        <v>7.8981662550163922E-2</v>
      </c>
      <c r="W67" s="2">
        <f>W12*'Output-Calculation-sheet'!W56/10^9</f>
        <v>4.7652725972557715E-2</v>
      </c>
      <c r="X67" s="2">
        <f>X12*'Output-Calculation-sheet'!X56/10^9</f>
        <v>8.1023682132528876E-2</v>
      </c>
      <c r="Y67" s="2">
        <f>Y12*'Output-Calculation-sheet'!Y56/10^9</f>
        <v>4.603541261300069E-2</v>
      </c>
      <c r="AA67" s="2">
        <f t="shared" si="4"/>
        <v>17.993536847094081</v>
      </c>
    </row>
    <row r="68" spans="1:27" x14ac:dyDescent="0.25">
      <c r="B68" s="2">
        <f>SUM(B60:B67)</f>
        <v>49.178037899881886</v>
      </c>
      <c r="C68" s="2">
        <f t="shared" ref="C68:Y68" si="5">SUM(C60:C67)</f>
        <v>29.901466436299106</v>
      </c>
      <c r="D68" s="2">
        <f t="shared" si="5"/>
        <v>15.236701101910556</v>
      </c>
      <c r="E68" s="2">
        <f t="shared" si="5"/>
        <v>16.011472776427347</v>
      </c>
      <c r="F68" s="2">
        <f t="shared" si="5"/>
        <v>6.5409352086520007</v>
      </c>
      <c r="G68" s="2">
        <f t="shared" si="5"/>
        <v>4.6862498895122702</v>
      </c>
      <c r="H68" s="2">
        <f t="shared" si="5"/>
        <v>8.6202563212855328</v>
      </c>
      <c r="I68" s="2">
        <f t="shared" si="5"/>
        <v>4.4068853561896617</v>
      </c>
      <c r="J68" s="2">
        <f t="shared" si="5"/>
        <v>5.7893287729308902</v>
      </c>
      <c r="K68" s="2">
        <f t="shared" si="5"/>
        <v>5.3783204710980668</v>
      </c>
      <c r="L68" s="2">
        <f t="shared" si="5"/>
        <v>6.9523961494550504</v>
      </c>
      <c r="M68" s="2">
        <f t="shared" si="5"/>
        <v>6.8632203962515739</v>
      </c>
      <c r="N68" s="2">
        <f t="shared" si="5"/>
        <v>5.8907377721161422</v>
      </c>
      <c r="O68" s="2">
        <f t="shared" si="5"/>
        <v>6.1192715810021951</v>
      </c>
      <c r="P68" s="2">
        <f t="shared" si="5"/>
        <v>3.9667141183490013</v>
      </c>
      <c r="Q68" s="2">
        <f t="shared" si="5"/>
        <v>4.4058691888011454</v>
      </c>
      <c r="R68" s="2">
        <f t="shared" si="5"/>
        <v>3.8476735844019521</v>
      </c>
      <c r="S68" s="2">
        <f t="shared" si="5"/>
        <v>2.9896512501924928</v>
      </c>
      <c r="T68" s="2">
        <f t="shared" si="5"/>
        <v>1.399831188404026</v>
      </c>
      <c r="U68" s="2">
        <f t="shared" si="5"/>
        <v>1.0533355248760929</v>
      </c>
      <c r="V68" s="2">
        <f t="shared" si="5"/>
        <v>1.6401882603927556</v>
      </c>
      <c r="W68" s="2">
        <f t="shared" si="5"/>
        <v>0.61542445133551205</v>
      </c>
      <c r="X68" s="2">
        <f t="shared" si="5"/>
        <v>0.75664684484001565</v>
      </c>
      <c r="Y68" s="2">
        <f t="shared" si="5"/>
        <v>0.44169211184327889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2715.8607806147093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1421.1066793731168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953.31549257165182</v>
      </c>
      <c r="N74" s="2">
        <f>N8/'Output-Calculation-sheet'!N7*'Output-Calculation-sheet'!N61</f>
        <v>39.588175440490645</v>
      </c>
      <c r="O74" s="2">
        <f>O8/'Output-Calculation-sheet'!O7*'Output-Calculation-sheet'!O61</f>
        <v>154.03858305933997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119.09722018186997</v>
      </c>
      <c r="Y74" s="2">
        <f>Y8/'Output-Calculation-sheet'!Y7*'Output-Calculation-sheet'!Y61</f>
        <v>0</v>
      </c>
      <c r="AA74" s="2">
        <f t="shared" si="6"/>
        <v>5.4030069312411788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3361.0150199159621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2278.1431284906294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1545.5106961810561</v>
      </c>
      <c r="N75" s="2">
        <f>N9/'Output-Calculation-sheet'!N8*'Output-Calculation-sheet'!N62</f>
        <v>597.23614067712697</v>
      </c>
      <c r="O75" s="2">
        <f>O9/'Output-Calculation-sheet'!O8*'Output-Calculation-sheet'!O62</f>
        <v>291.92802499481417</v>
      </c>
      <c r="P75" s="2">
        <f>P9/'Output-Calculation-sheet'!P8*'Output-Calculation-sheet'!P62</f>
        <v>39.984018186369994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197.55177106264762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186.66042111444125</v>
      </c>
      <c r="Y75" s="2">
        <f>Y9/'Output-Calculation-sheet'!Y8*'Output-Calculation-sheet'!Y62</f>
        <v>0</v>
      </c>
      <c r="AA75" s="2">
        <f t="shared" si="6"/>
        <v>8.4980292206230477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4325.3864530576138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2988.0786072893729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2034.899028483032</v>
      </c>
      <c r="N76" s="2">
        <f>N10/'Output-Calculation-sheet'!N9*'Output-Calculation-sheet'!N63</f>
        <v>1164.3672429828243</v>
      </c>
      <c r="O76" s="2">
        <f>O10/'Output-Calculation-sheet'!O9*'Output-Calculation-sheet'!O63</f>
        <v>430.06013662278633</v>
      </c>
      <c r="P76" s="2">
        <f>P10/'Output-Calculation-sheet'!P9*'Output-Calculation-sheet'!P63</f>
        <v>399.15185330283612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307.366457822016</v>
      </c>
      <c r="S76" s="2">
        <f>S10/'Output-Calculation-sheet'!S9*'Output-Calculation-sheet'!S63</f>
        <v>516.31153262806674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109.23121012108611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239.62070057089412</v>
      </c>
      <c r="Y76" s="2">
        <f>Y10/'Output-Calculation-sheet'!Y9*'Output-Calculation-sheet'!Y63</f>
        <v>4.5456509469597863</v>
      </c>
      <c r="AA76" s="2">
        <f t="shared" si="6"/>
        <v>17.381507483845176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5169.1853125766147</v>
      </c>
      <c r="D77" s="2">
        <f>D11/'Output-Calculation-sheet'!D10*'Output-Calculation-sheet'!D64</f>
        <v>1209.7103566663702</v>
      </c>
      <c r="E77" s="2">
        <f>E11/'Output-Calculation-sheet'!E10*'Output-Calculation-sheet'!E64</f>
        <v>1508.3440164217843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641.13945568089923</v>
      </c>
      <c r="H77" s="2">
        <f>H11/'Output-Calculation-sheet'!H10*'Output-Calculation-sheet'!H64</f>
        <v>3207.9872992079972</v>
      </c>
      <c r="I77" s="2">
        <f>I11/'Output-Calculation-sheet'!I10*'Output-Calculation-sheet'!I64</f>
        <v>376.77735573788465</v>
      </c>
      <c r="J77" s="2">
        <f>J11/'Output-Calculation-sheet'!J10*'Output-Calculation-sheet'!J64</f>
        <v>263.87995099014103</v>
      </c>
      <c r="K77" s="2">
        <f>K11/'Output-Calculation-sheet'!K10*'Output-Calculation-sheet'!K64</f>
        <v>573.81465410655653</v>
      </c>
      <c r="L77" s="2">
        <f>L11/'Output-Calculation-sheet'!L10*'Output-Calculation-sheet'!L64</f>
        <v>236.18955002290258</v>
      </c>
      <c r="M77" s="2">
        <f>M11/'Output-Calculation-sheet'!M10*'Output-Calculation-sheet'!M64</f>
        <v>2291.3656452775358</v>
      </c>
      <c r="N77" s="2">
        <f>N11/'Output-Calculation-sheet'!N10*'Output-Calculation-sheet'!N64</f>
        <v>1613.2648438244591</v>
      </c>
      <c r="O77" s="2">
        <f>O11/'Output-Calculation-sheet'!O10*'Output-Calculation-sheet'!O64</f>
        <v>587.51412221781322</v>
      </c>
      <c r="P77" s="2">
        <f>P11/'Output-Calculation-sheet'!P10*'Output-Calculation-sheet'!P64</f>
        <v>715.2992479364508</v>
      </c>
      <c r="Q77" s="2">
        <f>Q11/'Output-Calculation-sheet'!Q10*'Output-Calculation-sheet'!Q64</f>
        <v>503.65662502921822</v>
      </c>
      <c r="R77" s="2">
        <f>R11/'Output-Calculation-sheet'!R10*'Output-Calculation-sheet'!R64</f>
        <v>609.34756236804424</v>
      </c>
      <c r="S77" s="2">
        <f>S11/'Output-Calculation-sheet'!S10*'Output-Calculation-sheet'!S64</f>
        <v>811.25481989041702</v>
      </c>
      <c r="T77" s="2">
        <f>T11/'Output-Calculation-sheet'!T10*'Output-Calculation-sheet'!T64</f>
        <v>167.94939554246434</v>
      </c>
      <c r="U77" s="2">
        <f>U11/'Output-Calculation-sheet'!U10*'Output-Calculation-sheet'!U64</f>
        <v>178.25261872357706</v>
      </c>
      <c r="V77" s="2">
        <f>V11/'Output-Calculation-sheet'!V10*'Output-Calculation-sheet'!V64</f>
        <v>88.83202484920065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229.37061465349424</v>
      </c>
      <c r="Y77" s="2">
        <f>Y11/'Output-Calculation-sheet'!Y10*'Output-Calculation-sheet'!Y64</f>
        <v>55.781126551183647</v>
      </c>
      <c r="AA77" s="2">
        <f t="shared" si="6"/>
        <v>31.039202801835323</v>
      </c>
    </row>
    <row r="78" spans="1:27" x14ac:dyDescent="0.25">
      <c r="A78" s="2">
        <v>2035</v>
      </c>
      <c r="B78" s="2">
        <f>B12/'Output-Calculation-sheet'!B11*'Output-Calculation-sheet'!B65</f>
        <v>8396.746405238644</v>
      </c>
      <c r="C78" s="2">
        <f>C12/'Output-Calculation-sheet'!C11*'Output-Calculation-sheet'!C65</f>
        <v>6507.2491666903234</v>
      </c>
      <c r="D78" s="2">
        <f>D12/'Output-Calculation-sheet'!D11*'Output-Calculation-sheet'!D65</f>
        <v>1121.6606938983689</v>
      </c>
      <c r="E78" s="2">
        <f>E12/'Output-Calculation-sheet'!E11*'Output-Calculation-sheet'!E65</f>
        <v>1943.6445952366439</v>
      </c>
      <c r="F78" s="2">
        <f>F12/'Output-Calculation-sheet'!F11*'Output-Calculation-sheet'!F65</f>
        <v>248.72908821866727</v>
      </c>
      <c r="G78" s="2">
        <f>G12/'Output-Calculation-sheet'!G11*'Output-Calculation-sheet'!G65</f>
        <v>492.56406795857555</v>
      </c>
      <c r="H78" s="2">
        <f>H12/'Output-Calculation-sheet'!H11*'Output-Calculation-sheet'!H65</f>
        <v>2670.9598210798686</v>
      </c>
      <c r="I78" s="2">
        <f>I12/'Output-Calculation-sheet'!I11*'Output-Calculation-sheet'!I65</f>
        <v>326.22070868804093</v>
      </c>
      <c r="J78" s="2">
        <f>J12/'Output-Calculation-sheet'!J11*'Output-Calculation-sheet'!J65</f>
        <v>472.1728006143544</v>
      </c>
      <c r="K78" s="2">
        <f>K12/'Output-Calculation-sheet'!K11*'Output-Calculation-sheet'!K65</f>
        <v>591.7529914602153</v>
      </c>
      <c r="L78" s="2">
        <f>L12/'Output-Calculation-sheet'!L11*'Output-Calculation-sheet'!L65</f>
        <v>501.97918265276076</v>
      </c>
      <c r="M78" s="2">
        <f>M12/'Output-Calculation-sheet'!M11*'Output-Calculation-sheet'!M65</f>
        <v>1946.2188272581127</v>
      </c>
      <c r="N78" s="2">
        <f>N12/'Output-Calculation-sheet'!N11*'Output-Calculation-sheet'!N65</f>
        <v>1380.4566981611536</v>
      </c>
      <c r="O78" s="2">
        <f>O12/'Output-Calculation-sheet'!O11*'Output-Calculation-sheet'!O65</f>
        <v>774.98030098390348</v>
      </c>
      <c r="P78" s="2">
        <f>P12/'Output-Calculation-sheet'!P11*'Output-Calculation-sheet'!P65</f>
        <v>677.81860228871858</v>
      </c>
      <c r="Q78" s="2">
        <f>Q12/'Output-Calculation-sheet'!Q11*'Output-Calculation-sheet'!Q65</f>
        <v>466.61204466583285</v>
      </c>
      <c r="R78" s="2">
        <f>R12/'Output-Calculation-sheet'!R11*'Output-Calculation-sheet'!R65</f>
        <v>631.64284519431794</v>
      </c>
      <c r="S78" s="2">
        <f>S12/'Output-Calculation-sheet'!S11*'Output-Calculation-sheet'!S65</f>
        <v>658.20009238927673</v>
      </c>
      <c r="T78" s="2">
        <f>T12/'Output-Calculation-sheet'!T11*'Output-Calculation-sheet'!T65</f>
        <v>217.88554419594587</v>
      </c>
      <c r="U78" s="2">
        <f>U12/'Output-Calculation-sheet'!U11*'Output-Calculation-sheet'!U65</f>
        <v>149.06543357346101</v>
      </c>
      <c r="V78" s="2">
        <f>V12/'Output-Calculation-sheet'!V11*'Output-Calculation-sheet'!V65</f>
        <v>122.34311293207332</v>
      </c>
      <c r="W78" s="2">
        <f>W12/'Output-Calculation-sheet'!W11*'Output-Calculation-sheet'!W65</f>
        <v>58.917641933124543</v>
      </c>
      <c r="X78" s="2">
        <f>X12/'Output-Calculation-sheet'!X11*'Output-Calculation-sheet'!X65</f>
        <v>190.52792021916048</v>
      </c>
      <c r="Y78" s="2">
        <f>Y12/'Output-Calculation-sheet'!Y11*'Output-Calculation-sheet'!Y65</f>
        <v>52.128976280445698</v>
      </c>
      <c r="AA78" s="2">
        <f t="shared" si="6"/>
        <v>30.600477561811989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259.42757249710655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67.199730858039032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0.32662730335514562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442.71648619773464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86.007903186263093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0.52872438938399768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507.41639069224732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98.57735405473403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0.60599374474698131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451.69392804758951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23.174243108077043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87.751978624054161</v>
      </c>
      <c r="P88" s="2">
        <f>P11/'Output-Calculation-sheet'!P10*'Output-Calculation-sheet'!P73</f>
        <v>0</v>
      </c>
      <c r="Q88" s="2">
        <f>Q11/'Output-Calculation-sheet'!Q10*'Output-Calculation-sheet'!Q73</f>
        <v>13.731471006003931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4.3811782609147389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1.749331635029967</v>
      </c>
      <c r="Y88" s="2">
        <f>Y11/'Output-Calculation-sheet'!Y10*'Output-Calculation-sheet'!Y73</f>
        <v>0</v>
      </c>
      <c r="AA88" s="2">
        <f t="shared" si="7"/>
        <v>0.58248213068166943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310.09050115274357</v>
      </c>
      <c r="D89" s="2">
        <f>D12/'Output-Calculation-sheet'!D11*'Output-Calculation-sheet'!D74</f>
        <v>54.937586026270701</v>
      </c>
      <c r="E89" s="2">
        <f>E12/'Output-Calculation-sheet'!E11*'Output-Calculation-sheet'!E74</f>
        <v>87.321454511159502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19.707292468535471</v>
      </c>
      <c r="H89" s="2">
        <f>H12/'Output-Calculation-sheet'!H11*'Output-Calculation-sheet'!H74</f>
        <v>38.182205496259897</v>
      </c>
      <c r="I89" s="2">
        <f>I12/'Output-Calculation-sheet'!I11*'Output-Calculation-sheet'!I74</f>
        <v>17.72553296500983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17.421408763217691</v>
      </c>
      <c r="L89" s="2">
        <f>L12/'Output-Calculation-sheet'!L11*'Output-Calculation-sheet'!L74</f>
        <v>13.852669444290662</v>
      </c>
      <c r="M89" s="2">
        <f>M12/'Output-Calculation-sheet'!M11*'Output-Calculation-sheet'!M74</f>
        <v>26.273093724165058</v>
      </c>
      <c r="N89" s="2">
        <f>N12/'Output-Calculation-sheet'!N11*'Output-Calculation-sheet'!N74</f>
        <v>12.911117640863763</v>
      </c>
      <c r="O89" s="2">
        <f>O12/'Output-Calculation-sheet'!O11*'Output-Calculation-sheet'!O74</f>
        <v>60.242242233132011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11.312081375689903</v>
      </c>
      <c r="R89" s="2">
        <f>R12/'Output-Calculation-sheet'!R11*'Output-Calculation-sheet'!R74</f>
        <v>11.218037956777572</v>
      </c>
      <c r="S89" s="2">
        <f>S12/'Output-Calculation-sheet'!S11*'Output-Calculation-sheet'!S74</f>
        <v>14.802156508591338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3.6092451411215469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5.7644462999995607</v>
      </c>
      <c r="Y89" s="2">
        <f>Y12/'Output-Calculation-sheet'!Y11*'Output-Calculation-sheet'!Y74</f>
        <v>2.7813987984444402</v>
      </c>
      <c r="AA89" s="2">
        <f t="shared" si="7"/>
        <v>1.0476895215746811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8040298978.7899551</v>
      </c>
      <c r="C96" s="2">
        <f>C8/'Output-Calculation-sheet'!C7*'Output-Calculation-sheet'!C79</f>
        <v>1941597460.9799449</v>
      </c>
      <c r="D96" s="2">
        <f>D8/'Output-Calculation-sheet'!D7*'Output-Calculation-sheet'!D79</f>
        <v>1576288280.6962969</v>
      </c>
      <c r="E96" s="2">
        <f>E8/'Output-Calculation-sheet'!E7*'Output-Calculation-sheet'!E79</f>
        <v>5905778757.9573698</v>
      </c>
      <c r="F96" s="2">
        <f>F8/'Output-Calculation-sheet'!F7*'Output-Calculation-sheet'!F79</f>
        <v>1722806033.5911372</v>
      </c>
      <c r="G96" s="2">
        <f>G8/'Output-Calculation-sheet'!G7*'Output-Calculation-sheet'!G79</f>
        <v>1105793364.7856405</v>
      </c>
      <c r="H96" s="2">
        <f>H8/'Output-Calculation-sheet'!H7*'Output-Calculation-sheet'!H79</f>
        <v>1362298923.7900147</v>
      </c>
      <c r="I96" s="2">
        <f>I8/'Output-Calculation-sheet'!I7*'Output-Calculation-sheet'!I79</f>
        <v>795172972.75002909</v>
      </c>
      <c r="J96" s="2">
        <f>J8/'Output-Calculation-sheet'!J7*'Output-Calculation-sheet'!J79</f>
        <v>602585323.97852516</v>
      </c>
      <c r="K96" s="2">
        <f>K8/'Output-Calculation-sheet'!K7*'Output-Calculation-sheet'!K79</f>
        <v>755720071.4503994</v>
      </c>
      <c r="L96" s="2">
        <f>L8/'Output-Calculation-sheet'!L7*'Output-Calculation-sheet'!L79</f>
        <v>686063416.5605911</v>
      </c>
      <c r="M96" s="2">
        <f>M8/'Output-Calculation-sheet'!M7*'Output-Calculation-sheet'!M79</f>
        <v>1051144034.1997914</v>
      </c>
      <c r="N96" s="2">
        <f>N8/'Output-Calculation-sheet'!N7*'Output-Calculation-sheet'!N79</f>
        <v>683314591.64132011</v>
      </c>
      <c r="O96" s="2">
        <f>O8/'Output-Calculation-sheet'!O7*'Output-Calculation-sheet'!O79</f>
        <v>256394357.11374357</v>
      </c>
      <c r="P96" s="2">
        <f>P8/'Output-Calculation-sheet'!P7*'Output-Calculation-sheet'!P79</f>
        <v>1301378937.2806947</v>
      </c>
      <c r="Q96" s="2">
        <f>Q8/'Output-Calculation-sheet'!Q7*'Output-Calculation-sheet'!Q79</f>
        <v>552524150.98278797</v>
      </c>
      <c r="R96" s="2">
        <f>R8/'Output-Calculation-sheet'!R7*'Output-Calculation-sheet'!R79</f>
        <v>733354248.95980108</v>
      </c>
      <c r="S96" s="2">
        <f>S8/'Output-Calculation-sheet'!S7*'Output-Calculation-sheet'!S79</f>
        <v>413583037.22648185</v>
      </c>
      <c r="T96" s="2">
        <f>T8/'Output-Calculation-sheet'!T7*'Output-Calculation-sheet'!T79</f>
        <v>249507095.51949909</v>
      </c>
      <c r="U96" s="2">
        <f>U8/'Output-Calculation-sheet'!U7*'Output-Calculation-sheet'!U79</f>
        <v>196393011.11458799</v>
      </c>
      <c r="V96" s="2">
        <f>V8/'Output-Calculation-sheet'!V7*'Output-Calculation-sheet'!V79</f>
        <v>90137944.083282128</v>
      </c>
      <c r="W96" s="2">
        <f>W8/'Output-Calculation-sheet'!W7*'Output-Calculation-sheet'!W79</f>
        <v>277524366.09201378</v>
      </c>
      <c r="X96" s="2">
        <f>X8/'Output-Calculation-sheet'!X7*'Output-Calculation-sheet'!X79</f>
        <v>125169633.15540761</v>
      </c>
      <c r="Y96" s="2">
        <f>Y8/'Output-Calculation-sheet'!Y7*'Output-Calculation-sheet'!Y79</f>
        <v>172256339.69765493</v>
      </c>
      <c r="AA96" s="2">
        <f t="shared" si="8"/>
        <v>30.597085332396976</v>
      </c>
    </row>
    <row r="97" spans="1:27" x14ac:dyDescent="0.25">
      <c r="A97" s="2">
        <v>2032</v>
      </c>
      <c r="B97" s="2">
        <f>B9/'Output-Calculation-sheet'!B8*'Output-Calculation-sheet'!B80</f>
        <v>9436434370.9990635</v>
      </c>
      <c r="C97" s="2">
        <f>C9/'Output-Calculation-sheet'!C8*'Output-Calculation-sheet'!C80</f>
        <v>2228714480.4869118</v>
      </c>
      <c r="D97" s="2">
        <f>D9/'Output-Calculation-sheet'!D8*'Output-Calculation-sheet'!D80</f>
        <v>1702496402.6460342</v>
      </c>
      <c r="E97" s="2">
        <f>E9/'Output-Calculation-sheet'!E8*'Output-Calculation-sheet'!E80</f>
        <v>7167259776.3031092</v>
      </c>
      <c r="F97" s="2">
        <f>F9/'Output-Calculation-sheet'!F8*'Output-Calculation-sheet'!F80</f>
        <v>1965510122.0556741</v>
      </c>
      <c r="G97" s="2">
        <f>G9/'Output-Calculation-sheet'!G8*'Output-Calculation-sheet'!G80</f>
        <v>1204356730.7000682</v>
      </c>
      <c r="H97" s="2">
        <f>H9/'Output-Calculation-sheet'!H8*'Output-Calculation-sheet'!H80</f>
        <v>1576933115.7132642</v>
      </c>
      <c r="I97" s="2">
        <f>I9/'Output-Calculation-sheet'!I8*'Output-Calculation-sheet'!I80</f>
        <v>908313241.18567491</v>
      </c>
      <c r="J97" s="2">
        <f>J9/'Output-Calculation-sheet'!J8*'Output-Calculation-sheet'!J80</f>
        <v>678762439.77207577</v>
      </c>
      <c r="K97" s="2">
        <f>K9/'Output-Calculation-sheet'!K8*'Output-Calculation-sheet'!K80</f>
        <v>837143741.19558358</v>
      </c>
      <c r="L97" s="2">
        <f>L9/'Output-Calculation-sheet'!L8*'Output-Calculation-sheet'!L80</f>
        <v>807481211.17204189</v>
      </c>
      <c r="M97" s="2">
        <f>M9/'Output-Calculation-sheet'!M8*'Output-Calculation-sheet'!M80</f>
        <v>1244094380.4178743</v>
      </c>
      <c r="N97" s="2">
        <f>N9/'Output-Calculation-sheet'!N8*'Output-Calculation-sheet'!N80</f>
        <v>781672061.85747528</v>
      </c>
      <c r="O97" s="2">
        <f>O9/'Output-Calculation-sheet'!O8*'Output-Calculation-sheet'!O80</f>
        <v>290561703.44479722</v>
      </c>
      <c r="P97" s="2">
        <f>P9/'Output-Calculation-sheet'!P8*'Output-Calculation-sheet'!P80</f>
        <v>1465438617.9555058</v>
      </c>
      <c r="Q97" s="2">
        <f>Q9/'Output-Calculation-sheet'!Q8*'Output-Calculation-sheet'!Q80</f>
        <v>633854279.66371012</v>
      </c>
      <c r="R97" s="2">
        <f>R9/'Output-Calculation-sheet'!R8*'Output-Calculation-sheet'!R80</f>
        <v>849367549.34468257</v>
      </c>
      <c r="S97" s="2">
        <f>S9/'Output-Calculation-sheet'!S8*'Output-Calculation-sheet'!S80</f>
        <v>472726510.48423493</v>
      </c>
      <c r="T97" s="2">
        <f>T9/'Output-Calculation-sheet'!T8*'Output-Calculation-sheet'!T80</f>
        <v>275644824.99364227</v>
      </c>
      <c r="U97" s="2">
        <f>U9/'Output-Calculation-sheet'!U8*'Output-Calculation-sheet'!U80</f>
        <v>219336568.94775084</v>
      </c>
      <c r="V97" s="2">
        <f>V9/'Output-Calculation-sheet'!V8*'Output-Calculation-sheet'!V80</f>
        <v>101171194.14839603</v>
      </c>
      <c r="W97" s="2">
        <f>W9/'Output-Calculation-sheet'!W8*'Output-Calculation-sheet'!W80</f>
        <v>313070693.2458818</v>
      </c>
      <c r="X97" s="2">
        <f>X9/'Output-Calculation-sheet'!X8*'Output-Calculation-sheet'!X80</f>
        <v>151630467.68296379</v>
      </c>
      <c r="Y97" s="2">
        <f>Y9/'Output-Calculation-sheet'!Y8*'Output-Calculation-sheet'!Y80</f>
        <v>199046057.81482163</v>
      </c>
      <c r="AA97" s="2">
        <f t="shared" si="8"/>
        <v>35.511020542231236</v>
      </c>
    </row>
    <row r="98" spans="1:27" x14ac:dyDescent="0.25">
      <c r="A98" s="2">
        <v>2033</v>
      </c>
      <c r="B98" s="2">
        <f>B10/'Output-Calculation-sheet'!B9*'Output-Calculation-sheet'!B81</f>
        <v>9865998247.4499111</v>
      </c>
      <c r="C98" s="2">
        <f>C10/'Output-Calculation-sheet'!C9*'Output-Calculation-sheet'!C81</f>
        <v>2284578026.3490224</v>
      </c>
      <c r="D98" s="2">
        <f>D10/'Output-Calculation-sheet'!D9*'Output-Calculation-sheet'!D81</f>
        <v>1643518703.8598158</v>
      </c>
      <c r="E98" s="2">
        <f>E10/'Output-Calculation-sheet'!E9*'Output-Calculation-sheet'!E81</f>
        <v>7758036672.706481</v>
      </c>
      <c r="F98" s="2">
        <f>F10/'Output-Calculation-sheet'!F9*'Output-Calculation-sheet'!F81</f>
        <v>1998862447.579237</v>
      </c>
      <c r="G98" s="2">
        <f>G10/'Output-Calculation-sheet'!G9*'Output-Calculation-sheet'!G81</f>
        <v>1167776415.5810094</v>
      </c>
      <c r="H98" s="2">
        <f>H10/'Output-Calculation-sheet'!H9*'Output-Calculation-sheet'!H81</f>
        <v>1625724068.4466405</v>
      </c>
      <c r="I98" s="2">
        <f>I10/'Output-Calculation-sheet'!I9*'Output-Calculation-sheet'!I81</f>
        <v>926488520.11290014</v>
      </c>
      <c r="J98" s="2">
        <f>J10/'Output-Calculation-sheet'!J9*'Output-Calculation-sheet'!J81</f>
        <v>683464784.69889426</v>
      </c>
      <c r="K98" s="2">
        <f>K10/'Output-Calculation-sheet'!K9*'Output-Calculation-sheet'!K81</f>
        <v>827641460.74593329</v>
      </c>
      <c r="L98" s="2">
        <f>L10/'Output-Calculation-sheet'!L9*'Output-Calculation-sheet'!L81</f>
        <v>848249537.78429365</v>
      </c>
      <c r="M98" s="2">
        <f>M10/'Output-Calculation-sheet'!M9*'Output-Calculation-sheet'!M81</f>
        <v>1314484010.4300518</v>
      </c>
      <c r="N98" s="2">
        <f>N10/'Output-Calculation-sheet'!N9*'Output-Calculation-sheet'!N81</f>
        <v>798831986.24257469</v>
      </c>
      <c r="O98" s="2">
        <f>O10/'Output-Calculation-sheet'!O9*'Output-Calculation-sheet'!O81</f>
        <v>294633253.25767201</v>
      </c>
      <c r="P98" s="2">
        <f>P10/'Output-Calculation-sheet'!P9*'Output-Calculation-sheet'!P81</f>
        <v>1461678440.1594422</v>
      </c>
      <c r="Q98" s="2">
        <f>Q10/'Output-Calculation-sheet'!Q9*'Output-Calculation-sheet'!Q81</f>
        <v>649472495.16341412</v>
      </c>
      <c r="R98" s="2">
        <f>R10/'Output-Calculation-sheet'!R9*'Output-Calculation-sheet'!R81</f>
        <v>876641322.99815512</v>
      </c>
      <c r="S98" s="2">
        <f>S10/'Output-Calculation-sheet'!S9*'Output-Calculation-sheet'!S81</f>
        <v>481451547.26710856</v>
      </c>
      <c r="T98" s="2">
        <f>T10/'Output-Calculation-sheet'!T9*'Output-Calculation-sheet'!T81</f>
        <v>271257341.55098844</v>
      </c>
      <c r="U98" s="2">
        <f>U10/'Output-Calculation-sheet'!U9*'Output-Calculation-sheet'!U81</f>
        <v>217963216.77985889</v>
      </c>
      <c r="V98" s="2">
        <f>V10/'Output-Calculation-sheet'!V9*'Output-Calculation-sheet'!V81</f>
        <v>101232602.65615672</v>
      </c>
      <c r="W98" s="2">
        <f>W10/'Output-Calculation-sheet'!W9*'Output-Calculation-sheet'!W81</f>
        <v>313059667.78167266</v>
      </c>
      <c r="X98" s="2">
        <f>X10/'Output-Calculation-sheet'!X9*'Output-Calculation-sheet'!X81</f>
        <v>164117502.23323715</v>
      </c>
      <c r="Y98" s="2">
        <f>Y10/'Output-Calculation-sheet'!Y9*'Output-Calculation-sheet'!Y81</f>
        <v>204322553.54530618</v>
      </c>
      <c r="AA98" s="2">
        <f t="shared" si="8"/>
        <v>36.779484825379768</v>
      </c>
    </row>
    <row r="99" spans="1:27" x14ac:dyDescent="0.25">
      <c r="A99" s="2">
        <v>2034</v>
      </c>
      <c r="B99" s="2">
        <f>B11/'Output-Calculation-sheet'!B10*'Output-Calculation-sheet'!B82</f>
        <v>9297556312.8286572</v>
      </c>
      <c r="C99" s="2">
        <f>C11/'Output-Calculation-sheet'!C10*'Output-Calculation-sheet'!C82</f>
        <v>2116429214.8008893</v>
      </c>
      <c r="D99" s="2">
        <f>D11/'Output-Calculation-sheet'!D10*'Output-Calculation-sheet'!D82</f>
        <v>1435635436.0776968</v>
      </c>
      <c r="E99" s="2">
        <f>E11/'Output-Calculation-sheet'!E10*'Output-Calculation-sheet'!E82</f>
        <v>7577038439.5419321</v>
      </c>
      <c r="F99" s="2">
        <f>F11/'Output-Calculation-sheet'!F10*'Output-Calculation-sheet'!F82</f>
        <v>1834069021.0613523</v>
      </c>
      <c r="G99" s="2">
        <f>G11/'Output-Calculation-sheet'!G10*'Output-Calculation-sheet'!G82</f>
        <v>1020770038.2635936</v>
      </c>
      <c r="H99" s="2">
        <f>H11/'Output-Calculation-sheet'!H10*'Output-Calculation-sheet'!H82</f>
        <v>1510473528.0564914</v>
      </c>
      <c r="I99" s="2">
        <f>I11/'Output-Calculation-sheet'!I10*'Output-Calculation-sheet'!I82</f>
        <v>854107854.13025749</v>
      </c>
      <c r="J99" s="2">
        <f>J11/'Output-Calculation-sheet'!J10*'Output-Calculation-sheet'!J82</f>
        <v>622640417.02456319</v>
      </c>
      <c r="K99" s="2">
        <f>K11/'Output-Calculation-sheet'!K10*'Output-Calculation-sheet'!K82</f>
        <v>739295280.32099879</v>
      </c>
      <c r="L99" s="2">
        <f>L11/'Output-Calculation-sheet'!L10*'Output-Calculation-sheet'!L82</f>
        <v>804787053.23811901</v>
      </c>
      <c r="M99" s="2">
        <f>M11/'Output-Calculation-sheet'!M10*'Output-Calculation-sheet'!M82</f>
        <v>1254541905.8965714</v>
      </c>
      <c r="N99" s="2">
        <f>N11/'Output-Calculation-sheet'!N10*'Output-Calculation-sheet'!N82</f>
        <v>738136214.54076099</v>
      </c>
      <c r="O99" s="2">
        <f>O11/'Output-Calculation-sheet'!O10*'Output-Calculation-sheet'!O82</f>
        <v>270525748.54127222</v>
      </c>
      <c r="P99" s="2">
        <f>P11/'Output-Calculation-sheet'!P10*'Output-Calculation-sheet'!P82</f>
        <v>1307618974.3352239</v>
      </c>
      <c r="Q99" s="2">
        <f>Q11/'Output-Calculation-sheet'!Q10*'Output-Calculation-sheet'!Q82</f>
        <v>601490472.33808494</v>
      </c>
      <c r="R99" s="2">
        <f>R11/'Output-Calculation-sheet'!R10*'Output-Calculation-sheet'!R82</f>
        <v>815906145.79075897</v>
      </c>
      <c r="S99" s="2">
        <f>S11/'Output-Calculation-sheet'!S10*'Output-Calculation-sheet'!S82</f>
        <v>442152473.71156383</v>
      </c>
      <c r="T99" s="2">
        <f>T11/'Output-Calculation-sheet'!T10*'Output-Calculation-sheet'!T82</f>
        <v>240770625.1914461</v>
      </c>
      <c r="U99" s="2">
        <f>U11/'Output-Calculation-sheet'!U10*'Output-Calculation-sheet'!U82</f>
        <v>195128742.13749021</v>
      </c>
      <c r="V99" s="2">
        <f>V11/'Output-Calculation-sheet'!V10*'Output-Calculation-sheet'!V82</f>
        <v>91402731.421134442</v>
      </c>
      <c r="W99" s="2">
        <f>W11/'Output-Calculation-sheet'!W10*'Output-Calculation-sheet'!W82</f>
        <v>280969625.73174876</v>
      </c>
      <c r="X99" s="2">
        <f>X11/'Output-Calculation-sheet'!X10*'Output-Calculation-sheet'!X82</f>
        <v>160585932.63171667</v>
      </c>
      <c r="Y99" s="2">
        <f>Y11/'Output-Calculation-sheet'!Y10*'Output-Calculation-sheet'!Y82</f>
        <v>188588420.94925627</v>
      </c>
      <c r="AA99" s="2">
        <f t="shared" si="8"/>
        <v>34.400620608561574</v>
      </c>
    </row>
    <row r="100" spans="1:27" x14ac:dyDescent="0.25">
      <c r="A100" s="2">
        <v>2035</v>
      </c>
      <c r="B100" s="2">
        <f>B12/'Output-Calculation-sheet'!B11*'Output-Calculation-sheet'!B83</f>
        <v>7901131911.3799782</v>
      </c>
      <c r="C100" s="2">
        <f>C12/'Output-Calculation-sheet'!C11*'Output-Calculation-sheet'!C83</f>
        <v>1773037948.2151663</v>
      </c>
      <c r="D100" s="2">
        <f>D12/'Output-Calculation-sheet'!D11*'Output-Calculation-sheet'!D83</f>
        <v>1135778554.7553999</v>
      </c>
      <c r="E100" s="2">
        <f>E12/'Output-Calculation-sheet'!E11*'Output-Calculation-sheet'!E83</f>
        <v>6679021582.2859402</v>
      </c>
      <c r="F100" s="2">
        <f>F12/'Output-Calculation-sheet'!F11*'Output-Calculation-sheet'!F83</f>
        <v>1519557614.5736845</v>
      </c>
      <c r="G100" s="2">
        <f>G12/'Output-Calculation-sheet'!G11*'Output-Calculation-sheet'!G83</f>
        <v>805315843.34036314</v>
      </c>
      <c r="H100" s="2">
        <f>H12/'Output-Calculation-sheet'!H11*'Output-Calculation-sheet'!H83</f>
        <v>1265476654.9830914</v>
      </c>
      <c r="I100" s="2">
        <f>I12/'Output-Calculation-sheet'!I11*'Output-Calculation-sheet'!I83</f>
        <v>712147393.59410226</v>
      </c>
      <c r="J100" s="2">
        <f>J12/'Output-Calculation-sheet'!J11*'Output-Calculation-sheet'!J83</f>
        <v>513543881.10925919</v>
      </c>
      <c r="K100" s="2">
        <f>K12/'Output-Calculation-sheet'!K11*'Output-Calculation-sheet'!K83</f>
        <v>597202930.76361275</v>
      </c>
      <c r="L100" s="2">
        <f>L12/'Output-Calculation-sheet'!L11*'Output-Calculation-sheet'!L83</f>
        <v>689976253.16172922</v>
      </c>
      <c r="M100" s="2">
        <f>M12/'Output-Calculation-sheet'!M11*'Output-Calculation-sheet'!M83</f>
        <v>1082040550.2497544</v>
      </c>
      <c r="N100" s="2">
        <f>N12/'Output-Calculation-sheet'!N11*'Output-Calculation-sheet'!N83</f>
        <v>617113593.65860009</v>
      </c>
      <c r="O100" s="2">
        <f>O12/'Output-Calculation-sheet'!O11*'Output-Calculation-sheet'!O83</f>
        <v>225042245.41541708</v>
      </c>
      <c r="P100" s="2">
        <f>P12/'Output-Calculation-sheet'!P11*'Output-Calculation-sheet'!P83</f>
        <v>1050614658.9063017</v>
      </c>
      <c r="Q100" s="2">
        <f>Q12/'Output-Calculation-sheet'!Q11*'Output-Calculation-sheet'!Q83</f>
        <v>503770535.17276782</v>
      </c>
      <c r="R100" s="2">
        <f>R12/'Output-Calculation-sheet'!R11*'Output-Calculation-sheet'!R83</f>
        <v>685164216.46648335</v>
      </c>
      <c r="S100" s="2">
        <f>S12/'Output-Calculation-sheet'!S11*'Output-Calculation-sheet'!S83</f>
        <v>366391267.10829759</v>
      </c>
      <c r="T100" s="2">
        <f>T12/'Output-Calculation-sheet'!T11*'Output-Calculation-sheet'!T83</f>
        <v>192979507.03338885</v>
      </c>
      <c r="U100" s="2">
        <f>U12/'Output-Calculation-sheet'!U11*'Output-Calculation-sheet'!U83</f>
        <v>157540193.81197429</v>
      </c>
      <c r="V100" s="2">
        <f>V12/'Output-Calculation-sheet'!V11*'Output-Calculation-sheet'!V83</f>
        <v>74527522.554626465</v>
      </c>
      <c r="W100" s="2">
        <f>W12/'Output-Calculation-sheet'!W11*'Output-Calculation-sheet'!W83</f>
        <v>226613739.52442503</v>
      </c>
      <c r="X100" s="2">
        <f>X12/'Output-Calculation-sheet'!X11*'Output-Calculation-sheet'!X83</f>
        <v>142112494.26773742</v>
      </c>
      <c r="Y100" s="2">
        <f>Y12/'Output-Calculation-sheet'!Y11*'Output-Calculation-sheet'!Y83</f>
        <v>156651161.7271893</v>
      </c>
      <c r="AA100" s="2">
        <f t="shared" si="8"/>
        <v>29.072752254059292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1334937074.6369362</v>
      </c>
      <c r="C107" s="2">
        <f>C8/'Output-Calculation-sheet'!C7*'Output-Calculation-sheet'!C88</f>
        <v>17214420344.074505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6859415874.8123465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4732423325.7183008</v>
      </c>
      <c r="N107" s="2">
        <f>N8/'Output-Calculation-sheet'!N7*'Output-Calculation-sheet'!N88</f>
        <v>1579832121.2451801</v>
      </c>
      <c r="O107" s="2">
        <f>O8/'Output-Calculation-sheet'!O7*'Output-Calculation-sheet'!O88</f>
        <v>2712182817.423727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474640049.58879828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512522546.10584611</v>
      </c>
      <c r="Y107" s="2">
        <f>Y8/'Output-Calculation-sheet'!Y7*'Output-Calculation-sheet'!Y88</f>
        <v>0</v>
      </c>
      <c r="AA107" s="2">
        <f t="shared" si="9"/>
        <v>35420.374153605633</v>
      </c>
    </row>
    <row r="108" spans="1:27" x14ac:dyDescent="0.25">
      <c r="A108" s="2">
        <v>2032</v>
      </c>
      <c r="B108" s="2">
        <f>B9/'Output-Calculation-sheet'!B8*'Output-Calculation-sheet'!B89</f>
        <v>5613396172.3476744</v>
      </c>
      <c r="C108" s="2">
        <f>C9/'Output-Calculation-sheet'!C8*'Output-Calculation-sheet'!C89</f>
        <v>19068436572.276558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8779335957.1808376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6056978419.9970341</v>
      </c>
      <c r="N108" s="2">
        <f>N9/'Output-Calculation-sheet'!N8*'Output-Calculation-sheet'!N89</f>
        <v>2850287361.5245266</v>
      </c>
      <c r="O108" s="2">
        <f>O9/'Output-Calculation-sheet'!O8*'Output-Calculation-sheet'!O89</f>
        <v>3051572446.1550608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848205160.76948285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655988867.79179823</v>
      </c>
      <c r="Y108" s="2">
        <f>Y9/'Output-Calculation-sheet'!Y8*'Output-Calculation-sheet'!Y89</f>
        <v>0</v>
      </c>
      <c r="AA108" s="2">
        <f t="shared" si="9"/>
        <v>46924.200958042973</v>
      </c>
    </row>
    <row r="109" spans="1:27" x14ac:dyDescent="0.25">
      <c r="A109" s="2">
        <v>2033</v>
      </c>
      <c r="B109" s="2">
        <f>B10/'Output-Calculation-sheet'!B9*'Output-Calculation-sheet'!B90</f>
        <v>13750680110.348475</v>
      </c>
      <c r="C109" s="2">
        <f>C10/'Output-Calculation-sheet'!C9*'Output-Calculation-sheet'!C90</f>
        <v>20282777789.404461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10062676218.766253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6942372136.7201996</v>
      </c>
      <c r="N109" s="2">
        <f>N10/'Output-Calculation-sheet'!N9*'Output-Calculation-sheet'!N90</f>
        <v>4089627129.4696546</v>
      </c>
      <c r="O109" s="2">
        <f>O10/'Output-Calculation-sheet'!O9*'Output-Calculation-sheet'!O90</f>
        <v>3168571891.3813162</v>
      </c>
      <c r="P109" s="2">
        <f>P10/'Output-Calculation-sheet'!P9*'Output-Calculation-sheet'!P90</f>
        <v>0</v>
      </c>
      <c r="Q109" s="2">
        <f>Q10/'Output-Calculation-sheet'!Q9*'Output-Calculation-sheet'!Q90</f>
        <v>133103711.98076624</v>
      </c>
      <c r="R109" s="2">
        <f>R10/'Output-Calculation-sheet'!R9*'Output-Calculation-sheet'!R90</f>
        <v>-2.7424803940840609E-7</v>
      </c>
      <c r="S109" s="2">
        <f>S10/'Output-Calculation-sheet'!S9*'Output-Calculation-sheet'!S90</f>
        <v>1643882874.8044851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751879906.84694993</v>
      </c>
      <c r="Y109" s="2">
        <f>Y10/'Output-Calculation-sheet'!Y9*'Output-Calculation-sheet'!Y90</f>
        <v>0</v>
      </c>
      <c r="AA109" s="2">
        <f t="shared" si="9"/>
        <v>60825.571769722555</v>
      </c>
    </row>
    <row r="110" spans="1:27" x14ac:dyDescent="0.25">
      <c r="A110" s="2">
        <v>2034</v>
      </c>
      <c r="B110" s="2">
        <f>B11/'Output-Calculation-sheet'!B10*'Output-Calculation-sheet'!B91</f>
        <v>27946907413.147728</v>
      </c>
      <c r="C110" s="2">
        <f>C11/'Output-Calculation-sheet'!C10*'Output-Calculation-sheet'!C91</f>
        <v>20600954537.412205</v>
      </c>
      <c r="D110" s="2">
        <f>D11/'Output-Calculation-sheet'!D10*'Output-Calculation-sheet'!D91</f>
        <v>0</v>
      </c>
      <c r="E110" s="2">
        <f>E11/'Output-Calculation-sheet'!E10*'Output-Calculation-sheet'!E91</f>
        <v>591501928.92474627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10187494602.131721</v>
      </c>
      <c r="I110" s="2">
        <f>I11/'Output-Calculation-sheet'!I10*'Output-Calculation-sheet'!I91</f>
        <v>-9.8081099344527226E-7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475422524.98234552</v>
      </c>
      <c r="M110" s="2">
        <f>M11/'Output-Calculation-sheet'!M10*'Output-Calculation-sheet'!M91</f>
        <v>7210139658.9965582</v>
      </c>
      <c r="N110" s="2">
        <f>N11/'Output-Calculation-sheet'!N10*'Output-Calculation-sheet'!N91</f>
        <v>4989907339.4378901</v>
      </c>
      <c r="O110" s="2">
        <f>O11/'Output-Calculation-sheet'!O10*'Output-Calculation-sheet'!O91</f>
        <v>3163909289.5540891</v>
      </c>
      <c r="P110" s="2">
        <f>P11/'Output-Calculation-sheet'!P10*'Output-Calculation-sheet'!P91</f>
        <v>0</v>
      </c>
      <c r="Q110" s="2">
        <f>Q11/'Output-Calculation-sheet'!Q10*'Output-Calculation-sheet'!Q91</f>
        <v>798801412.09110689</v>
      </c>
      <c r="R110" s="2">
        <f>R11/'Output-Calculation-sheet'!R10*'Output-Calculation-sheet'!R91</f>
        <v>0</v>
      </c>
      <c r="S110" s="2">
        <f>S11/'Output-Calculation-sheet'!S10*'Output-Calculation-sheet'!S91</f>
        <v>2442772712.2504773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703867724.1308707</v>
      </c>
      <c r="Y110" s="2">
        <f>Y11/'Output-Calculation-sheet'!Y10*'Output-Calculation-sheet'!Y91</f>
        <v>31299824.429699425</v>
      </c>
      <c r="AA110" s="2">
        <f t="shared" si="9"/>
        <v>79142.978967489456</v>
      </c>
    </row>
    <row r="111" spans="1:27" x14ac:dyDescent="0.25">
      <c r="A111" s="2">
        <v>2035</v>
      </c>
      <c r="B111" s="2">
        <f>B12/'Output-Calculation-sheet'!B11*'Output-Calculation-sheet'!B92</f>
        <v>23732411941.839085</v>
      </c>
      <c r="C111" s="2">
        <f>C12/'Output-Calculation-sheet'!C11*'Output-Calculation-sheet'!C92</f>
        <v>20807395121.470291</v>
      </c>
      <c r="D111" s="2">
        <f>D12/'Output-Calculation-sheet'!D11*'Output-Calculation-sheet'!D92</f>
        <v>-6.2116829768183755E-7</v>
      </c>
      <c r="E111" s="2">
        <f>E12/'Output-Calculation-sheet'!E11*'Output-Calculation-sheet'!E92</f>
        <v>1924894059.3094625</v>
      </c>
      <c r="F111" s="2">
        <f>F12/'Output-Calculation-sheet'!F11*'Output-Calculation-sheet'!F92</f>
        <v>-1.3645995024518686E-7</v>
      </c>
      <c r="G111" s="2">
        <f>G12/'Output-Calculation-sheet'!G11*'Output-Calculation-sheet'!G92</f>
        <v>0</v>
      </c>
      <c r="H111" s="2">
        <f>H12/'Output-Calculation-sheet'!H11*'Output-Calculation-sheet'!H92</f>
        <v>8649002643.248394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936606824.9940747</v>
      </c>
      <c r="M111" s="2">
        <f>M12/'Output-Calculation-sheet'!M11*'Output-Calculation-sheet'!M92</f>
        <v>6163296023.4129257</v>
      </c>
      <c r="N111" s="2">
        <f>N12/'Output-Calculation-sheet'!N11*'Output-Calculation-sheet'!N92</f>
        <v>4339302692.3649588</v>
      </c>
      <c r="O111" s="2">
        <f>O12/'Output-Calculation-sheet'!O11*'Output-Calculation-sheet'!O92</f>
        <v>3144139009.7347326</v>
      </c>
      <c r="P111" s="2">
        <f>P12/'Output-Calculation-sheet'!P11*'Output-Calculation-sheet'!P92</f>
        <v>186459872.63646218</v>
      </c>
      <c r="Q111" s="2">
        <f>Q12/'Output-Calculation-sheet'!Q11*'Output-Calculation-sheet'!Q92</f>
        <v>824658085.14068818</v>
      </c>
      <c r="R111" s="2">
        <f>R12/'Output-Calculation-sheet'!R11*'Output-Calculation-sheet'!R92</f>
        <v>0</v>
      </c>
      <c r="S111" s="2">
        <f>S12/'Output-Calculation-sheet'!S11*'Output-Calculation-sheet'!S92</f>
        <v>2072991691.6960876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602456982.1510191</v>
      </c>
      <c r="Y111" s="2">
        <f>Y12/'Output-Calculation-sheet'!Y11*'Output-Calculation-sheet'!Y92</f>
        <v>40796709.24894952</v>
      </c>
      <c r="AA111" s="2">
        <f t="shared" si="9"/>
        <v>73424.41165724711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45328146275.454155</v>
      </c>
      <c r="C118" s="2">
        <f>C8/'Output-Calculation-sheet'!C7*'Output-Calculation-sheet'!C97</f>
        <v>0</v>
      </c>
      <c r="D118" s="2">
        <f>D8/'Output-Calculation-sheet'!D7*'Output-Calculation-sheet'!D97</f>
        <v>19599032702.148422</v>
      </c>
      <c r="E118" s="2">
        <f>E8/'Output-Calculation-sheet'!E7*'Output-Calculation-sheet'!E97</f>
        <v>15549843602.063107</v>
      </c>
      <c r="F118" s="2">
        <f>F8/'Output-Calculation-sheet'!F7*'Output-Calculation-sheet'!F97</f>
        <v>10009992327.383852</v>
      </c>
      <c r="G118" s="2">
        <f>G8/'Output-Calculation-sheet'!G7*'Output-Calculation-sheet'!G97</f>
        <v>7033295326.0443878</v>
      </c>
      <c r="H118" s="2">
        <f>H8/'Output-Calculation-sheet'!H7*'Output-Calculation-sheet'!H97</f>
        <v>0</v>
      </c>
      <c r="I118" s="2">
        <f>I8/'Output-Calculation-sheet'!I7*'Output-Calculation-sheet'!I97</f>
        <v>6407885683.3494644</v>
      </c>
      <c r="J118" s="2">
        <f>J8/'Output-Calculation-sheet'!J7*'Output-Calculation-sheet'!J97</f>
        <v>6236994575.8971672</v>
      </c>
      <c r="K118" s="2">
        <f>K8/'Output-Calculation-sheet'!K7*'Output-Calculation-sheet'!K97</f>
        <v>6177200584.1589136</v>
      </c>
      <c r="L118" s="2">
        <f>L8/'Output-Calculation-sheet'!L7*'Output-Calculation-sheet'!L97</f>
        <v>4955430629.3398447</v>
      </c>
      <c r="M118" s="2">
        <f>M8/'Output-Calculation-sheet'!M7*'Output-Calculation-sheet'!M97</f>
        <v>0</v>
      </c>
      <c r="N118" s="2">
        <f>N8/'Output-Calculation-sheet'!N7*'Output-Calculation-sheet'!N97</f>
        <v>3065844047.286139</v>
      </c>
      <c r="O118" s="2">
        <f>O8/'Output-Calculation-sheet'!O7*'Output-Calculation-sheet'!O97</f>
        <v>0</v>
      </c>
      <c r="P118" s="2">
        <f>P8/'Output-Calculation-sheet'!P7*'Output-Calculation-sheet'!P97</f>
        <v>4229204551.0106497</v>
      </c>
      <c r="Q118" s="2">
        <f>Q8/'Output-Calculation-sheet'!Q7*'Output-Calculation-sheet'!Q97</f>
        <v>4160852981.7298369</v>
      </c>
      <c r="R118" s="2">
        <f>R8/'Output-Calculation-sheet'!R7*'Output-Calculation-sheet'!R97</f>
        <v>4002931927.1973677</v>
      </c>
      <c r="S118" s="2">
        <f>S8/'Output-Calculation-sheet'!S7*'Output-Calculation-sheet'!S97</f>
        <v>2185913879.7418294</v>
      </c>
      <c r="T118" s="2">
        <f>T8/'Output-Calculation-sheet'!T7*'Output-Calculation-sheet'!T97</f>
        <v>1471443643.8522987</v>
      </c>
      <c r="U118" s="2">
        <f>U8/'Output-Calculation-sheet'!U7*'Output-Calculation-sheet'!U97</f>
        <v>1281576885.0396712</v>
      </c>
      <c r="V118" s="2">
        <f>V8/'Output-Calculation-sheet'!V7*'Output-Calculation-sheet'!V97</f>
        <v>986840220.80827701</v>
      </c>
      <c r="W118" s="2">
        <f>W8/'Output-Calculation-sheet'!W7*'Output-Calculation-sheet'!W97</f>
        <v>854384589.76477957</v>
      </c>
      <c r="X118" s="2">
        <f>X8/'Output-Calculation-sheet'!X7*'Output-Calculation-sheet'!X97</f>
        <v>0</v>
      </c>
      <c r="Y118" s="2">
        <f>Y8/'Output-Calculation-sheet'!Y7*'Output-Calculation-sheet'!Y97</f>
        <v>498528476.8131578</v>
      </c>
      <c r="AA118" s="2">
        <f t="shared" si="10"/>
        <v>144035.34290908335</v>
      </c>
    </row>
    <row r="119" spans="1:27" x14ac:dyDescent="0.25">
      <c r="A119" s="2">
        <v>2032</v>
      </c>
      <c r="B119" s="2">
        <f>B9/'Output-Calculation-sheet'!B8*'Output-Calculation-sheet'!B98</f>
        <v>54109967512.408928</v>
      </c>
      <c r="C119" s="2">
        <f>C9/'Output-Calculation-sheet'!C8*'Output-Calculation-sheet'!C98</f>
        <v>0</v>
      </c>
      <c r="D119" s="2">
        <f>D9/'Output-Calculation-sheet'!D8*'Output-Calculation-sheet'!D98</f>
        <v>25084502831.136913</v>
      </c>
      <c r="E119" s="2">
        <f>E9/'Output-Calculation-sheet'!E8*'Output-Calculation-sheet'!E98</f>
        <v>19902002829.001484</v>
      </c>
      <c r="F119" s="2">
        <f>F9/'Output-Calculation-sheet'!F8*'Output-Calculation-sheet'!F98</f>
        <v>12811637364.037498</v>
      </c>
      <c r="G119" s="2">
        <f>G9/'Output-Calculation-sheet'!G8*'Output-Calculation-sheet'!G98</f>
        <v>9001808047.3820553</v>
      </c>
      <c r="H119" s="2">
        <f>H9/'Output-Calculation-sheet'!H8*'Output-Calculation-sheet'!H98</f>
        <v>1.8899544298098255E-7</v>
      </c>
      <c r="I119" s="2">
        <f>I9/'Output-Calculation-sheet'!I8*'Output-Calculation-sheet'!I98</f>
        <v>8201356344.5959396</v>
      </c>
      <c r="J119" s="2">
        <f>J9/'Output-Calculation-sheet'!J8*'Output-Calculation-sheet'!J98</f>
        <v>7982632291.1632452</v>
      </c>
      <c r="K119" s="2">
        <f>K9/'Output-Calculation-sheet'!K8*'Output-Calculation-sheet'!K98</f>
        <v>7906104131.9767466</v>
      </c>
      <c r="L119" s="2">
        <f>L9/'Output-Calculation-sheet'!L8*'Output-Calculation-sheet'!L98</f>
        <v>6342381019.2471895</v>
      </c>
      <c r="M119" s="2">
        <f>M9/'Output-Calculation-sheet'!M8*'Output-Calculation-sheet'!M98</f>
        <v>0</v>
      </c>
      <c r="N119" s="2">
        <f>N9/'Output-Calculation-sheet'!N8*'Output-Calculation-sheet'!N98</f>
        <v>3095144962.5950394</v>
      </c>
      <c r="O119" s="2">
        <f>O9/'Output-Calculation-sheet'!O8*'Output-Calculation-sheet'!O98</f>
        <v>0</v>
      </c>
      <c r="P119" s="2">
        <f>P9/'Output-Calculation-sheet'!P8*'Output-Calculation-sheet'!P98</f>
        <v>5412858599.6389713</v>
      </c>
      <c r="Q119" s="2">
        <f>Q9/'Output-Calculation-sheet'!Q8*'Output-Calculation-sheet'!Q98</f>
        <v>5325412215.0167131</v>
      </c>
      <c r="R119" s="2">
        <f>R9/'Output-Calculation-sheet'!R8*'Output-Calculation-sheet'!R98</f>
        <v>5123291880.3864594</v>
      </c>
      <c r="S119" s="2">
        <f>S9/'Output-Calculation-sheet'!S8*'Output-Calculation-sheet'!S98</f>
        <v>2556817178.2666531</v>
      </c>
      <c r="T119" s="2">
        <f>T9/'Output-Calculation-sheet'!T8*'Output-Calculation-sheet'!T98</f>
        <v>1883277966.9502029</v>
      </c>
      <c r="U119" s="2">
        <f>U9/'Output-Calculation-sheet'!U8*'Output-Calculation-sheet'!U98</f>
        <v>1640271082.5523956</v>
      </c>
      <c r="V119" s="2">
        <f>V9/'Output-Calculation-sheet'!V8*'Output-Calculation-sheet'!V98</f>
        <v>1263041539.193892</v>
      </c>
      <c r="W119" s="2">
        <f>W9/'Output-Calculation-sheet'!W8*'Output-Calculation-sheet'!W98</f>
        <v>1093513883.2038648</v>
      </c>
      <c r="X119" s="2">
        <f>X9/'Output-Calculation-sheet'!X8*'Output-Calculation-sheet'!X98</f>
        <v>0</v>
      </c>
      <c r="Y119" s="2">
        <f>Y9/'Output-Calculation-sheet'!Y8*'Output-Calculation-sheet'!Y98</f>
        <v>638058790.04228151</v>
      </c>
      <c r="AA119" s="2">
        <f t="shared" si="10"/>
        <v>179374.08046879643</v>
      </c>
    </row>
    <row r="120" spans="1:27" x14ac:dyDescent="0.25">
      <c r="A120" s="2">
        <v>2033</v>
      </c>
      <c r="B120" s="2">
        <f>B10/'Output-Calculation-sheet'!B9*'Output-Calculation-sheet'!B99</f>
        <v>54696670580.082542</v>
      </c>
      <c r="C120" s="2">
        <f>C10/'Output-Calculation-sheet'!C9*'Output-Calculation-sheet'!C99</f>
        <v>0</v>
      </c>
      <c r="D120" s="2">
        <f>D10/'Output-Calculation-sheet'!D9*'Output-Calculation-sheet'!D99</f>
        <v>28750428206.360825</v>
      </c>
      <c r="E120" s="2">
        <f>E10/'Output-Calculation-sheet'!E9*'Output-Calculation-sheet'!E99</f>
        <v>22810544308.496155</v>
      </c>
      <c r="F120" s="2">
        <f>F10/'Output-Calculation-sheet'!F9*'Output-Calculation-sheet'!F99</f>
        <v>14683965919.83737</v>
      </c>
      <c r="G120" s="2">
        <f>G10/'Output-Calculation-sheet'!G9*'Output-Calculation-sheet'!G99</f>
        <v>10317357445.845217</v>
      </c>
      <c r="H120" s="2">
        <f>H10/'Output-Calculation-sheet'!H9*'Output-Calculation-sheet'!H99</f>
        <v>0</v>
      </c>
      <c r="I120" s="2">
        <f>I10/'Output-Calculation-sheet'!I9*'Output-Calculation-sheet'!I99</f>
        <v>9399925995.2150555</v>
      </c>
      <c r="J120" s="2">
        <f>J10/'Output-Calculation-sheet'!J9*'Output-Calculation-sheet'!J99</f>
        <v>9149236967.8361645</v>
      </c>
      <c r="K120" s="2">
        <f>K10/'Output-Calculation-sheet'!K9*'Output-Calculation-sheet'!K99</f>
        <v>9061525712.6271229</v>
      </c>
      <c r="L120" s="2">
        <f>L10/'Output-Calculation-sheet'!L9*'Output-Calculation-sheet'!L99</f>
        <v>7269274696.1094971</v>
      </c>
      <c r="M120" s="2">
        <f>M10/'Output-Calculation-sheet'!M9*'Output-Calculation-sheet'!M99</f>
        <v>0</v>
      </c>
      <c r="N120" s="2">
        <f>N10/'Output-Calculation-sheet'!N9*'Output-Calculation-sheet'!N99</f>
        <v>2724290117.9539104</v>
      </c>
      <c r="O120" s="2">
        <f>O10/'Output-Calculation-sheet'!O9*'Output-Calculation-sheet'!O99</f>
        <v>0</v>
      </c>
      <c r="P120" s="2">
        <f>P10/'Output-Calculation-sheet'!P9*'Output-Calculation-sheet'!P99</f>
        <v>6203586843.2909794</v>
      </c>
      <c r="Q120" s="2">
        <f>Q10/'Output-Calculation-sheet'!Q9*'Output-Calculation-sheet'!Q99</f>
        <v>5970520992.1920872</v>
      </c>
      <c r="R120" s="2">
        <f>R10/'Output-Calculation-sheet'!R9*'Output-Calculation-sheet'!R99</f>
        <v>5871745672.2617025</v>
      </c>
      <c r="S120" s="2">
        <f>S10/'Output-Calculation-sheet'!S9*'Output-Calculation-sheet'!S99</f>
        <v>2258495343.5357575</v>
      </c>
      <c r="T120" s="2">
        <f>T10/'Output-Calculation-sheet'!T9*'Output-Calculation-sheet'!T99</f>
        <v>2158487023.0178905</v>
      </c>
      <c r="U120" s="2">
        <f>U10/'Output-Calculation-sheet'!U9*'Output-Calculation-sheet'!U99</f>
        <v>1880393577.736136</v>
      </c>
      <c r="V120" s="2">
        <f>V10/'Output-Calculation-sheet'!V9*'Output-Calculation-sheet'!V99</f>
        <v>1447626111.7218554</v>
      </c>
      <c r="W120" s="2">
        <f>W10/'Output-Calculation-sheet'!W9*'Output-Calculation-sheet'!W99</f>
        <v>1253323387.0444047</v>
      </c>
      <c r="X120" s="2">
        <f>X10/'Output-Calculation-sheet'!X9*'Output-Calculation-sheet'!X99</f>
        <v>0</v>
      </c>
      <c r="Y120" s="2">
        <f>Y10/'Output-Calculation-sheet'!Y9*'Output-Calculation-sheet'!Y99</f>
        <v>731307624.06847894</v>
      </c>
      <c r="AA120" s="2">
        <f t="shared" si="10"/>
        <v>196638.70652523317</v>
      </c>
    </row>
    <row r="121" spans="1:27" x14ac:dyDescent="0.25">
      <c r="A121" s="2">
        <v>2034</v>
      </c>
      <c r="B121" s="2">
        <f>B11/'Output-Calculation-sheet'!B10*'Output-Calculation-sheet'!B100</f>
        <v>43134283056.27684</v>
      </c>
      <c r="C121" s="2">
        <f>C11/'Output-Calculation-sheet'!C10*'Output-Calculation-sheet'!C100</f>
        <v>0</v>
      </c>
      <c r="D121" s="2">
        <f>D11/'Output-Calculation-sheet'!D10*'Output-Calculation-sheet'!D100</f>
        <v>29858692550.280373</v>
      </c>
      <c r="E121" s="2">
        <f>E11/'Output-Calculation-sheet'!E10*'Output-Calculation-sheet'!E100</f>
        <v>23102254864.59201</v>
      </c>
      <c r="F121" s="2">
        <f>F11/'Output-Calculation-sheet'!F10*'Output-Calculation-sheet'!F100</f>
        <v>15250117615.59803</v>
      </c>
      <c r="G121" s="2">
        <f>G11/'Output-Calculation-sheet'!G10*'Output-Calculation-sheet'!G100</f>
        <v>10714487858.502834</v>
      </c>
      <c r="H121" s="2">
        <f>H11/'Output-Calculation-sheet'!H10*'Output-Calculation-sheet'!H100</f>
        <v>0</v>
      </c>
      <c r="I121" s="2">
        <f>I11/'Output-Calculation-sheet'!I10*'Output-Calculation-sheet'!I100</f>
        <v>9761930986.3124294</v>
      </c>
      <c r="J121" s="2">
        <f>J11/'Output-Calculation-sheet'!J10*'Output-Calculation-sheet'!J100</f>
        <v>9501682036.7577438</v>
      </c>
      <c r="K121" s="2">
        <f>K11/'Output-Calculation-sheet'!K10*'Output-Calculation-sheet'!K100</f>
        <v>9410831014.587616</v>
      </c>
      <c r="L121" s="2">
        <f>L11/'Output-Calculation-sheet'!L10*'Output-Calculation-sheet'!L100</f>
        <v>7073853481.5819149</v>
      </c>
      <c r="M121" s="2">
        <f>M11/'Output-Calculation-sheet'!M10*'Output-Calculation-sheet'!M100</f>
        <v>5.0539829886440213E-7</v>
      </c>
      <c r="N121" s="2">
        <f>N11/'Output-Calculation-sheet'!N10*'Output-Calculation-sheet'!N100</f>
        <v>2086823649.2425392</v>
      </c>
      <c r="O121" s="2">
        <f>O11/'Output-Calculation-sheet'!O10*'Output-Calculation-sheet'!O100</f>
        <v>0</v>
      </c>
      <c r="P121" s="2">
        <f>P11/'Output-Calculation-sheet'!P10*'Output-Calculation-sheet'!P100</f>
        <v>6442449441.5111904</v>
      </c>
      <c r="Q121" s="2">
        <f>Q11/'Output-Calculation-sheet'!Q10*'Output-Calculation-sheet'!Q100</f>
        <v>5338894793.7255716</v>
      </c>
      <c r="R121" s="2">
        <f>R11/'Output-Calculation-sheet'!R10*'Output-Calculation-sheet'!R100</f>
        <v>6097824993.7398939</v>
      </c>
      <c r="S121" s="2">
        <f>S11/'Output-Calculation-sheet'!S10*'Output-Calculation-sheet'!S100</f>
        <v>1610001222.4415936</v>
      </c>
      <c r="T121" s="2">
        <f>T11/'Output-Calculation-sheet'!T10*'Output-Calculation-sheet'!T100</f>
        <v>2241558923.108222</v>
      </c>
      <c r="U121" s="2">
        <f>U11/'Output-Calculation-sheet'!U10*'Output-Calculation-sheet'!U100</f>
        <v>1889042269.3507819</v>
      </c>
      <c r="V121" s="2">
        <f>V11/'Output-Calculation-sheet'!V10*'Output-Calculation-sheet'!V100</f>
        <v>1503854729.9525075</v>
      </c>
      <c r="W121" s="2">
        <f>W11/'Output-Calculation-sheet'!W10*'Output-Calculation-sheet'!W100</f>
        <v>1301674846.4726267</v>
      </c>
      <c r="X121" s="2">
        <f>X11/'Output-Calculation-sheet'!X10*'Output-Calculation-sheet'!X100</f>
        <v>50129372.132909246</v>
      </c>
      <c r="Y121" s="2">
        <f>Y11/'Output-Calculation-sheet'!Y10*'Output-Calculation-sheet'!Y100</f>
        <v>728184345.48985589</v>
      </c>
      <c r="AA121" s="2">
        <f t="shared" si="10"/>
        <v>187098.57205165751</v>
      </c>
    </row>
    <row r="122" spans="1:27" x14ac:dyDescent="0.25">
      <c r="A122" s="2">
        <v>2035</v>
      </c>
      <c r="B122" s="2">
        <f>B12/'Output-Calculation-sheet'!B11*'Output-Calculation-sheet'!B101</f>
        <v>35553896679.375603</v>
      </c>
      <c r="C122" s="2">
        <f>C12/'Output-Calculation-sheet'!C11*'Output-Calculation-sheet'!C101</f>
        <v>0</v>
      </c>
      <c r="D122" s="2">
        <f>D12/'Output-Calculation-sheet'!D11*'Output-Calculation-sheet'!D101</f>
        <v>24880051553.198437</v>
      </c>
      <c r="E122" s="2">
        <f>E12/'Output-Calculation-sheet'!E11*'Output-Calculation-sheet'!E101</f>
        <v>19321618239.684261</v>
      </c>
      <c r="F122" s="2">
        <f>F12/'Output-Calculation-sheet'!F11*'Output-Calculation-sheet'!F101</f>
        <v>13162917442.417864</v>
      </c>
      <c r="G122" s="2">
        <f>G12/'Output-Calculation-sheet'!G11*'Output-Calculation-sheet'!G101</f>
        <v>8918901762.2756424</v>
      </c>
      <c r="H122" s="2">
        <f>H12/'Output-Calculation-sheet'!H11*'Output-Calculation-sheet'!H101</f>
        <v>0</v>
      </c>
      <c r="I122" s="2">
        <f>I12/'Output-Calculation-sheet'!I11*'Output-Calculation-sheet'!I101</f>
        <v>8183791714.8335094</v>
      </c>
      <c r="J122" s="2">
        <f>J12/'Output-Calculation-sheet'!J11*'Output-Calculation-sheet'!J101</f>
        <v>8192726118.6460638</v>
      </c>
      <c r="K122" s="2">
        <f>K12/'Output-Calculation-sheet'!K11*'Output-Calculation-sheet'!K101</f>
        <v>8043399966.7651844</v>
      </c>
      <c r="L122" s="2">
        <f>L12/'Output-Calculation-sheet'!L11*'Output-Calculation-sheet'!L101</f>
        <v>5826920382.2330914</v>
      </c>
      <c r="M122" s="2">
        <f>M12/'Output-Calculation-sheet'!M11*'Output-Calculation-sheet'!M101</f>
        <v>0</v>
      </c>
      <c r="N122" s="2">
        <f>N12/'Output-Calculation-sheet'!N11*'Output-Calculation-sheet'!N101</f>
        <v>1696628020.2859175</v>
      </c>
      <c r="O122" s="2">
        <f>O12/'Output-Calculation-sheet'!O11*'Output-Calculation-sheet'!O101</f>
        <v>0</v>
      </c>
      <c r="P122" s="2">
        <f>P12/'Output-Calculation-sheet'!P11*'Output-Calculation-sheet'!P101</f>
        <v>5408861958.9072304</v>
      </c>
      <c r="Q122" s="2">
        <f>Q12/'Output-Calculation-sheet'!Q11*'Output-Calculation-sheet'!Q101</f>
        <v>4372786864.5053129</v>
      </c>
      <c r="R122" s="2">
        <f>R12/'Output-Calculation-sheet'!R11*'Output-Calculation-sheet'!R101</f>
        <v>5357493740.3408976</v>
      </c>
      <c r="S122" s="2">
        <f>S12/'Output-Calculation-sheet'!S11*'Output-Calculation-sheet'!S101</f>
        <v>1281501140.3782477</v>
      </c>
      <c r="T122" s="2">
        <f>T12/'Output-Calculation-sheet'!T11*'Output-Calculation-sheet'!T101</f>
        <v>1999235063.3653758</v>
      </c>
      <c r="U122" s="2">
        <f>U12/'Output-Calculation-sheet'!U11*'Output-Calculation-sheet'!U101</f>
        <v>1578979060.9791083</v>
      </c>
      <c r="V122" s="2">
        <f>V12/'Output-Calculation-sheet'!V11*'Output-Calculation-sheet'!V101</f>
        <v>1374924242.2337399</v>
      </c>
      <c r="W122" s="2">
        <f>W12/'Output-Calculation-sheet'!W11*'Output-Calculation-sheet'!W101</f>
        <v>1158749612.7732234</v>
      </c>
      <c r="X122" s="2">
        <f>X12/'Output-Calculation-sheet'!X11*'Output-Calculation-sheet'!X101</f>
        <v>40856089.595876887</v>
      </c>
      <c r="Y122" s="2">
        <f>Y12/'Output-Calculation-sheet'!Y11*'Output-Calculation-sheet'!Y101</f>
        <v>612102155.43378806</v>
      </c>
      <c r="AA122" s="2">
        <f t="shared" si="10"/>
        <v>156966.34180822838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46663084199.86869</v>
      </c>
      <c r="C129" s="2">
        <f>C8/'Output-Calculation-sheet'!C7*'Output-Calculation-sheet'!C106</f>
        <v>27350091297.407207</v>
      </c>
      <c r="D129" s="2">
        <f>D8/'Output-Calculation-sheet'!D7*'Output-Calculation-sheet'!D106</f>
        <v>19599032702.148422</v>
      </c>
      <c r="E129" s="2">
        <f>E8/'Output-Calculation-sheet'!E7*'Output-Calculation-sheet'!E106</f>
        <v>15549843602.063107</v>
      </c>
      <c r="F129" s="2">
        <f>F8/'Output-Calculation-sheet'!F7*'Output-Calculation-sheet'!F106</f>
        <v>10009992327.383852</v>
      </c>
      <c r="G129" s="2">
        <f>G8/'Output-Calculation-sheet'!G7*'Output-Calculation-sheet'!G106</f>
        <v>7033295326.0443878</v>
      </c>
      <c r="H129" s="2">
        <f>H8/'Output-Calculation-sheet'!H7*'Output-Calculation-sheet'!H106</f>
        <v>6860709604.9728327</v>
      </c>
      <c r="I129" s="2">
        <f>I8/'Output-Calculation-sheet'!I7*'Output-Calculation-sheet'!I106</f>
        <v>6407885683.3494644</v>
      </c>
      <c r="J129" s="2">
        <f>J8/'Output-Calculation-sheet'!J7*'Output-Calculation-sheet'!J106</f>
        <v>6236994575.8971672</v>
      </c>
      <c r="K129" s="2">
        <f>K8/'Output-Calculation-sheet'!K7*'Output-Calculation-sheet'!K106</f>
        <v>6177200584.1589136</v>
      </c>
      <c r="L129" s="2">
        <f>L8/'Output-Calculation-sheet'!L7*'Output-Calculation-sheet'!L106</f>
        <v>4955430629.3398447</v>
      </c>
      <c r="M129" s="2">
        <f>M8/'Output-Calculation-sheet'!M7*'Output-Calculation-sheet'!M106</f>
        <v>4733291558.1008139</v>
      </c>
      <c r="N129" s="2">
        <f>N8/'Output-Calculation-sheet'!N7*'Output-Calculation-sheet'!N106</f>
        <v>4645712894.2602406</v>
      </c>
      <c r="O129" s="2">
        <f>O8/'Output-Calculation-sheet'!O7*'Output-Calculation-sheet'!O106</f>
        <v>5958501015.5793056</v>
      </c>
      <c r="P129" s="2">
        <f>P8/'Output-Calculation-sheet'!P7*'Output-Calculation-sheet'!P106</f>
        <v>4229204551.0106497</v>
      </c>
      <c r="Q129" s="2">
        <f>Q8/'Output-Calculation-sheet'!Q7*'Output-Calculation-sheet'!Q106</f>
        <v>4160852981.7298369</v>
      </c>
      <c r="R129" s="2">
        <f>R8/'Output-Calculation-sheet'!R7*'Output-Calculation-sheet'!R106</f>
        <v>4002931927.1973677</v>
      </c>
      <c r="S129" s="2">
        <f>S8/'Output-Calculation-sheet'!S7*'Output-Calculation-sheet'!S106</f>
        <v>2660553619.7365322</v>
      </c>
      <c r="T129" s="2">
        <f>T8/'Output-Calculation-sheet'!T7*'Output-Calculation-sheet'!T106</f>
        <v>1471443643.8522987</v>
      </c>
      <c r="U129" s="2">
        <f>U8/'Output-Calculation-sheet'!U7*'Output-Calculation-sheet'!U106</f>
        <v>1281576885.0396712</v>
      </c>
      <c r="V129" s="2">
        <f>V8/'Output-Calculation-sheet'!V7*'Output-Calculation-sheet'!V106</f>
        <v>986840220.80827701</v>
      </c>
      <c r="W129" s="2">
        <f>W8/'Output-Calculation-sheet'!W7*'Output-Calculation-sheet'!W106</f>
        <v>854384589.76477957</v>
      </c>
      <c r="X129" s="2">
        <f>X8/'Output-Calculation-sheet'!X7*'Output-Calculation-sheet'!X106</f>
        <v>512630854.6679579</v>
      </c>
      <c r="Y129" s="2">
        <f>Y8/'Output-Calculation-sheet'!Y7*'Output-Calculation-sheet'!Y106</f>
        <v>498528476.8131578</v>
      </c>
      <c r="AA129" s="2">
        <f t="shared" si="11"/>
        <v>192840.01375119478</v>
      </c>
    </row>
    <row r="130" spans="1:27" x14ac:dyDescent="0.25">
      <c r="A130" s="2">
        <v>2032</v>
      </c>
      <c r="B130" s="2">
        <f>B9/'Output-Calculation-sheet'!B8*'Output-Calculation-sheet'!B107</f>
        <v>35834023434.401833</v>
      </c>
      <c r="C130" s="2">
        <f>C9/'Output-Calculation-sheet'!C8*'Output-Calculation-sheet'!C107</f>
        <v>26948152514.85611</v>
      </c>
      <c r="D130" s="2">
        <f>D9/'Output-Calculation-sheet'!D8*'Output-Calculation-sheet'!D107</f>
        <v>15050698561.304518</v>
      </c>
      <c r="E130" s="2">
        <f>E9/'Output-Calculation-sheet'!E8*'Output-Calculation-sheet'!E107</f>
        <v>11941200450.711704</v>
      </c>
      <c r="F130" s="2">
        <f>F9/'Output-Calculation-sheet'!F8*'Output-Calculation-sheet'!F107</f>
        <v>7686983202.504509</v>
      </c>
      <c r="G130" s="2">
        <f>G9/'Output-Calculation-sheet'!G8*'Output-Calculation-sheet'!G107</f>
        <v>5401085391.1516151</v>
      </c>
      <c r="H130" s="2">
        <f>H9/'Output-Calculation-sheet'!H8*'Output-Calculation-sheet'!H107</f>
        <v>5268550096.4887743</v>
      </c>
      <c r="I130" s="2">
        <f>I9/'Output-Calculation-sheet'!I8*'Output-Calculation-sheet'!I107</f>
        <v>4920813300.6223783</v>
      </c>
      <c r="J130" s="2">
        <f>J9/'Output-Calculation-sheet'!J8*'Output-Calculation-sheet'!J107</f>
        <v>4789578873.7902861</v>
      </c>
      <c r="K130" s="2">
        <f>K9/'Output-Calculation-sheet'!K8*'Output-Calculation-sheet'!K107</f>
        <v>4743662479.1860476</v>
      </c>
      <c r="L130" s="2">
        <f>L9/'Output-Calculation-sheet'!L8*'Output-Calculation-sheet'!L107</f>
        <v>3805428215.9989424</v>
      </c>
      <c r="M130" s="2">
        <f>M9/'Output-Calculation-sheet'!M8*'Output-Calculation-sheet'!M107</f>
        <v>3634841228.4812346</v>
      </c>
      <c r="N130" s="2">
        <f>N9/'Output-Calculation-sheet'!N8*'Output-Calculation-sheet'!N107</f>
        <v>3567584556.3705525</v>
      </c>
      <c r="O130" s="2">
        <f>O9/'Output-Calculation-sheet'!O8*'Output-Calculation-sheet'!O107</f>
        <v>5868312353.7664757</v>
      </c>
      <c r="P130" s="2">
        <f>P9/'Output-Calculation-sheet'!P8*'Output-Calculation-sheet'!P107</f>
        <v>3247735935.1250296</v>
      </c>
      <c r="Q130" s="2">
        <f>Q9/'Output-Calculation-sheet'!Q8*'Output-Calculation-sheet'!Q107</f>
        <v>3195248298.0261507</v>
      </c>
      <c r="R130" s="2">
        <f>R9/'Output-Calculation-sheet'!R8*'Output-Calculation-sheet'!R107</f>
        <v>3073975448.5519319</v>
      </c>
      <c r="S130" s="2">
        <f>S9/'Output-Calculation-sheet'!S8*'Output-Calculation-sheet'!S107</f>
        <v>2043121287.6526694</v>
      </c>
      <c r="T130" s="2">
        <f>T9/'Output-Calculation-sheet'!T8*'Output-Calculation-sheet'!T107</f>
        <v>1129967017.1844547</v>
      </c>
      <c r="U130" s="2">
        <f>U9/'Output-Calculation-sheet'!U8*'Output-Calculation-sheet'!U107</f>
        <v>984162340.35608613</v>
      </c>
      <c r="V130" s="2">
        <f>V9/'Output-Calculation-sheet'!V8*'Output-Calculation-sheet'!V107</f>
        <v>757824685.11409879</v>
      </c>
      <c r="W130" s="2">
        <f>W9/'Output-Calculation-sheet'!W8*'Output-Calculation-sheet'!W107</f>
        <v>656108398.73512173</v>
      </c>
      <c r="X130" s="2">
        <f>X9/'Output-Calculation-sheet'!X8*'Output-Calculation-sheet'!X107</f>
        <v>393664961.99936503</v>
      </c>
      <c r="Y130" s="2">
        <f>Y9/'Output-Calculation-sheet'!Y8*'Output-Calculation-sheet'!Y107</f>
        <v>382835313.73542446</v>
      </c>
      <c r="AA130" s="2">
        <f t="shared" si="11"/>
        <v>155325.55834611526</v>
      </c>
    </row>
    <row r="131" spans="1:27" x14ac:dyDescent="0.25">
      <c r="A131" s="2">
        <v>2033</v>
      </c>
      <c r="B131" s="2">
        <f>B10/'Output-Calculation-sheet'!B9*'Output-Calculation-sheet'!B108</f>
        <v>22817180514.439781</v>
      </c>
      <c r="C131" s="2">
        <f>C10/'Output-Calculation-sheet'!C9*'Output-Calculation-sheet'!C108</f>
        <v>23876520548.722923</v>
      </c>
      <c r="D131" s="2">
        <f>D10/'Output-Calculation-sheet'!D9*'Output-Calculation-sheet'!D108</f>
        <v>9583478565.9281445</v>
      </c>
      <c r="E131" s="2">
        <f>E10/'Output-Calculation-sheet'!E9*'Output-Calculation-sheet'!E108</f>
        <v>7603514769.4987173</v>
      </c>
      <c r="F131" s="2">
        <f>F10/'Output-Calculation-sheet'!F9*'Output-Calculation-sheet'!F108</f>
        <v>4894655306.6124573</v>
      </c>
      <c r="G131" s="2">
        <f>G10/'Output-Calculation-sheet'!G9*'Output-Calculation-sheet'!G108</f>
        <v>3439119148.6150723</v>
      </c>
      <c r="H131" s="2">
        <f>H10/'Output-Calculation-sheet'!H9*'Output-Calculation-sheet'!H108</f>
        <v>3354728712.7525506</v>
      </c>
      <c r="I131" s="2">
        <f>I10/'Output-Calculation-sheet'!I9*'Output-Calculation-sheet'!I108</f>
        <v>3133309470.7706962</v>
      </c>
      <c r="J131" s="2">
        <f>J10/'Output-Calculation-sheet'!J9*'Output-Calculation-sheet'!J108</f>
        <v>3049746453.3228841</v>
      </c>
      <c r="K131" s="2">
        <f>K10/'Output-Calculation-sheet'!K9*'Output-Calculation-sheet'!K108</f>
        <v>3020508570.8757076</v>
      </c>
      <c r="L131" s="2">
        <f>L10/'Output-Calculation-sheet'!L9*'Output-Calculation-sheet'!L108</f>
        <v>2423092195.0311289</v>
      </c>
      <c r="M131" s="2">
        <f>M10/'Output-Calculation-sheet'!M9*'Output-Calculation-sheet'!M108</f>
        <v>2314470369.694788</v>
      </c>
      <c r="N131" s="2">
        <f>N10/'Output-Calculation-sheet'!N9*'Output-Calculation-sheet'!N108</f>
        <v>2271645543.3165808</v>
      </c>
      <c r="O131" s="2">
        <f>O10/'Output-Calculation-sheet'!O9*'Output-Calculation-sheet'!O108</f>
        <v>5379852525.7135067</v>
      </c>
      <c r="P131" s="2">
        <f>P10/'Output-Calculation-sheet'!P9*'Output-Calculation-sheet'!P108</f>
        <v>2067984266.3013358</v>
      </c>
      <c r="Q131" s="2">
        <f>Q10/'Output-Calculation-sheet'!Q9*'Output-Calculation-sheet'!Q108</f>
        <v>2034561883.9053752</v>
      </c>
      <c r="R131" s="2">
        <f>R10/'Output-Calculation-sheet'!R9*'Output-Calculation-sheet'!R108</f>
        <v>1957341360.3790166</v>
      </c>
      <c r="S131" s="2">
        <f>S10/'Output-Calculation-sheet'!S9*'Output-Calculation-sheet'!S108</f>
        <v>1300949842.7819295</v>
      </c>
      <c r="T131" s="2">
        <f>T10/'Output-Calculation-sheet'!T9*'Output-Calculation-sheet'!T108</f>
        <v>719501711.05735672</v>
      </c>
      <c r="U131" s="2">
        <f>U10/'Output-Calculation-sheet'!U9*'Output-Calculation-sheet'!U108</f>
        <v>626661529.40306294</v>
      </c>
      <c r="V131" s="2">
        <f>V10/'Output-Calculation-sheet'!V9*'Output-Calculation-sheet'!V108</f>
        <v>482541910.73920709</v>
      </c>
      <c r="W131" s="2">
        <f>W10/'Output-Calculation-sheet'!W9*'Output-Calculation-sheet'!W108</f>
        <v>417774352.8074258</v>
      </c>
      <c r="X131" s="2">
        <f>X10/'Output-Calculation-sheet'!X9*'Output-Calculation-sheet'!X108</f>
        <v>250664562.72102505</v>
      </c>
      <c r="Y131" s="2">
        <f>Y10/'Output-Calculation-sheet'!Y9*'Output-Calculation-sheet'!Y108</f>
        <v>243768828.74448282</v>
      </c>
      <c r="AA131" s="2">
        <f t="shared" si="11"/>
        <v>107263.57294413513</v>
      </c>
    </row>
    <row r="132" spans="1:27" x14ac:dyDescent="0.25">
      <c r="A132" s="2">
        <v>2034</v>
      </c>
      <c r="B132" s="2">
        <f>B11/'Output-Calculation-sheet'!B10*'Output-Calculation-sheet'!B109</f>
        <v>10155740791.225868</v>
      </c>
      <c r="C132" s="2">
        <f>C11/'Output-Calculation-sheet'!C10*'Output-Calculation-sheet'!C109</f>
        <v>18777872674.419331</v>
      </c>
      <c r="D132" s="2">
        <f>D11/'Output-Calculation-sheet'!D10*'Output-Calculation-sheet'!D109</f>
        <v>4265528078.7896309</v>
      </c>
      <c r="E132" s="2">
        <f>E11/'Output-Calculation-sheet'!E10*'Output-Calculation-sheet'!E109</f>
        <v>3384263413.8377395</v>
      </c>
      <c r="F132" s="2">
        <f>F11/'Output-Calculation-sheet'!F10*'Output-Calculation-sheet'!F109</f>
        <v>2178571802.6043053</v>
      </c>
      <c r="G132" s="2">
        <f>G11/'Output-Calculation-sheet'!G10*'Output-Calculation-sheet'!G109</f>
        <v>1530724577.021338</v>
      </c>
      <c r="H132" s="2">
        <f>H11/'Output-Calculation-sheet'!H10*'Output-Calculation-sheet'!H109</f>
        <v>1813964574.5120237</v>
      </c>
      <c r="I132" s="2">
        <f>I11/'Output-Calculation-sheet'!I10*'Output-Calculation-sheet'!I109</f>
        <v>1394610473.653677</v>
      </c>
      <c r="J132" s="2">
        <f>J11/'Output-Calculation-sheet'!J10*'Output-Calculation-sheet'!J109</f>
        <v>1357417462.4798157</v>
      </c>
      <c r="K132" s="2">
        <f>K11/'Output-Calculation-sheet'!K10*'Output-Calculation-sheet'!K109</f>
        <v>1344404340.0234854</v>
      </c>
      <c r="L132" s="2">
        <f>L11/'Output-Calculation-sheet'!L10*'Output-Calculation-sheet'!L109</f>
        <v>1078498725.133199</v>
      </c>
      <c r="M132" s="2">
        <f>M11/'Output-Calculation-sheet'!M10*'Output-Calculation-sheet'!M109</f>
        <v>1030152190.4041722</v>
      </c>
      <c r="N132" s="2">
        <f>N11/'Output-Calculation-sheet'!N10*'Output-Calculation-sheet'!N109</f>
        <v>1011091517.2566924</v>
      </c>
      <c r="O132" s="2">
        <f>O11/'Output-Calculation-sheet'!O10*'Output-Calculation-sheet'!O109</f>
        <v>4456574911.4671688</v>
      </c>
      <c r="P132" s="2">
        <f>P11/'Output-Calculation-sheet'!P10*'Output-Calculation-sheet'!P109</f>
        <v>920442913.99946237</v>
      </c>
      <c r="Q132" s="2">
        <f>Q11/'Output-Calculation-sheet'!Q10*'Output-Calculation-sheet'!Q109</f>
        <v>1133584012.6177669</v>
      </c>
      <c r="R132" s="2">
        <f>R11/'Output-Calculation-sheet'!R10*'Output-Calculation-sheet'!R109</f>
        <v>871197070.10883939</v>
      </c>
      <c r="S132" s="2">
        <f>S11/'Output-Calculation-sheet'!S10*'Output-Calculation-sheet'!S109</f>
        <v>579042246.45251262</v>
      </c>
      <c r="T132" s="2">
        <f>T11/'Output-Calculation-sheet'!T10*'Output-Calculation-sheet'!T109</f>
        <v>320244539.11920923</v>
      </c>
      <c r="U132" s="2">
        <f>U11/'Output-Calculation-sheet'!U10*'Output-Calculation-sheet'!U109</f>
        <v>352237225.02071881</v>
      </c>
      <c r="V132" s="2">
        <f>V11/'Output-Calculation-sheet'!V10*'Output-Calculation-sheet'!V109</f>
        <v>214775566.3706269</v>
      </c>
      <c r="W132" s="2">
        <f>W11/'Output-Calculation-sheet'!W10*'Output-Calculation-sheet'!W109</f>
        <v>185948041.49606356</v>
      </c>
      <c r="X132" s="2">
        <f>X11/'Output-Calculation-sheet'!X10*'Output-Calculation-sheet'!X109</f>
        <v>147650762.25623283</v>
      </c>
      <c r="Y132" s="2">
        <f>Y11/'Output-Calculation-sheet'!Y10*'Output-Calculation-sheet'!Y109</f>
        <v>108499583.45303299</v>
      </c>
      <c r="AA132" s="2">
        <f t="shared" si="11"/>
        <v>58613.037493722928</v>
      </c>
    </row>
    <row r="133" spans="1:27" x14ac:dyDescent="0.25">
      <c r="A133" s="2">
        <v>2035</v>
      </c>
      <c r="B133" s="2">
        <f>B12/'Output-Calculation-sheet'!B11*'Output-Calculation-sheet'!B110</f>
        <v>8947010311.6255188</v>
      </c>
      <c r="C133" s="2">
        <f>C12/'Output-Calculation-sheet'!C11*'Output-Calculation-sheet'!C110</f>
        <v>11533816190.376297</v>
      </c>
      <c r="D133" s="2">
        <f>D12/'Output-Calculation-sheet'!D11*'Output-Calculation-sheet'!D110</f>
        <v>3402211086.2416692</v>
      </c>
      <c r="E133" s="2">
        <f>E12/'Output-Calculation-sheet'!E11*'Output-Calculation-sheet'!E110</f>
        <v>1679268413.1295671</v>
      </c>
      <c r="F133" s="2">
        <f>F12/'Output-Calculation-sheet'!F11*'Output-Calculation-sheet'!F110</f>
        <v>1375410897.5295298</v>
      </c>
      <c r="G133" s="2">
        <f>G12/'Output-Calculation-sheet'!G11*'Output-Calculation-sheet'!G110</f>
        <v>1298048999.8683188</v>
      </c>
      <c r="H133" s="2">
        <f>H12/'Output-Calculation-sheet'!H11*'Output-Calculation-sheet'!H110</f>
        <v>1416348867.2258754</v>
      </c>
      <c r="I133" s="2">
        <f>I12/'Output-Calculation-sheet'!I11*'Output-Calculation-sheet'!I110</f>
        <v>1114097783.045203</v>
      </c>
      <c r="J133" s="2">
        <f>J12/'Output-Calculation-sheet'!J11*'Output-Calculation-sheet'!J110</f>
        <v>810651020.01151025</v>
      </c>
      <c r="K133" s="2">
        <f>K12/'Output-Calculation-sheet'!K11*'Output-Calculation-sheet'!K110</f>
        <v>894225580.97625244</v>
      </c>
      <c r="L133" s="2">
        <f>L12/'Output-Calculation-sheet'!L11*'Output-Calculation-sheet'!L110</f>
        <v>391171264.18779635</v>
      </c>
      <c r="M133" s="2">
        <f>M12/'Output-Calculation-sheet'!M11*'Output-Calculation-sheet'!M110</f>
        <v>779068034.90908062</v>
      </c>
      <c r="N133" s="2">
        <f>N12/'Output-Calculation-sheet'!N11*'Output-Calculation-sheet'!N110</f>
        <v>708196364.16783762</v>
      </c>
      <c r="O133" s="2">
        <f>O12/'Output-Calculation-sheet'!O11*'Output-Calculation-sheet'!O110</f>
        <v>3126020552.9606957</v>
      </c>
      <c r="P133" s="2">
        <f>P12/'Output-Calculation-sheet'!P11*'Output-Calculation-sheet'!P110</f>
        <v>598838326.64612794</v>
      </c>
      <c r="Q133" s="2">
        <f>Q12/'Output-Calculation-sheet'!Q11*'Output-Calculation-sheet'!Q110</f>
        <v>860650073.81616199</v>
      </c>
      <c r="R133" s="2">
        <f>R12/'Output-Calculation-sheet'!R11*'Output-Calculation-sheet'!R110</f>
        <v>450142731.49984699</v>
      </c>
      <c r="S133" s="2">
        <f>S12/'Output-Calculation-sheet'!S11*'Output-Calculation-sheet'!S110</f>
        <v>523547465.00801033</v>
      </c>
      <c r="T133" s="2">
        <f>T12/'Output-Calculation-sheet'!T11*'Output-Calculation-sheet'!T110</f>
        <v>125338577.33068994</v>
      </c>
      <c r="U133" s="2">
        <f>U12/'Output-Calculation-sheet'!U11*'Output-Calculation-sheet'!U110</f>
        <v>290079002.16159397</v>
      </c>
      <c r="V133" s="2">
        <f>V12/'Output-Calculation-sheet'!V11*'Output-Calculation-sheet'!V110</f>
        <v>43377368.528353013</v>
      </c>
      <c r="W133" s="2">
        <f>W12/'Output-Calculation-sheet'!W11*'Output-Calculation-sheet'!W110</f>
        <v>86896508.993946001</v>
      </c>
      <c r="X133" s="2">
        <f>X12/'Output-Calculation-sheet'!X11*'Output-Calculation-sheet'!X110</f>
        <v>120852625.45759329</v>
      </c>
      <c r="Y133" s="2">
        <f>Y12/'Output-Calculation-sheet'!Y11*'Output-Calculation-sheet'!Y110</f>
        <v>85335401.18537426</v>
      </c>
      <c r="AA133" s="2">
        <f t="shared" si="11"/>
        <v>40660.603446882844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1057.8798297091118</v>
      </c>
      <c r="C19" s="2">
        <f>C8/'Output-Calculation-sheet'!C7*'Output-Calculation-sheet'!C25</f>
        <v>12105.519438550144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4746.2260514744557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3297.2227807205468</v>
      </c>
      <c r="N19" s="2">
        <f>N8/'Output-Calculation-sheet'!N7*'Output-Calculation-sheet'!N25</f>
        <v>1129.0970656783545</v>
      </c>
      <c r="O19" s="2">
        <f>O8/'Output-Calculation-sheet'!O7*'Output-Calculation-sheet'!O25</f>
        <v>1861.0460918103577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402.87965715924202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368.81822042096974</v>
      </c>
      <c r="Y19" s="2">
        <f>Y8/'Output-Calculation-sheet'!Y7*'Output-Calculation-sheet'!Y25</f>
        <v>0</v>
      </c>
      <c r="AA19" s="2">
        <f t="shared" si="0"/>
        <v>24.968689135523181</v>
      </c>
    </row>
    <row r="20" spans="1:27" x14ac:dyDescent="0.25">
      <c r="A20" s="2">
        <v>2032</v>
      </c>
      <c r="B20" s="2">
        <f>B9/'Output-Calculation-sheet'!B8*'Output-Calculation-sheet'!B26</f>
        <v>5899.5817009296634</v>
      </c>
      <c r="C20" s="2">
        <f>C9/'Output-Calculation-sheet'!C8*'Output-Calculation-sheet'!C26</f>
        <v>13952.206310749034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6410.0110616619004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4459.8849844744254</v>
      </c>
      <c r="N20" s="2">
        <f>N9/'Output-Calculation-sheet'!N8*'Output-Calculation-sheet'!N26</f>
        <v>2012.6660994006238</v>
      </c>
      <c r="O20" s="2">
        <f>O9/'Output-Calculation-sheet'!O8*'Output-Calculation-sheet'!O26</f>
        <v>2210.5289413567502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727.72070947134785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498.95159201627115</v>
      </c>
      <c r="Y20" s="2">
        <f>Y9/'Output-Calculation-sheet'!Y8*'Output-Calculation-sheet'!Y26</f>
        <v>0</v>
      </c>
      <c r="AA20" s="2">
        <f t="shared" si="0"/>
        <v>36.171551400060018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16198.964780396938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8071.937041977787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5606.0391167787766</v>
      </c>
      <c r="N21" s="2">
        <f>N10/'Output-Calculation-sheet'!N9*'Output-Calculation-sheet'!N27</f>
        <v>3066.4355020241073</v>
      </c>
      <c r="O21" s="2">
        <f>O10/'Output-Calculation-sheet'!O9*'Output-Calculation-sheet'!O27</f>
        <v>2486.7400468018332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1334.9938823288926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659.26990534110507</v>
      </c>
      <c r="Y21" s="2">
        <f>Y10/'Output-Calculation-sheet'!Y9*'Output-Calculation-sheet'!Y27</f>
        <v>0</v>
      </c>
      <c r="AA21" s="2">
        <f t="shared" si="0"/>
        <v>51.595086529962721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19036.438164811847</v>
      </c>
      <c r="D22" s="2">
        <f>D11/'Output-Calculation-sheet'!D10*'Output-Calculation-sheet'!D28</f>
        <v>0</v>
      </c>
      <c r="E22" s="2">
        <f>E11/'Output-Calculation-sheet'!E10*'Output-Calculation-sheet'!E28</f>
        <v>1406.5459161747578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10026.749566625851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824.64417276545123</v>
      </c>
      <c r="M22" s="2">
        <f>M11/'Output-Calculation-sheet'!M10*'Output-Calculation-sheet'!M28</f>
        <v>7495.9630944776036</v>
      </c>
      <c r="N22" s="2">
        <f>N11/'Output-Calculation-sheet'!N10*'Output-Calculation-sheet'!N28</f>
        <v>4313.9685158117018</v>
      </c>
      <c r="O22" s="2">
        <f>O11/'Output-Calculation-sheet'!O10*'Output-Calculation-sheet'!O28</f>
        <v>2866.2974937729045</v>
      </c>
      <c r="P22" s="2">
        <f>P11/'Output-Calculation-sheet'!P10*'Output-Calculation-sheet'!P28</f>
        <v>0</v>
      </c>
      <c r="Q22" s="2">
        <f>Q11/'Output-Calculation-sheet'!Q10*'Output-Calculation-sheet'!Q28</f>
        <v>1245.9730622803397</v>
      </c>
      <c r="R22" s="2">
        <f>R11/'Output-Calculation-sheet'!R10*'Output-Calculation-sheet'!R28</f>
        <v>0</v>
      </c>
      <c r="S22" s="2">
        <f>S11/'Output-Calculation-sheet'!S10*'Output-Calculation-sheet'!S28</f>
        <v>2187.7949719560452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721.9439802257217</v>
      </c>
      <c r="Y22" s="2">
        <f>Y11/'Output-Calculation-sheet'!Y10*'Output-Calculation-sheet'!Y28</f>
        <v>75.334858908909254</v>
      </c>
      <c r="AA22" s="2">
        <f t="shared" si="0"/>
        <v>77.283234118130039</v>
      </c>
    </row>
    <row r="23" spans="1:27" x14ac:dyDescent="0.25">
      <c r="A23" s="2">
        <v>2035</v>
      </c>
      <c r="B23" s="2">
        <f>B12/'Output-Calculation-sheet'!B11*'Output-Calculation-sheet'!B29</f>
        <v>27752.700951358449</v>
      </c>
      <c r="C23" s="2">
        <f>C12/'Output-Calculation-sheet'!C11*'Output-Calculation-sheet'!C29</f>
        <v>23579.788456905349</v>
      </c>
      <c r="D23" s="2">
        <f>D12/'Output-Calculation-sheet'!D11*'Output-Calculation-sheet'!D29</f>
        <v>0</v>
      </c>
      <c r="E23" s="2">
        <f>E12/'Output-Calculation-sheet'!E11*'Output-Calculation-sheet'!E29</f>
        <v>4668.3866199210015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10235.143852043482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1689.3615047719945</v>
      </c>
      <c r="M23" s="2">
        <f>M12/'Output-Calculation-sheet'!M11*'Output-Calculation-sheet'!M29</f>
        <v>7758.6203749331289</v>
      </c>
      <c r="N23" s="2">
        <f>N12/'Output-Calculation-sheet'!N11*'Output-Calculation-sheet'!N29</f>
        <v>4568.8331020872256</v>
      </c>
      <c r="O23" s="2">
        <f>O12/'Output-Calculation-sheet'!O11*'Output-Calculation-sheet'!O29</f>
        <v>3532.9179663005166</v>
      </c>
      <c r="P23" s="2">
        <f>P12/'Output-Calculation-sheet'!P11*'Output-Calculation-sheet'!P29</f>
        <v>539.17868827764653</v>
      </c>
      <c r="Q23" s="2">
        <f>Q12/'Output-Calculation-sheet'!Q11*'Output-Calculation-sheet'!Q29</f>
        <v>1441.9160406689916</v>
      </c>
      <c r="R23" s="2">
        <f>R12/'Output-Calculation-sheet'!R11*'Output-Calculation-sheet'!R29</f>
        <v>0</v>
      </c>
      <c r="S23" s="2">
        <f>S12/'Output-Calculation-sheet'!S11*'Output-Calculation-sheet'!S29</f>
        <v>2196.7343582540939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727.30858611422752</v>
      </c>
      <c r="Y23" s="2">
        <f>Y12/'Output-Calculation-sheet'!Y11*'Output-Calculation-sheet'!Y29</f>
        <v>102.65282989001591</v>
      </c>
      <c r="AA23" s="2">
        <f t="shared" si="0"/>
        <v>88.793543331526152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18438.501783421572</v>
      </c>
      <c r="C30" s="2">
        <f>C8/'Output-Calculation-sheet'!C7*'Output-Calculation-sheet'!C16</f>
        <v>0</v>
      </c>
      <c r="D30" s="2">
        <f>D8/'Output-Calculation-sheet'!D7*'Output-Calculation-sheet'!D16</f>
        <v>3104.7999496947646</v>
      </c>
      <c r="E30" s="2">
        <f>E8/'Output-Calculation-sheet'!E7*'Output-Calculation-sheet'!E16</f>
        <v>3340.5893313249344</v>
      </c>
      <c r="F30" s="2">
        <f>F8/'Output-Calculation-sheet'!F7*'Output-Calculation-sheet'!F16</f>
        <v>1685.3450938385145</v>
      </c>
      <c r="G30" s="2">
        <f>G8/'Output-Calculation-sheet'!G7*'Output-Calculation-sheet'!G16</f>
        <v>1103.7008653048133</v>
      </c>
      <c r="H30" s="2">
        <f>H8/'Output-Calculation-sheet'!H7*'Output-Calculation-sheet'!H16</f>
        <v>0</v>
      </c>
      <c r="I30" s="2">
        <f>I8/'Output-Calculation-sheet'!I7*'Output-Calculation-sheet'!I16</f>
        <v>1075.9430850973195</v>
      </c>
      <c r="J30" s="2">
        <f>J8/'Output-Calculation-sheet'!J7*'Output-Calculation-sheet'!J16</f>
        <v>957.79623217221615</v>
      </c>
      <c r="K30" s="2">
        <f>K8/'Output-Calculation-sheet'!K7*'Output-Calculation-sheet'!K16</f>
        <v>1278.8410429381415</v>
      </c>
      <c r="L30" s="2">
        <f>L8/'Output-Calculation-sheet'!L7*'Output-Calculation-sheet'!L16</f>
        <v>1080.2049133776807</v>
      </c>
      <c r="M30" s="2">
        <f>M8/'Output-Calculation-sheet'!M7*'Output-Calculation-sheet'!M16</f>
        <v>0</v>
      </c>
      <c r="N30" s="2">
        <f>N8/'Output-Calculation-sheet'!N7*'Output-Calculation-sheet'!N16</f>
        <v>1534.3400735154141</v>
      </c>
      <c r="O30" s="2">
        <f>O8/'Output-Calculation-sheet'!O7*'Output-Calculation-sheet'!O16</f>
        <v>0</v>
      </c>
      <c r="P30" s="2">
        <f>P8/'Output-Calculation-sheet'!P7*'Output-Calculation-sheet'!P16</f>
        <v>1379.0145123573443</v>
      </c>
      <c r="Q30" s="2">
        <f>Q8/'Output-Calculation-sheet'!Q7*'Output-Calculation-sheet'!Q16</f>
        <v>1516.4605304879235</v>
      </c>
      <c r="R30" s="2">
        <f>R8/'Output-Calculation-sheet'!R7*'Output-Calculation-sheet'!R16</f>
        <v>962.20079771458518</v>
      </c>
      <c r="S30" s="2">
        <f>S8/'Output-Calculation-sheet'!S7*'Output-Calculation-sheet'!S16</f>
        <v>967.69185383947774</v>
      </c>
      <c r="T30" s="2">
        <f>T8/'Output-Calculation-sheet'!T7*'Output-Calculation-sheet'!T16</f>
        <v>288.83884856805605</v>
      </c>
      <c r="U30" s="2">
        <f>U8/'Output-Calculation-sheet'!U7*'Output-Calculation-sheet'!U16</f>
        <v>288.32255645053118</v>
      </c>
      <c r="V30" s="2">
        <f>V8/'Output-Calculation-sheet'!V7*'Output-Calculation-sheet'!V16</f>
        <v>224.39596511420564</v>
      </c>
      <c r="W30" s="2">
        <f>W8/'Output-Calculation-sheet'!W7*'Output-Calculation-sheet'!W16</f>
        <v>136.10746521141331</v>
      </c>
      <c r="X30" s="2">
        <f>X8/'Output-Calculation-sheet'!X7*'Output-Calculation-sheet'!X16</f>
        <v>0</v>
      </c>
      <c r="Y30" s="2">
        <f>Y8/'Output-Calculation-sheet'!Y7*'Output-Calculation-sheet'!Y16</f>
        <v>115.19949560482591</v>
      </c>
      <c r="AA30" s="2">
        <f t="shared" si="1"/>
        <v>39.478294396033732</v>
      </c>
    </row>
    <row r="31" spans="1:27" x14ac:dyDescent="0.25">
      <c r="A31" s="2">
        <v>2032</v>
      </c>
      <c r="B31" s="2">
        <f>B9/'Output-Calculation-sheet'!B8*'Output-Calculation-sheet'!B17</f>
        <v>24980.778069735275</v>
      </c>
      <c r="C31" s="2">
        <f>C9/'Output-Calculation-sheet'!C8*'Output-Calculation-sheet'!C17</f>
        <v>0</v>
      </c>
      <c r="D31" s="2">
        <f>D9/'Output-Calculation-sheet'!D8*'Output-Calculation-sheet'!D17</f>
        <v>4189.6044709054777</v>
      </c>
      <c r="E31" s="2">
        <f>E9/'Output-Calculation-sheet'!E8*'Output-Calculation-sheet'!E17</f>
        <v>4924.3076373771637</v>
      </c>
      <c r="F31" s="2">
        <f>F9/'Output-Calculation-sheet'!F8*'Output-Calculation-sheet'!F17</f>
        <v>2274.2532344033225</v>
      </c>
      <c r="G31" s="2">
        <f>G9/'Output-Calculation-sheet'!G8*'Output-Calculation-sheet'!G17</f>
        <v>1489.3519532029698</v>
      </c>
      <c r="H31" s="2">
        <f>H9/'Output-Calculation-sheet'!H8*'Output-Calculation-sheet'!H17</f>
        <v>0</v>
      </c>
      <c r="I31" s="2">
        <f>I9/'Output-Calculation-sheet'!I8*'Output-Calculation-sheet'!I17</f>
        <v>1451.9019523609059</v>
      </c>
      <c r="J31" s="2">
        <f>J9/'Output-Calculation-sheet'!J8*'Output-Calculation-sheet'!J17</f>
        <v>1292.4725913602515</v>
      </c>
      <c r="K31" s="2">
        <f>K9/'Output-Calculation-sheet'!K8*'Output-Calculation-sheet'!K17</f>
        <v>1840.1377999503557</v>
      </c>
      <c r="L31" s="2">
        <f>L9/'Output-Calculation-sheet'!L8*'Output-Calculation-sheet'!L17</f>
        <v>1569.3140553112789</v>
      </c>
      <c r="M31" s="2">
        <f>M9/'Output-Calculation-sheet'!M8*'Output-Calculation-sheet'!M17</f>
        <v>0</v>
      </c>
      <c r="N31" s="2">
        <f>N9/'Output-Calculation-sheet'!N8*'Output-Calculation-sheet'!N17</f>
        <v>1706.0048812192906</v>
      </c>
      <c r="O31" s="2">
        <f>O9/'Output-Calculation-sheet'!O8*'Output-Calculation-sheet'!O17</f>
        <v>0</v>
      </c>
      <c r="P31" s="2">
        <f>P9/'Output-Calculation-sheet'!P8*'Output-Calculation-sheet'!P17</f>
        <v>2117.4168484298302</v>
      </c>
      <c r="Q31" s="2">
        <f>Q9/'Output-Calculation-sheet'!Q8*'Output-Calculation-sheet'!Q17</f>
        <v>2257.3609022271744</v>
      </c>
      <c r="R31" s="2">
        <f>R9/'Output-Calculation-sheet'!R8*'Output-Calculation-sheet'!R17</f>
        <v>1476.8848023775527</v>
      </c>
      <c r="S31" s="2">
        <f>S9/'Output-Calculation-sheet'!S8*'Output-Calculation-sheet'!S17</f>
        <v>1275.3143297524832</v>
      </c>
      <c r="T31" s="2">
        <f>T9/'Output-Calculation-sheet'!T8*'Output-Calculation-sheet'!T17</f>
        <v>400.76348135339271</v>
      </c>
      <c r="U31" s="2">
        <f>U9/'Output-Calculation-sheet'!U8*'Output-Calculation-sheet'!U17</f>
        <v>460.60500409877477</v>
      </c>
      <c r="V31" s="2">
        <f>V9/'Output-Calculation-sheet'!V8*'Output-Calculation-sheet'!V17</f>
        <v>329.90950922812431</v>
      </c>
      <c r="W31" s="2">
        <f>W9/'Output-Calculation-sheet'!W8*'Output-Calculation-sheet'!W17</f>
        <v>183.6684077637706</v>
      </c>
      <c r="X31" s="2">
        <f>X9/'Output-Calculation-sheet'!X8*'Output-Calculation-sheet'!X17</f>
        <v>0</v>
      </c>
      <c r="Y31" s="2">
        <f>Y9/'Output-Calculation-sheet'!Y8*'Output-Calculation-sheet'!Y17</f>
        <v>177.46347412966657</v>
      </c>
      <c r="AA31" s="2">
        <f t="shared" si="1"/>
        <v>54.397513405187063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1725.7761147107415</v>
      </c>
      <c r="O32" s="2">
        <f>O10/'Output-Calculation-sheet'!O9*'Output-Calculation-sheet'!O18</f>
        <v>0</v>
      </c>
      <c r="P32" s="2">
        <f>P10/'Output-Calculation-sheet'!P9*'Output-Calculation-sheet'!P18</f>
        <v>2777.7086920155384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1994.3012824138809</v>
      </c>
      <c r="S32" s="2">
        <f>S10/'Output-Calculation-sheet'!S9*'Output-Calculation-sheet'!S18</f>
        <v>1305.2645580430251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643.79209530090793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68.028332853466679</v>
      </c>
    </row>
    <row r="33" spans="1:27" x14ac:dyDescent="0.25">
      <c r="A33" s="2">
        <v>2034</v>
      </c>
      <c r="B33" s="2">
        <f>B11/'Output-Calculation-sheet'!B10*'Output-Calculation-sheet'!B19</f>
        <v>27315.644794684093</v>
      </c>
      <c r="C33" s="2">
        <f>C11/'Output-Calculation-sheet'!C10*'Output-Calculation-sheet'!C19</f>
        <v>0</v>
      </c>
      <c r="D33" s="2">
        <f>D11/'Output-Calculation-sheet'!D10*'Output-Calculation-sheet'!D19</f>
        <v>8161.9245135150504</v>
      </c>
      <c r="E33" s="2">
        <f>E11/'Output-Calculation-sheet'!E10*'Output-Calculation-sheet'!E19</f>
        <v>10078.876779316752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2773.6598032301913</v>
      </c>
      <c r="H33" s="2">
        <f>H11/'Output-Calculation-sheet'!H10*'Output-Calculation-sheet'!H19</f>
        <v>0</v>
      </c>
      <c r="I33" s="2">
        <f>I11/'Output-Calculation-sheet'!I10*'Output-Calculation-sheet'!I19</f>
        <v>3030.6606175248708</v>
      </c>
      <c r="J33" s="2">
        <f>J11/'Output-Calculation-sheet'!J10*'Output-Calculation-sheet'!J19</f>
        <v>2559.4002049047922</v>
      </c>
      <c r="K33" s="2">
        <f>K11/'Output-Calculation-sheet'!K10*'Output-Calculation-sheet'!K19</f>
        <v>3550.9569718407479</v>
      </c>
      <c r="L33" s="2">
        <f>L11/'Output-Calculation-sheet'!L10*'Output-Calculation-sheet'!L19</f>
        <v>2890.7642004575987</v>
      </c>
      <c r="M33" s="2">
        <f>M11/'Output-Calculation-sheet'!M10*'Output-Calculation-sheet'!M19</f>
        <v>0</v>
      </c>
      <c r="N33" s="2">
        <f>N11/'Output-Calculation-sheet'!N10*'Output-Calculation-sheet'!N19</f>
        <v>1632.8661246384463</v>
      </c>
      <c r="O33" s="2">
        <f>O11/'Output-Calculation-sheet'!O10*'Output-Calculation-sheet'!O19</f>
        <v>0</v>
      </c>
      <c r="P33" s="2">
        <f>P11/'Output-Calculation-sheet'!P10*'Output-Calculation-sheet'!P19</f>
        <v>3595.4794873783362</v>
      </c>
      <c r="Q33" s="2">
        <f>Q11/'Output-Calculation-sheet'!Q10*'Output-Calculation-sheet'!Q19</f>
        <v>2928.9092161474027</v>
      </c>
      <c r="R33" s="2">
        <f>R11/'Output-Calculation-sheet'!R10*'Output-Calculation-sheet'!R19</f>
        <v>2565.0963810899457</v>
      </c>
      <c r="S33" s="2">
        <f>S11/'Output-Calculation-sheet'!S10*'Output-Calculation-sheet'!S19</f>
        <v>1198.9703890838193</v>
      </c>
      <c r="T33" s="2">
        <f>T11/'Output-Calculation-sheet'!T10*'Output-Calculation-sheet'!T19</f>
        <v>752.72210045491477</v>
      </c>
      <c r="U33" s="2">
        <f>U11/'Output-Calculation-sheet'!U10*'Output-Calculation-sheet'!U19</f>
        <v>806.52558265040511</v>
      </c>
      <c r="V33" s="2">
        <f>V11/'Output-Calculation-sheet'!V10*'Output-Calculation-sheet'!V19</f>
        <v>590.25371908481759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95.082027235501513</v>
      </c>
      <c r="Y33" s="2">
        <f>Y11/'Output-Calculation-sheet'!Y10*'Output-Calculation-sheet'!Y19</f>
        <v>331.26726280682448</v>
      </c>
      <c r="AA33" s="2">
        <f t="shared" si="1"/>
        <v>79.858074687828164</v>
      </c>
    </row>
    <row r="34" spans="1:27" x14ac:dyDescent="0.25">
      <c r="A34" s="2">
        <v>2035</v>
      </c>
      <c r="B34" s="2">
        <f>B12/'Output-Calculation-sheet'!B11*'Output-Calculation-sheet'!B20</f>
        <v>25385.204313069691</v>
      </c>
      <c r="C34" s="2">
        <f>C12/'Output-Calculation-sheet'!C11*'Output-Calculation-sheet'!C20</f>
        <v>0</v>
      </c>
      <c r="D34" s="2">
        <f>D12/'Output-Calculation-sheet'!D11*'Output-Calculation-sheet'!D20</f>
        <v>8170.39804233015</v>
      </c>
      <c r="E34" s="2">
        <f>E12/'Output-Calculation-sheet'!E11*'Output-Calculation-sheet'!E20</f>
        <v>9078.455941912518</v>
      </c>
      <c r="F34" s="2">
        <f>F12/'Output-Calculation-sheet'!F11*'Output-Calculation-sheet'!F20</f>
        <v>5077.9372621696584</v>
      </c>
      <c r="G34" s="2">
        <f>G12/'Output-Calculation-sheet'!G11*'Output-Calculation-sheet'!G20</f>
        <v>2741.0080192013156</v>
      </c>
      <c r="H34" s="2">
        <f>H12/'Output-Calculation-sheet'!H11*'Output-Calculation-sheet'!H20</f>
        <v>0</v>
      </c>
      <c r="I34" s="2">
        <f>I12/'Output-Calculation-sheet'!I11*'Output-Calculation-sheet'!I20</f>
        <v>3047.3520485781705</v>
      </c>
      <c r="J34" s="2">
        <f>J12/'Output-Calculation-sheet'!J11*'Output-Calculation-sheet'!J20</f>
        <v>2824.5950964029316</v>
      </c>
      <c r="K34" s="2">
        <f>K12/'Output-Calculation-sheet'!K11*'Output-Calculation-sheet'!K20</f>
        <v>3756.4268547939796</v>
      </c>
      <c r="L34" s="2">
        <f>L12/'Output-Calculation-sheet'!L11*'Output-Calculation-sheet'!L20</f>
        <v>2997.7861136500751</v>
      </c>
      <c r="M34" s="2">
        <f>M12/'Output-Calculation-sheet'!M11*'Output-Calculation-sheet'!M20</f>
        <v>0</v>
      </c>
      <c r="N34" s="2">
        <f>N12/'Output-Calculation-sheet'!N11*'Output-Calculation-sheet'!N20</f>
        <v>1607.5882991635053</v>
      </c>
      <c r="O34" s="2">
        <f>O12/'Output-Calculation-sheet'!O11*'Output-Calculation-sheet'!O20</f>
        <v>0</v>
      </c>
      <c r="P34" s="2">
        <f>P12/'Output-Calculation-sheet'!P11*'Output-Calculation-sheet'!P20</f>
        <v>3424.0348943394415</v>
      </c>
      <c r="Q34" s="2">
        <f>Q12/'Output-Calculation-sheet'!Q11*'Output-Calculation-sheet'!Q20</f>
        <v>2855.6131729508497</v>
      </c>
      <c r="R34" s="2">
        <f>R12/'Output-Calculation-sheet'!R11*'Output-Calculation-sheet'!R20</f>
        <v>2876.5965391104137</v>
      </c>
      <c r="S34" s="2">
        <f>S12/'Output-Calculation-sheet'!S11*'Output-Calculation-sheet'!S20</f>
        <v>1098.8504930678969</v>
      </c>
      <c r="T34" s="2">
        <f>T12/'Output-Calculation-sheet'!T11*'Output-Calculation-sheet'!T20</f>
        <v>872.50197142910383</v>
      </c>
      <c r="U34" s="2">
        <f>U12/'Output-Calculation-sheet'!U11*'Output-Calculation-sheet'!U20</f>
        <v>803.09598138319188</v>
      </c>
      <c r="V34" s="2">
        <f>V12/'Output-Calculation-sheet'!V11*'Output-Calculation-sheet'!V20</f>
        <v>790.70649596274711</v>
      </c>
      <c r="W34" s="2">
        <f>W12/'Output-Calculation-sheet'!W11*'Output-Calculation-sheet'!W20</f>
        <v>429.02058292440501</v>
      </c>
      <c r="X34" s="2">
        <f>X12/'Output-Calculation-sheet'!X11*'Output-Calculation-sheet'!X20</f>
        <v>90.577721172086044</v>
      </c>
      <c r="Y34" s="2">
        <f>Y12/'Output-Calculation-sheet'!Y11*'Output-Calculation-sheet'!Y20</f>
        <v>311.38002362365069</v>
      </c>
      <c r="AA34" s="2">
        <f t="shared" si="1"/>
        <v>78.239129867235761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1.0050683621335521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0.19525774413413044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1.2003261062676827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1.0850045154818002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0.21078718826508089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1.2957917037468811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1.1341722770665212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0.22033916161620473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1.3545114386827259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1.1565765369057914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0.35603027858096992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0.22469170657734991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0.21095918536774849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6.7308870001571153E-2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2.0424418901004127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1.154244050396418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0.22423856719777902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9.6746549956712631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12078.453123885671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6730.6187072749908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4593.9749098456314</v>
      </c>
      <c r="N52" s="2">
        <f>N8/'Output-Calculation-sheet'!N7*'Output-Calculation-sheet'!N43</f>
        <v>146.8338268352949</v>
      </c>
      <c r="O52" s="2">
        <f>O8/'Output-Calculation-sheet'!O7*'Output-Calculation-sheet'!O43</f>
        <v>565.21978565143024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592.06275489871211</v>
      </c>
      <c r="Y52" s="2">
        <f>Y8/'Output-Calculation-sheet'!Y7*'Output-Calculation-sheet'!Y43</f>
        <v>0</v>
      </c>
      <c r="AA52" s="2">
        <f t="shared" si="3"/>
        <v>24.707163108391729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16370.243566918387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12861.859790249715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8789.7382901157162</v>
      </c>
      <c r="N53" s="2">
        <f>N9/'Output-Calculation-sheet'!N8*'Output-Calculation-sheet'!N44</f>
        <v>3130.6113893293677</v>
      </c>
      <c r="O53" s="2">
        <f>O9/'Output-Calculation-sheet'!O8*'Output-Calculation-sheet'!O44</f>
        <v>1220.3468794294156</v>
      </c>
      <c r="P53" s="2">
        <f>P9/'Output-Calculation-sheet'!P8*'Output-Calculation-sheet'!P44</f>
        <v>146.43649807168791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965.43303998789736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1099.1633292942452</v>
      </c>
      <c r="Y53" s="2">
        <f>Y9/'Output-Calculation-sheet'!Y8*'Output-Calculation-sheet'!Y44</f>
        <v>0</v>
      </c>
      <c r="AA53" s="2">
        <f t="shared" si="3"/>
        <v>44.583832783396431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24175.777484839004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2145.407626263046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480.56284543829918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103.13271704730636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35711.83692902093</v>
      </c>
      <c r="D55" s="2">
        <f>D11/'Output-Calculation-sheet'!D10*'Output-Calculation-sheet'!D46</f>
        <v>7099.8264283257613</v>
      </c>
      <c r="E55" s="2">
        <f>E11/'Output-Calculation-sheet'!E10*'Output-Calculation-sheet'!E46</f>
        <v>8856.5324534438623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23235.660286336984</v>
      </c>
      <c r="I55" s="2">
        <f>I11/'Output-Calculation-sheet'!I10*'Output-Calculation-sheet'!I46</f>
        <v>1710.8123696046325</v>
      </c>
      <c r="J55" s="2">
        <f>J11/'Output-Calculation-sheet'!J10*'Output-Calculation-sheet'!J46</f>
        <v>1262.6825848878843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16418.203930968823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3587.1833857085685</v>
      </c>
      <c r="P55" s="2">
        <f>P11/'Output-Calculation-sheet'!P10*'Output-Calculation-sheet'!P46</f>
        <v>4604.8361590127925</v>
      </c>
      <c r="Q55" s="2">
        <f>Q11/'Output-Calculation-sheet'!Q10*'Output-Calculation-sheet'!Q46</f>
        <v>3590.0071895915094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6150.490842627717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1098.1973526572135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1652.595980662664</v>
      </c>
      <c r="Y55" s="2">
        <f>Y11/'Output-Calculation-sheet'!Y10*'Output-Calculation-sheet'!Y46</f>
        <v>434.52793536273686</v>
      </c>
      <c r="AA55" s="2">
        <f t="shared" si="3"/>
        <v>219.00124997666606</v>
      </c>
    </row>
    <row r="56" spans="1:27" x14ac:dyDescent="0.25">
      <c r="A56" s="2">
        <v>2035</v>
      </c>
      <c r="B56" s="2">
        <f>B12/'Output-Calculation-sheet'!B11*'Output-Calculation-sheet'!B47</f>
        <v>79144.102793758284</v>
      </c>
      <c r="C56" s="2">
        <f>C12/'Output-Calculation-sheet'!C11*'Output-Calculation-sheet'!C47</f>
        <v>59028.445735185232</v>
      </c>
      <c r="D56" s="2">
        <f>D12/'Output-Calculation-sheet'!D11*'Output-Calculation-sheet'!D47</f>
        <v>8072.0978287708949</v>
      </c>
      <c r="E56" s="2">
        <f>E12/'Output-Calculation-sheet'!E11*'Output-Calculation-sheet'!E47</f>
        <v>20314.688164984356</v>
      </c>
      <c r="F56" s="2">
        <f>F12/'Output-Calculation-sheet'!F11*'Output-Calculation-sheet'!F47</f>
        <v>1120.7496318937897</v>
      </c>
      <c r="G56" s="2">
        <f>G12/'Output-Calculation-sheet'!G11*'Output-Calculation-sheet'!G47</f>
        <v>2992.1560882893436</v>
      </c>
      <c r="H56" s="2">
        <f>H12/'Output-Calculation-sheet'!H11*'Output-Calculation-sheet'!H47</f>
        <v>23406.974755197814</v>
      </c>
      <c r="I56" s="2">
        <f>I12/'Output-Calculation-sheet'!I11*'Output-Calculation-sheet'!I47</f>
        <v>1909.9305370700274</v>
      </c>
      <c r="J56" s="2">
        <f>J12/'Output-Calculation-sheet'!J11*'Output-Calculation-sheet'!J47</f>
        <v>3121.7008244065414</v>
      </c>
      <c r="K56" s="2">
        <f>K12/'Output-Calculation-sheet'!K11*'Output-Calculation-sheet'!K47</f>
        <v>4294.7170152633435</v>
      </c>
      <c r="L56" s="2">
        <f>L12/'Output-Calculation-sheet'!L11*'Output-Calculation-sheet'!L47</f>
        <v>4613.5791238635975</v>
      </c>
      <c r="M56" s="2">
        <f>M12/'Output-Calculation-sheet'!M11*'Output-Calculation-sheet'!M47</f>
        <v>16449.432445672795</v>
      </c>
      <c r="N56" s="2">
        <f>N12/'Output-Calculation-sheet'!N11*'Output-Calculation-sheet'!N47</f>
        <v>13152.937688358365</v>
      </c>
      <c r="O56" s="2">
        <f>O12/'Output-Calculation-sheet'!O11*'Output-Calculation-sheet'!O47</f>
        <v>6510.7864686372677</v>
      </c>
      <c r="P56" s="2">
        <f>P12/'Output-Calculation-sheet'!P11*'Output-Calculation-sheet'!P47</f>
        <v>5705.4915549622747</v>
      </c>
      <c r="Q56" s="2">
        <f>Q12/'Output-Calculation-sheet'!Q11*'Output-Calculation-sheet'!Q47</f>
        <v>4155.2711957493639</v>
      </c>
      <c r="R56" s="2">
        <f>R12/'Output-Calculation-sheet'!R11*'Output-Calculation-sheet'!R47</f>
        <v>4834.9853969309415</v>
      </c>
      <c r="S56" s="2">
        <f>S12/'Output-Calculation-sheet'!S11*'Output-Calculation-sheet'!S47</f>
        <v>6126.0042002729588</v>
      </c>
      <c r="T56" s="2">
        <f>T12/'Output-Calculation-sheet'!T11*'Output-Calculation-sheet'!T47</f>
        <v>1585.5048638223986</v>
      </c>
      <c r="U56" s="2">
        <f>U12/'Output-Calculation-sheet'!U11*'Output-Calculation-sheet'!U47</f>
        <v>1107.7673595318947</v>
      </c>
      <c r="V56" s="2">
        <f>V12/'Output-Calculation-sheet'!V11*'Output-Calculation-sheet'!V47</f>
        <v>1090.4541742194322</v>
      </c>
      <c r="W56" s="2">
        <f>W12/'Output-Calculation-sheet'!W11*'Output-Calculation-sheet'!W47</f>
        <v>389.50366558009699</v>
      </c>
      <c r="X56" s="2">
        <f>X12/'Output-Calculation-sheet'!X11*'Output-Calculation-sheet'!X47</f>
        <v>1661.0268097221419</v>
      </c>
      <c r="Y56" s="2">
        <f>Y12/'Output-Calculation-sheet'!Y11*'Output-Calculation-sheet'!Y47</f>
        <v>506.30528975015034</v>
      </c>
      <c r="AA56" s="2">
        <f t="shared" si="3"/>
        <v>271.2946136118934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7.1809497168385237</v>
      </c>
      <c r="C63" s="2">
        <f>C8*'Output-Calculation-sheet'!C52/10^9</f>
        <v>4.5012862510790725</v>
      </c>
      <c r="D63" s="2">
        <f>D8*'Output-Calculation-sheet'!D52/10^9</f>
        <v>2.4624848794535947</v>
      </c>
      <c r="E63" s="2">
        <f>E8*'Output-Calculation-sheet'!E52/10^9</f>
        <v>2.4483828086436632</v>
      </c>
      <c r="F63" s="2">
        <f>F8*'Output-Calculation-sheet'!F52/10^9</f>
        <v>1.0368907426235821</v>
      </c>
      <c r="G63" s="2">
        <f>G8*'Output-Calculation-sheet'!G52/10^9</f>
        <v>0.74547669666127447</v>
      </c>
      <c r="H63" s="2">
        <f>H8*'Output-Calculation-sheet'!H52/10^9</f>
        <v>1.3021937444171257</v>
      </c>
      <c r="I63" s="2">
        <f>I8*'Output-Calculation-sheet'!I52/10^9</f>
        <v>0.69346649420192019</v>
      </c>
      <c r="J63" s="2">
        <f>J8*'Output-Calculation-sheet'!J52/10^9</f>
        <v>0.95425783253313801</v>
      </c>
      <c r="K63" s="2">
        <f>K8*'Output-Calculation-sheet'!K52/10^9</f>
        <v>0.83839820891009942</v>
      </c>
      <c r="L63" s="2">
        <f>L8*'Output-Calculation-sheet'!L52/10^9</f>
        <v>1.1276843411729465</v>
      </c>
      <c r="M63" s="2">
        <f>M8*'Output-Calculation-sheet'!M52/10^9</f>
        <v>1.0569730604321343</v>
      </c>
      <c r="N63" s="2">
        <f>N8*'Output-Calculation-sheet'!N52/10^9</f>
        <v>0.88212624372274817</v>
      </c>
      <c r="O63" s="2">
        <f>O8*'Output-Calculation-sheet'!O52/10^9</f>
        <v>0.92421724746378719</v>
      </c>
      <c r="P63" s="2">
        <f>P8*'Output-Calculation-sheet'!P52/10^9</f>
        <v>0.57931161097359762</v>
      </c>
      <c r="Q63" s="2">
        <f>Q8*'Output-Calculation-sheet'!Q52/10^9</f>
        <v>0.65560740316009236</v>
      </c>
      <c r="R63" s="2">
        <f>R8*'Output-Calculation-sheet'!R52/10^9</f>
        <v>0.58860596846612934</v>
      </c>
      <c r="S63" s="2">
        <f>S8*'Output-Calculation-sheet'!S52/10^9</f>
        <v>0.43618047453855552</v>
      </c>
      <c r="T63" s="2">
        <f>T8*'Output-Calculation-sheet'!T52/10^9</f>
        <v>0.2237804944030512</v>
      </c>
      <c r="U63" s="2">
        <f>U8*'Output-Calculation-sheet'!U52/10^9</f>
        <v>0.15368995535048113</v>
      </c>
      <c r="V63" s="2">
        <f>V8*'Output-Calculation-sheet'!V52/10^9</f>
        <v>0.27276355972375788</v>
      </c>
      <c r="W63" s="2">
        <f>W8*'Output-Calculation-sheet'!W52/10^9</f>
        <v>9.8727820281198045E-2</v>
      </c>
      <c r="X63" s="2">
        <f>X8*'Output-Calculation-sheet'!X52/10^9</f>
        <v>0.11364159712720469</v>
      </c>
      <c r="Y63" s="2">
        <f>Y8*'Output-Calculation-sheet'!Y52/10^9</f>
        <v>6.4417094144186365E-2</v>
      </c>
      <c r="AA63" s="2">
        <f t="shared" si="4"/>
        <v>29.341514246321868</v>
      </c>
    </row>
    <row r="64" spans="1:27" x14ac:dyDescent="0.25">
      <c r="A64" s="2">
        <v>2032</v>
      </c>
      <c r="B64" s="2">
        <f>B9*'Output-Calculation-sheet'!B53/10^9</f>
        <v>7.3969682903713734</v>
      </c>
      <c r="C64" s="2">
        <f>C9*'Output-Calculation-sheet'!C53/10^9</f>
        <v>4.9353456441421537</v>
      </c>
      <c r="D64" s="2">
        <f>D9*'Output-Calculation-sheet'!D53/10^9</f>
        <v>2.189057128474845</v>
      </c>
      <c r="E64" s="2">
        <f>E9*'Output-Calculation-sheet'!E53/10^9</f>
        <v>2.241701226915898</v>
      </c>
      <c r="F64" s="2">
        <f>F9*'Output-Calculation-sheet'!F53/10^9</f>
        <v>0.94553631470645039</v>
      </c>
      <c r="G64" s="2">
        <f>G9*'Output-Calculation-sheet'!G53/10^9</f>
        <v>0.67300310889339698</v>
      </c>
      <c r="H64" s="2">
        <f>H9*'Output-Calculation-sheet'!H53/10^9</f>
        <v>1.3828408950259834</v>
      </c>
      <c r="I64" s="2">
        <f>I9*'Output-Calculation-sheet'!I53/10^9</f>
        <v>0.62914801826128508</v>
      </c>
      <c r="J64" s="2">
        <f>J9*'Output-Calculation-sheet'!J53/10^9</f>
        <v>0.83286495616716938</v>
      </c>
      <c r="K64" s="2">
        <f>K9*'Output-Calculation-sheet'!K53/10^9</f>
        <v>0.77278338024838256</v>
      </c>
      <c r="L64" s="2">
        <f>L9*'Output-Calculation-sheet'!L53/10^9</f>
        <v>0.99417941717593306</v>
      </c>
      <c r="M64" s="2">
        <f>M9*'Output-Calculation-sheet'!M53/10^9</f>
        <v>1.0838021363622288</v>
      </c>
      <c r="N64" s="2">
        <f>N9*'Output-Calculation-sheet'!N53/10^9</f>
        <v>0.91238046291354147</v>
      </c>
      <c r="O64" s="2">
        <f>O9*'Output-Calculation-sheet'!O53/10^9</f>
        <v>1.0045596329754727</v>
      </c>
      <c r="P64" s="2">
        <f>P9*'Output-Calculation-sheet'!P53/10^9</f>
        <v>0.58918490656515987</v>
      </c>
      <c r="Q64" s="2">
        <f>Q9*'Output-Calculation-sheet'!Q53/10^9</f>
        <v>0.65114819654973999</v>
      </c>
      <c r="R64" s="2">
        <f>R9*'Output-Calculation-sheet'!R53/10^9</f>
        <v>0.55818701361560508</v>
      </c>
      <c r="S64" s="2">
        <f>S9*'Output-Calculation-sheet'!S53/10^9</f>
        <v>0.46118722425175412</v>
      </c>
      <c r="T64" s="2">
        <f>T9*'Output-Calculation-sheet'!T53/10^9</f>
        <v>0.20065370255458873</v>
      </c>
      <c r="U64" s="2">
        <f>U9*'Output-Calculation-sheet'!U53/10^9</f>
        <v>0.15102778585611915</v>
      </c>
      <c r="V64" s="2">
        <f>V9*'Output-Calculation-sheet'!V53/10^9</f>
        <v>0.23816245903381283</v>
      </c>
      <c r="W64" s="2">
        <f>W9*'Output-Calculation-sheet'!W53/10^9</f>
        <v>8.8496877075493155E-2</v>
      </c>
      <c r="X64" s="2">
        <f>X9*'Output-Calculation-sheet'!X53/10^9</f>
        <v>0.12012292451984173</v>
      </c>
      <c r="Y64" s="2">
        <f>Y9*'Output-Calculation-sheet'!Y53/10^9</f>
        <v>6.2003789930147012E-2</v>
      </c>
      <c r="AA64" s="2">
        <f t="shared" si="4"/>
        <v>29.114345492586377</v>
      </c>
    </row>
    <row r="65" spans="1:27" x14ac:dyDescent="0.25">
      <c r="A65" s="2">
        <v>2033</v>
      </c>
      <c r="B65" s="2">
        <f>B10*'Output-Calculation-sheet'!B54/10^9</f>
        <v>7.6918053681541103</v>
      </c>
      <c r="C65" s="2">
        <f>C10*'Output-Calculation-sheet'!C54/10^9</f>
        <v>5.2003404493630594</v>
      </c>
      <c r="D65" s="2">
        <f>D10*'Output-Calculation-sheet'!D54/10^9</f>
        <v>1.817187075006782</v>
      </c>
      <c r="E65" s="2">
        <f>E10*'Output-Calculation-sheet'!E54/10^9</f>
        <v>2.0461318659913488</v>
      </c>
      <c r="F65" s="2">
        <f>F10*'Output-Calculation-sheet'!F54/10^9</f>
        <v>0.83069452210235994</v>
      </c>
      <c r="G65" s="2">
        <f>G10*'Output-Calculation-sheet'!G54/10^9</f>
        <v>0.57034692965476963</v>
      </c>
      <c r="H65" s="2">
        <f>H10*'Output-Calculation-sheet'!H54/10^9</f>
        <v>1.4095070903113349</v>
      </c>
      <c r="I65" s="2">
        <f>I10*'Output-Calculation-sheet'!I54/10^9</f>
        <v>0.5553621457100153</v>
      </c>
      <c r="J65" s="2">
        <f>J10*'Output-Calculation-sheet'!J54/10^9</f>
        <v>0.66378163074262986</v>
      </c>
      <c r="K65" s="2">
        <f>K10*'Output-Calculation-sheet'!K54/10^9</f>
        <v>0.70816707175105298</v>
      </c>
      <c r="L65" s="2">
        <f>L10*'Output-Calculation-sheet'!L54/10^9</f>
        <v>0.83649424803174088</v>
      </c>
      <c r="M65" s="2">
        <f>M10*'Output-Calculation-sheet'!M54/10^9</f>
        <v>1.0642402088343574</v>
      </c>
      <c r="N65" s="2">
        <f>N10*'Output-Calculation-sheet'!N54/10^9</f>
        <v>0.91904444568782306</v>
      </c>
      <c r="O65" s="2">
        <f>O10*'Output-Calculation-sheet'!O54/10^9</f>
        <v>1.0519077781506152</v>
      </c>
      <c r="P65" s="2">
        <f>P10*'Output-Calculation-sheet'!P54/10^9</f>
        <v>0.59918968946551165</v>
      </c>
      <c r="Q65" s="2">
        <f>Q10*'Output-Calculation-sheet'!Q54/10^9</f>
        <v>0.65384502629280972</v>
      </c>
      <c r="R65" s="2">
        <f>R10*'Output-Calculation-sheet'!R54/10^9</f>
        <v>0.5275216128471677</v>
      </c>
      <c r="S65" s="2">
        <f>S10*'Output-Calculation-sheet'!S54/10^9</f>
        <v>0.47916869092674513</v>
      </c>
      <c r="T65" s="2">
        <f>T10*'Output-Calculation-sheet'!T54/10^9</f>
        <v>0.17637373105210016</v>
      </c>
      <c r="U65" s="2">
        <f>U10*'Output-Calculation-sheet'!U54/10^9</f>
        <v>0.15229684566284774</v>
      </c>
      <c r="V65" s="2">
        <f>V10*'Output-Calculation-sheet'!V54/10^9</f>
        <v>0.19518415619624052</v>
      </c>
      <c r="W65" s="2">
        <f>W10*'Output-Calculation-sheet'!W54/10^9</f>
        <v>7.4313949468361881E-2</v>
      </c>
      <c r="X65" s="2">
        <f>X10*'Output-Calculation-sheet'!X54/10^9</f>
        <v>0.12240299266301849</v>
      </c>
      <c r="Y65" s="2">
        <f>Y10*'Output-Calculation-sheet'!Y54/10^9</f>
        <v>6.1164363707822342E-2</v>
      </c>
      <c r="AA65" s="2">
        <f t="shared" si="4"/>
        <v>28.406471887774615</v>
      </c>
    </row>
    <row r="66" spans="1:27" x14ac:dyDescent="0.25">
      <c r="A66" s="2">
        <v>2034</v>
      </c>
      <c r="B66" s="2">
        <f>B11*'Output-Calculation-sheet'!B55/10^9</f>
        <v>8.0461548123303999</v>
      </c>
      <c r="C66" s="2">
        <f>C11*'Output-Calculation-sheet'!C55/10^9</f>
        <v>5.307320927310621</v>
      </c>
      <c r="D66" s="2">
        <f>D11*'Output-Calculation-sheet'!D55/10^9</f>
        <v>1.6830089842481721</v>
      </c>
      <c r="E66" s="2">
        <f>E11*'Output-Calculation-sheet'!E55/10^9</f>
        <v>2.0380121059153797</v>
      </c>
      <c r="F66" s="2">
        <f>F11*'Output-Calculation-sheet'!F55/10^9</f>
        <v>0.78323393640740013</v>
      </c>
      <c r="G66" s="2">
        <f>G11*'Output-Calculation-sheet'!G55/10^9</f>
        <v>0.55984107103537384</v>
      </c>
      <c r="H66" s="2">
        <f>H11*'Output-Calculation-sheet'!H55/10^9</f>
        <v>1.4312657430172497</v>
      </c>
      <c r="I66" s="2">
        <f>I11*'Output-Calculation-sheet'!I55/10^9</f>
        <v>0.54746146541949436</v>
      </c>
      <c r="J66" s="2">
        <f>J11*'Output-Calculation-sheet'!J55/10^9</f>
        <v>0.56297942500312959</v>
      </c>
      <c r="K66" s="2">
        <f>K11*'Output-Calculation-sheet'!K55/10^9</f>
        <v>0.67335482955818404</v>
      </c>
      <c r="L66" s="2">
        <f>L11*'Output-Calculation-sheet'!L55/10^9</f>
        <v>0.71308785576200029</v>
      </c>
      <c r="M66" s="2">
        <f>M11*'Output-Calculation-sheet'!M55/10^9</f>
        <v>1.0369200932845848</v>
      </c>
      <c r="N66" s="2">
        <f>N11*'Output-Calculation-sheet'!N55/10^9</f>
        <v>0.90599164377265873</v>
      </c>
      <c r="O66" s="2">
        <f>O11*'Output-Calculation-sheet'!O55/10^9</f>
        <v>1.0691838686088568</v>
      </c>
      <c r="P66" s="2">
        <f>P11*'Output-Calculation-sheet'!P55/10^9</f>
        <v>0.62278512507221762</v>
      </c>
      <c r="Q66" s="2">
        <f>Q11*'Output-Calculation-sheet'!Q55/10^9</f>
        <v>0.67829767792598505</v>
      </c>
      <c r="R66" s="2">
        <f>R11*'Output-Calculation-sheet'!R55/10^9</f>
        <v>0.50440520845344716</v>
      </c>
      <c r="S66" s="2">
        <f>S11*'Output-Calculation-sheet'!S55/10^9</f>
        <v>0.49632248347995372</v>
      </c>
      <c r="T66" s="2">
        <f>T11*'Output-Calculation-sheet'!T55/10^9</f>
        <v>0.15810901725719734</v>
      </c>
      <c r="U66" s="2">
        <f>U11*'Output-Calculation-sheet'!U55/10^9</f>
        <v>0.16077601872147507</v>
      </c>
      <c r="V66" s="2">
        <f>V11*'Output-Calculation-sheet'!V55/10^9</f>
        <v>0.14999412054646138</v>
      </c>
      <c r="W66" s="2">
        <f>W11*'Output-Calculation-sheet'!W55/10^9</f>
        <v>6.7913961212155885E-2</v>
      </c>
      <c r="X66" s="2">
        <f>X11*'Output-Calculation-sheet'!X55/10^9</f>
        <v>0.12773404676908229</v>
      </c>
      <c r="Y66" s="2">
        <f>Y11*'Output-Calculation-sheet'!Y55/10^9</f>
        <v>6.6644000377515736E-2</v>
      </c>
      <c r="AA66" s="2">
        <f t="shared" si="4"/>
        <v>28.390798421488999</v>
      </c>
    </row>
    <row r="67" spans="1:27" x14ac:dyDescent="0.25">
      <c r="A67" s="2">
        <v>2035</v>
      </c>
      <c r="B67" s="2">
        <f>B12*'Output-Calculation-sheet'!B56/10^9</f>
        <v>8.3427642703005365</v>
      </c>
      <c r="C67" s="2">
        <f>C12*'Output-Calculation-sheet'!C56/10^9</f>
        <v>5.2615745499306854</v>
      </c>
      <c r="D67" s="2">
        <f>D12*'Output-Calculation-sheet'!D56/10^9</f>
        <v>1.7374979694018784</v>
      </c>
      <c r="E67" s="2">
        <f>E12*'Output-Calculation-sheet'!E56/10^9</f>
        <v>2.3575555605954133</v>
      </c>
      <c r="F67" s="2">
        <f>F12*'Output-Calculation-sheet'!F56/10^9</f>
        <v>0.86102690192576492</v>
      </c>
      <c r="G67" s="2">
        <f>G12*'Output-Calculation-sheet'!G56/10^9</f>
        <v>0.60317435055669233</v>
      </c>
      <c r="H67" s="2">
        <f>H12*'Output-Calculation-sheet'!H56/10^9</f>
        <v>1.4557512759821774</v>
      </c>
      <c r="I67" s="2">
        <f>I12*'Output-Calculation-sheet'!I56/10^9</f>
        <v>0.58589118138465224</v>
      </c>
      <c r="J67" s="2">
        <f>J12*'Output-Calculation-sheet'!J56/10^9</f>
        <v>0.58041198340058942</v>
      </c>
      <c r="K67" s="2">
        <f>K12*'Output-Calculation-sheet'!K56/10^9</f>
        <v>0.69902843382696822</v>
      </c>
      <c r="L67" s="2">
        <f>L12*'Output-Calculation-sheet'!L56/10^9</f>
        <v>0.70222424072052081</v>
      </c>
      <c r="M67" s="2">
        <f>M12*'Output-Calculation-sheet'!M56/10^9</f>
        <v>1.0651419374986466</v>
      </c>
      <c r="N67" s="2">
        <f>N12*'Output-Calculation-sheet'!N56/10^9</f>
        <v>0.91462808975191823</v>
      </c>
      <c r="O67" s="2">
        <f>O12*'Output-Calculation-sheet'!O56/10^9</f>
        <v>1.0580133030962524</v>
      </c>
      <c r="P67" s="2">
        <f>P12*'Output-Calculation-sheet'!P56/10^9</f>
        <v>0.67702064028518738</v>
      </c>
      <c r="Q67" s="2">
        <f>Q12*'Output-Calculation-sheet'!Q56/10^9</f>
        <v>0.69622615405621779</v>
      </c>
      <c r="R67" s="2">
        <f>R12*'Output-Calculation-sheet'!R56/10^9</f>
        <v>0.53005836289104569</v>
      </c>
      <c r="S67" s="2">
        <f>S12*'Output-Calculation-sheet'!S56/10^9</f>
        <v>0.50511467336126181</v>
      </c>
      <c r="T67" s="2">
        <f>T12*'Output-Calculation-sheet'!T56/10^9</f>
        <v>0.16074278238309106</v>
      </c>
      <c r="U67" s="2">
        <f>U12*'Output-Calculation-sheet'!U56/10^9</f>
        <v>0.1678576729307196</v>
      </c>
      <c r="V67" s="2">
        <f>V12*'Output-Calculation-sheet'!V56/10^9</f>
        <v>0.12894384193223349</v>
      </c>
      <c r="W67" s="2">
        <f>W12*'Output-Calculation-sheet'!W56/10^9</f>
        <v>7.7796862803982181E-2</v>
      </c>
      <c r="X67" s="2">
        <f>X12*'Output-Calculation-sheet'!X56/10^9</f>
        <v>0.13227760120937912</v>
      </c>
      <c r="Y67" s="2">
        <f>Y12*'Output-Calculation-sheet'!Y56/10^9</f>
        <v>7.5156470193138397E-2</v>
      </c>
      <c r="AA67" s="2">
        <f t="shared" si="4"/>
        <v>29.37587911041896</v>
      </c>
    </row>
    <row r="68" spans="1:27" x14ac:dyDescent="0.25">
      <c r="B68" s="2">
        <f>SUM(B60:B67)</f>
        <v>56.292699657224674</v>
      </c>
      <c r="C68" s="2">
        <f t="shared" ref="C68:Y68" si="5">SUM(C60:C67)</f>
        <v>34.519253250578977</v>
      </c>
      <c r="D68" s="2">
        <f t="shared" si="5"/>
        <v>16.816297417104973</v>
      </c>
      <c r="E68" s="2">
        <f t="shared" si="5"/>
        <v>17.960634535143498</v>
      </c>
      <c r="F68" s="2">
        <f t="shared" si="5"/>
        <v>7.286923619440195</v>
      </c>
      <c r="G68" s="2">
        <f t="shared" si="5"/>
        <v>5.2110861400924806</v>
      </c>
      <c r="H68" s="2">
        <f t="shared" si="5"/>
        <v>9.8862077851798364</v>
      </c>
      <c r="I68" s="2">
        <f t="shared" si="5"/>
        <v>4.9155322504057368</v>
      </c>
      <c r="J68" s="2">
        <f t="shared" si="5"/>
        <v>6.3353041090915951</v>
      </c>
      <c r="K68" s="2">
        <f t="shared" si="5"/>
        <v>5.9989804094720016</v>
      </c>
      <c r="L68" s="2">
        <f t="shared" si="5"/>
        <v>7.6247554849325656</v>
      </c>
      <c r="M68" s="2">
        <f t="shared" si="5"/>
        <v>7.7987828069108582</v>
      </c>
      <c r="N68" s="2">
        <f t="shared" si="5"/>
        <v>6.6971378094123715</v>
      </c>
      <c r="O68" s="2">
        <f t="shared" si="5"/>
        <v>7.0504814359915393</v>
      </c>
      <c r="P68" s="2">
        <f t="shared" si="5"/>
        <v>4.5317039629045093</v>
      </c>
      <c r="Q68" s="2">
        <f t="shared" si="5"/>
        <v>5.006596017372444</v>
      </c>
      <c r="R68" s="2">
        <f t="shared" si="5"/>
        <v>4.3124519550237741</v>
      </c>
      <c r="S68" s="2">
        <f t="shared" si="5"/>
        <v>3.4257504592489072</v>
      </c>
      <c r="T68" s="2">
        <f t="shared" si="5"/>
        <v>1.5476181445517683</v>
      </c>
      <c r="U68" s="2">
        <f t="shared" si="5"/>
        <v>1.1961564353097216</v>
      </c>
      <c r="V68" s="2">
        <f t="shared" si="5"/>
        <v>1.7799331918753807</v>
      </c>
      <c r="W68" s="2">
        <f t="shared" si="5"/>
        <v>0.68228967865710777</v>
      </c>
      <c r="X68" s="2">
        <f t="shared" si="5"/>
        <v>0.86975437515937559</v>
      </c>
      <c r="Y68" s="2">
        <f t="shared" si="5"/>
        <v>0.50273157201676966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2768.8751737865209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1448.8470955156265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971.9244885484386</v>
      </c>
      <c r="N74" s="2">
        <f>N8/'Output-Calculation-sheet'!N7*'Output-Calculation-sheet'!N61</f>
        <v>40.360948151351685</v>
      </c>
      <c r="O74" s="2">
        <f>O8/'Output-Calculation-sheet'!O7*'Output-Calculation-sheet'!O61</f>
        <v>157.04546104963526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121.42203259547325</v>
      </c>
      <c r="Y74" s="2">
        <f>Y8/'Output-Calculation-sheet'!Y7*'Output-Calculation-sheet'!Y61</f>
        <v>0</v>
      </c>
      <c r="AA74" s="2">
        <f t="shared" si="6"/>
        <v>5.5084751996470462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3612.7795090503205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2448.7926309536483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1661.280696782077</v>
      </c>
      <c r="N75" s="2">
        <f>N9/'Output-Calculation-sheet'!N8*'Output-Calculation-sheet'!N62</f>
        <v>641.97347477387041</v>
      </c>
      <c r="O75" s="2">
        <f>O9/'Output-Calculation-sheet'!O8*'Output-Calculation-sheet'!O62</f>
        <v>313.79555895146382</v>
      </c>
      <c r="P75" s="2">
        <f>P9/'Output-Calculation-sheet'!P8*'Output-Calculation-sheet'!P62</f>
        <v>42.979112184040396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212.34983665427919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200.64264531903783</v>
      </c>
      <c r="Y75" s="2">
        <f>Y9/'Output-Calculation-sheet'!Y8*'Output-Calculation-sheet'!Y62</f>
        <v>0</v>
      </c>
      <c r="AA75" s="2">
        <f t="shared" si="6"/>
        <v>9.1345934646687379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5088.4539721793235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3515.223581397559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2393.887842587741</v>
      </c>
      <c r="N76" s="2">
        <f>N10/'Output-Calculation-sheet'!N9*'Output-Calculation-sheet'!N63</f>
        <v>1369.7802929130601</v>
      </c>
      <c r="O76" s="2">
        <f>O10/'Output-Calculation-sheet'!O9*'Output-Calculation-sheet'!O63</f>
        <v>505.92963986541878</v>
      </c>
      <c r="P76" s="2">
        <f>P10/'Output-Calculation-sheet'!P9*'Output-Calculation-sheet'!P63</f>
        <v>469.56863981617084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361.59082897980613</v>
      </c>
      <c r="S76" s="2">
        <f>S10/'Output-Calculation-sheet'!S9*'Output-Calculation-sheet'!S63</f>
        <v>607.39716499229667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128.50134688744112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281.8936339837187</v>
      </c>
      <c r="Y76" s="2">
        <f>Y10/'Output-Calculation-sheet'!Y9*'Output-Calculation-sheet'!Y63</f>
        <v>5.3475766543004273</v>
      </c>
      <c r="AA76" s="2">
        <f t="shared" si="6"/>
        <v>20.447884081228143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6966.2430991315141</v>
      </c>
      <c r="D77" s="2">
        <f>D11/'Output-Calculation-sheet'!D10*'Output-Calculation-sheet'!D64</f>
        <v>1630.2639418965737</v>
      </c>
      <c r="E77" s="2">
        <f>E11/'Output-Calculation-sheet'!E10*'Output-Calculation-sheet'!E64</f>
        <v>2032.7170453630024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864.03041072089684</v>
      </c>
      <c r="H77" s="2">
        <f>H11/'Output-Calculation-sheet'!H10*'Output-Calculation-sheet'!H64</f>
        <v>4323.2381959372879</v>
      </c>
      <c r="I77" s="2">
        <f>I11/'Output-Calculation-sheet'!I10*'Output-Calculation-sheet'!I64</f>
        <v>507.76331193469019</v>
      </c>
      <c r="J77" s="2">
        <f>J11/'Output-Calculation-sheet'!J10*'Output-Calculation-sheet'!J64</f>
        <v>355.61733163478777</v>
      </c>
      <c r="K77" s="2">
        <f>K11/'Output-Calculation-sheet'!K10*'Output-Calculation-sheet'!K64</f>
        <v>773.30026544508621</v>
      </c>
      <c r="L77" s="2">
        <f>L11/'Output-Calculation-sheet'!L10*'Output-Calculation-sheet'!L64</f>
        <v>318.3004135933918</v>
      </c>
      <c r="M77" s="2">
        <f>M11/'Output-Calculation-sheet'!M10*'Output-Calculation-sheet'!M64</f>
        <v>3087.9547063568502</v>
      </c>
      <c r="N77" s="2">
        <f>N11/'Output-Calculation-sheet'!N10*'Output-Calculation-sheet'!N64</f>
        <v>2174.1134058437865</v>
      </c>
      <c r="O77" s="2">
        <f>O11/'Output-Calculation-sheet'!O10*'Output-Calculation-sheet'!O64</f>
        <v>791.76232850164229</v>
      </c>
      <c r="P77" s="2">
        <f>P11/'Output-Calculation-sheet'!P10*'Output-Calculation-sheet'!P64</f>
        <v>963.97171864350867</v>
      </c>
      <c r="Q77" s="2">
        <f>Q11/'Output-Calculation-sheet'!Q10*'Output-Calculation-sheet'!Q64</f>
        <v>678.75192632488131</v>
      </c>
      <c r="R77" s="2">
        <f>R11/'Output-Calculation-sheet'!R10*'Output-Calculation-sheet'!R64</f>
        <v>821.18612404768237</v>
      </c>
      <c r="S77" s="2">
        <f>S11/'Output-Calculation-sheet'!S10*'Output-Calculation-sheet'!S64</f>
        <v>1093.2860690733914</v>
      </c>
      <c r="T77" s="2">
        <f>T11/'Output-Calculation-sheet'!T10*'Output-Calculation-sheet'!T64</f>
        <v>226.33669465369175</v>
      </c>
      <c r="U77" s="2">
        <f>U11/'Output-Calculation-sheet'!U10*'Output-Calculation-sheet'!U64</f>
        <v>240.22181446350208</v>
      </c>
      <c r="V77" s="2">
        <f>V11/'Output-Calculation-sheet'!V10*'Output-Calculation-sheet'!V64</f>
        <v>119.71431524848266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309.11088785807112</v>
      </c>
      <c r="Y77" s="2">
        <f>Y11/'Output-Calculation-sheet'!Y10*'Output-Calculation-sheet'!Y64</f>
        <v>75.173332817753476</v>
      </c>
      <c r="AA77" s="2">
        <f t="shared" si="6"/>
        <v>41.829924687503457</v>
      </c>
    </row>
    <row r="78" spans="1:27" x14ac:dyDescent="0.25">
      <c r="A78" s="2">
        <v>2035</v>
      </c>
      <c r="B78" s="2">
        <f>B12/'Output-Calculation-sheet'!B11*'Output-Calculation-sheet'!B65</f>
        <v>13708.355917862285</v>
      </c>
      <c r="C78" s="2">
        <f>C12/'Output-Calculation-sheet'!C11*'Output-Calculation-sheet'!C65</f>
        <v>10623.601490161767</v>
      </c>
      <c r="D78" s="2">
        <f>D12/'Output-Calculation-sheet'!D11*'Output-Calculation-sheet'!D65</f>
        <v>1831.2002374446151</v>
      </c>
      <c r="E78" s="2">
        <f>E12/'Output-Calculation-sheet'!E11*'Output-Calculation-sheet'!E65</f>
        <v>3173.1542913705566</v>
      </c>
      <c r="F78" s="2">
        <f>F12/'Output-Calculation-sheet'!F11*'Output-Calculation-sheet'!F65</f>
        <v>406.07000662775789</v>
      </c>
      <c r="G78" s="2">
        <f>G12/'Output-Calculation-sheet'!G11*'Output-Calculation-sheet'!G65</f>
        <v>804.14999215810599</v>
      </c>
      <c r="H78" s="2">
        <f>H12/'Output-Calculation-sheet'!H11*'Output-Calculation-sheet'!H65</f>
        <v>4360.5542078571316</v>
      </c>
      <c r="I78" s="2">
        <f>I12/'Output-Calculation-sheet'!I11*'Output-Calculation-sheet'!I65</f>
        <v>532.58123642783005</v>
      </c>
      <c r="J78" s="2">
        <f>J12/'Output-Calculation-sheet'!J11*'Output-Calculation-sheet'!J65</f>
        <v>770.85962742868321</v>
      </c>
      <c r="K78" s="2">
        <f>K12/'Output-Calculation-sheet'!K11*'Output-Calculation-sheet'!K65</f>
        <v>966.08379375794698</v>
      </c>
      <c r="L78" s="2">
        <f>L12/'Output-Calculation-sheet'!L11*'Output-Calculation-sheet'!L65</f>
        <v>819.52091525218236</v>
      </c>
      <c r="M78" s="2">
        <f>M12/'Output-Calculation-sheet'!M11*'Output-Calculation-sheet'!M65</f>
        <v>3177.3569297571858</v>
      </c>
      <c r="N78" s="2">
        <f>N12/'Output-Calculation-sheet'!N11*'Output-Calculation-sheet'!N65</f>
        <v>2253.7052846783272</v>
      </c>
      <c r="O78" s="2">
        <f>O12/'Output-Calculation-sheet'!O11*'Output-Calculation-sheet'!O65</f>
        <v>1265.2169402890827</v>
      </c>
      <c r="P78" s="2">
        <f>P12/'Output-Calculation-sheet'!P11*'Output-Calculation-sheet'!P65</f>
        <v>1106.5927443187582</v>
      </c>
      <c r="Q78" s="2">
        <f>Q12/'Output-Calculation-sheet'!Q11*'Output-Calculation-sheet'!Q65</f>
        <v>761.78125134873574</v>
      </c>
      <c r="R78" s="2">
        <f>R12/'Output-Calculation-sheet'!R11*'Output-Calculation-sheet'!R65</f>
        <v>1031.2071506045211</v>
      </c>
      <c r="S78" s="2">
        <f>S12/'Output-Calculation-sheet'!S11*'Output-Calculation-sheet'!S65</f>
        <v>1074.5639675401876</v>
      </c>
      <c r="T78" s="2">
        <f>T12/'Output-Calculation-sheet'!T11*'Output-Calculation-sheet'!T65</f>
        <v>355.71546942654749</v>
      </c>
      <c r="U78" s="2">
        <f>U12/'Output-Calculation-sheet'!U11*'Output-Calculation-sheet'!U65</f>
        <v>243.36116870227013</v>
      </c>
      <c r="V78" s="2">
        <f>V12/'Output-Calculation-sheet'!V11*'Output-Calculation-sheet'!V65</f>
        <v>199.73485624452599</v>
      </c>
      <c r="W78" s="2">
        <f>W12/'Output-Calculation-sheet'!W11*'Output-Calculation-sheet'!W65</f>
        <v>96.187733495981945</v>
      </c>
      <c r="X78" s="2">
        <f>X12/'Output-Calculation-sheet'!X11*'Output-Calculation-sheet'!X65</f>
        <v>311.0519737769896</v>
      </c>
      <c r="Y78" s="2">
        <f>Y12/'Output-Calculation-sheet'!Y11*'Output-Calculation-sheet'!Y65</f>
        <v>85.104697224191185</v>
      </c>
      <c r="AA78" s="2">
        <f t="shared" si="6"/>
        <v>49.957711883756176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264.49167424567162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68.51148916987033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0.33300316341554198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475.87917345692983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92.450521168895122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0.56832969462582494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596.93277740343217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115.96797979800249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0.71290075720143464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608.72449310831121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31.230726191313149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118.2587929354473</v>
      </c>
      <c r="P88" s="2">
        <f>P11/'Output-Calculation-sheet'!P10*'Output-Calculation-sheet'!P73</f>
        <v>0</v>
      </c>
      <c r="Q88" s="2">
        <f>Q11/'Output-Calculation-sheet'!Q10*'Output-Calculation-sheet'!Q73</f>
        <v>18.505191698925305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5.9042868422430832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2.3574835672791212</v>
      </c>
      <c r="Y88" s="2">
        <f>Y11/'Output-Calculation-sheet'!Y10*'Output-Calculation-sheet'!Y73</f>
        <v>0</v>
      </c>
      <c r="AA88" s="2">
        <f t="shared" si="7"/>
        <v>0.78498097434351921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506.24739052474467</v>
      </c>
      <c r="D89" s="2">
        <f>D12/'Output-Calculation-sheet'!D11*'Output-Calculation-sheet'!D74</f>
        <v>89.689975875232165</v>
      </c>
      <c r="E89" s="2">
        <f>E12/'Output-Calculation-sheet'!E11*'Output-Calculation-sheet'!E74</f>
        <v>142.55921519287267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32.173721379455309</v>
      </c>
      <c r="H89" s="2">
        <f>H12/'Output-Calculation-sheet'!H11*'Output-Calculation-sheet'!H74</f>
        <v>62.335485366705235</v>
      </c>
      <c r="I89" s="2">
        <f>I12/'Output-Calculation-sheet'!I11*'Output-Calculation-sheet'!I74</f>
        <v>28.93834147075799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28.441834538167839</v>
      </c>
      <c r="L89" s="2">
        <f>L12/'Output-Calculation-sheet'!L11*'Output-Calculation-sheet'!L74</f>
        <v>22.615583940507832</v>
      </c>
      <c r="M89" s="2">
        <f>M12/'Output-Calculation-sheet'!M11*'Output-Calculation-sheet'!M74</f>
        <v>42.892913808794773</v>
      </c>
      <c r="N89" s="2">
        <f>N12/'Output-Calculation-sheet'!N11*'Output-Calculation-sheet'!N74</f>
        <v>21.078425782625583</v>
      </c>
      <c r="O89" s="2">
        <f>O12/'Output-Calculation-sheet'!O11*'Output-Calculation-sheet'!O74</f>
        <v>98.350248770955702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18.467871981108285</v>
      </c>
      <c r="R89" s="2">
        <f>R12/'Output-Calculation-sheet'!R11*'Output-Calculation-sheet'!R74</f>
        <v>18.314338624738415</v>
      </c>
      <c r="S89" s="2">
        <f>S12/'Output-Calculation-sheet'!S11*'Output-Calculation-sheet'!S74</f>
        <v>24.16569704249688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5.8923795719781635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9.4109167689639772</v>
      </c>
      <c r="Y89" s="2">
        <f>Y12/'Output-Calculation-sheet'!Y11*'Output-Calculation-sheet'!Y74</f>
        <v>4.5408546165932764</v>
      </c>
      <c r="AA89" s="2">
        <f t="shared" si="7"/>
        <v>1.7104364190634866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8197247955.8225727</v>
      </c>
      <c r="C96" s="2">
        <f>C8/'Output-Calculation-sheet'!C7*'Output-Calculation-sheet'!C79</f>
        <v>1979498008.7224858</v>
      </c>
      <c r="D96" s="2">
        <f>D8/'Output-Calculation-sheet'!D7*'Output-Calculation-sheet'!D79</f>
        <v>1607057886.8784068</v>
      </c>
      <c r="E96" s="2">
        <f>E8/'Output-Calculation-sheet'!E7*'Output-Calculation-sheet'!E79</f>
        <v>6021061278.8048544</v>
      </c>
      <c r="F96" s="2">
        <f>F8/'Output-Calculation-sheet'!F7*'Output-Calculation-sheet'!F79</f>
        <v>1756435708.9690099</v>
      </c>
      <c r="G96" s="2">
        <f>G8/'Output-Calculation-sheet'!G7*'Output-Calculation-sheet'!G79</f>
        <v>1127378773.2226138</v>
      </c>
      <c r="H96" s="2">
        <f>H8/'Output-Calculation-sheet'!H7*'Output-Calculation-sheet'!H79</f>
        <v>1388891395.4214184</v>
      </c>
      <c r="I96" s="2">
        <f>I8/'Output-Calculation-sheet'!I7*'Output-Calculation-sheet'!I79</f>
        <v>810694980.69604254</v>
      </c>
      <c r="J96" s="2">
        <f>J8/'Output-Calculation-sheet'!J7*'Output-Calculation-sheet'!J79</f>
        <v>614347964.94782043</v>
      </c>
      <c r="K96" s="2">
        <f>K8/'Output-Calculation-sheet'!K7*'Output-Calculation-sheet'!K79</f>
        <v>770471947.27616727</v>
      </c>
      <c r="L96" s="2">
        <f>L8/'Output-Calculation-sheet'!L7*'Output-Calculation-sheet'!L79</f>
        <v>699455574.20208347</v>
      </c>
      <c r="M96" s="2">
        <f>M8/'Output-Calculation-sheet'!M7*'Output-Calculation-sheet'!M79</f>
        <v>1071662671.7923481</v>
      </c>
      <c r="N96" s="2">
        <f>N8/'Output-Calculation-sheet'!N7*'Output-Calculation-sheet'!N79</f>
        <v>696653091.4200567</v>
      </c>
      <c r="O96" s="2">
        <f>O8/'Output-Calculation-sheet'!O7*'Output-Calculation-sheet'!O79</f>
        <v>261399249.61489204</v>
      </c>
      <c r="P96" s="2">
        <f>P8/'Output-Calculation-sheet'!P7*'Output-Calculation-sheet'!P79</f>
        <v>1326782233.0383277</v>
      </c>
      <c r="Q96" s="2">
        <f>Q8/'Output-Calculation-sheet'!Q7*'Output-Calculation-sheet'!Q79</f>
        <v>563309583.27968693</v>
      </c>
      <c r="R96" s="2">
        <f>R8/'Output-Calculation-sheet'!R7*'Output-Calculation-sheet'!R79</f>
        <v>747669537.41864955</v>
      </c>
      <c r="S96" s="2">
        <f>S8/'Output-Calculation-sheet'!S7*'Output-Calculation-sheet'!S79</f>
        <v>421656298.52957183</v>
      </c>
      <c r="T96" s="2">
        <f>T8/'Output-Calculation-sheet'!T7*'Output-Calculation-sheet'!T79</f>
        <v>254377546.66907296</v>
      </c>
      <c r="U96" s="2">
        <f>U8/'Output-Calculation-sheet'!U7*'Output-Calculation-sheet'!U79</f>
        <v>200226659.87219042</v>
      </c>
      <c r="V96" s="2">
        <f>V8/'Output-Calculation-sheet'!V7*'Output-Calculation-sheet'!V79</f>
        <v>91897462.995826781</v>
      </c>
      <c r="W96" s="2">
        <f>W8/'Output-Calculation-sheet'!W7*'Output-Calculation-sheet'!W79</f>
        <v>282941722.52050853</v>
      </c>
      <c r="X96" s="2">
        <f>X8/'Output-Calculation-sheet'!X7*'Output-Calculation-sheet'!X79</f>
        <v>127612980.83826275</v>
      </c>
      <c r="Y96" s="2">
        <f>Y8/'Output-Calculation-sheet'!Y7*'Output-Calculation-sheet'!Y79</f>
        <v>175618833.60170603</v>
      </c>
      <c r="AA96" s="2">
        <f t="shared" si="8"/>
        <v>31.194349346554567</v>
      </c>
    </row>
    <row r="97" spans="1:27" x14ac:dyDescent="0.25">
      <c r="A97" s="2">
        <v>2032</v>
      </c>
      <c r="B97" s="2">
        <f>B9/'Output-Calculation-sheet'!B8*'Output-Calculation-sheet'!B80</f>
        <v>10143291991.267563</v>
      </c>
      <c r="C97" s="2">
        <f>C9/'Output-Calculation-sheet'!C8*'Output-Calculation-sheet'!C80</f>
        <v>2395661417.4334073</v>
      </c>
      <c r="D97" s="2">
        <f>D9/'Output-Calculation-sheet'!D8*'Output-Calculation-sheet'!D80</f>
        <v>1830025775.328213</v>
      </c>
      <c r="E97" s="2">
        <f>E9/'Output-Calculation-sheet'!E8*'Output-Calculation-sheet'!E80</f>
        <v>7704139702.5699387</v>
      </c>
      <c r="F97" s="2">
        <f>F9/'Output-Calculation-sheet'!F8*'Output-Calculation-sheet'!F80</f>
        <v>2112741136.7448409</v>
      </c>
      <c r="G97" s="2">
        <f>G9/'Output-Calculation-sheet'!G8*'Output-Calculation-sheet'!G80</f>
        <v>1294571816.0964463</v>
      </c>
      <c r="H97" s="2">
        <f>H9/'Output-Calculation-sheet'!H8*'Output-Calculation-sheet'!H80</f>
        <v>1695056884.2546287</v>
      </c>
      <c r="I97" s="2">
        <f>I9/'Output-Calculation-sheet'!I8*'Output-Calculation-sheet'!I80</f>
        <v>976352514.3772608</v>
      </c>
      <c r="J97" s="2">
        <f>J9/'Output-Calculation-sheet'!J8*'Output-Calculation-sheet'!J80</f>
        <v>729606687.08432972</v>
      </c>
      <c r="K97" s="2">
        <f>K9/'Output-Calculation-sheet'!K8*'Output-Calculation-sheet'!K80</f>
        <v>899851900.80964017</v>
      </c>
      <c r="L97" s="2">
        <f>L9/'Output-Calculation-sheet'!L8*'Output-Calculation-sheet'!L80</f>
        <v>867967431.37983036</v>
      </c>
      <c r="M97" s="2">
        <f>M9/'Output-Calculation-sheet'!M8*'Output-Calculation-sheet'!M80</f>
        <v>1337286105.0203621</v>
      </c>
      <c r="N97" s="2">
        <f>N9/'Output-Calculation-sheet'!N8*'Output-Calculation-sheet'!N80</f>
        <v>840224988.92207038</v>
      </c>
      <c r="O97" s="2">
        <f>O9/'Output-Calculation-sheet'!O8*'Output-Calculation-sheet'!O80</f>
        <v>312326889.97217476</v>
      </c>
      <c r="P97" s="2">
        <f>P9/'Output-Calculation-sheet'!P8*'Output-Calculation-sheet'!P80</f>
        <v>1575210637.0691111</v>
      </c>
      <c r="Q97" s="2">
        <f>Q9/'Output-Calculation-sheet'!Q8*'Output-Calculation-sheet'!Q80</f>
        <v>681334578.9065119</v>
      </c>
      <c r="R97" s="2">
        <f>R9/'Output-Calculation-sheet'!R8*'Output-Calculation-sheet'!R80</f>
        <v>912991361.16371226</v>
      </c>
      <c r="S97" s="2">
        <f>S9/'Output-Calculation-sheet'!S8*'Output-Calculation-sheet'!S80</f>
        <v>508137166.9993335</v>
      </c>
      <c r="T97" s="2">
        <f>T9/'Output-Calculation-sheet'!T8*'Output-Calculation-sheet'!T80</f>
        <v>296292628.74811321</v>
      </c>
      <c r="U97" s="2">
        <f>U9/'Output-Calculation-sheet'!U8*'Output-Calculation-sheet'!U80</f>
        <v>235766474.46807614</v>
      </c>
      <c r="V97" s="2">
        <f>V9/'Output-Calculation-sheet'!V8*'Output-Calculation-sheet'!V80</f>
        <v>108749652.99459326</v>
      </c>
      <c r="W97" s="2">
        <f>W9/'Output-Calculation-sheet'!W8*'Output-Calculation-sheet'!W80</f>
        <v>336521966.94770521</v>
      </c>
      <c r="X97" s="2">
        <f>X9/'Output-Calculation-sheet'!X8*'Output-Calculation-sheet'!X80</f>
        <v>162988693.39965808</v>
      </c>
      <c r="Y97" s="2">
        <f>Y9/'Output-Calculation-sheet'!Y8*'Output-Calculation-sheet'!Y80</f>
        <v>213956056.36079943</v>
      </c>
      <c r="AA97" s="2">
        <f t="shared" si="8"/>
        <v>38.171054458318331</v>
      </c>
    </row>
    <row r="98" spans="1:27" x14ac:dyDescent="0.25">
      <c r="A98" s="2">
        <v>2033</v>
      </c>
      <c r="B98" s="2">
        <f>B10/'Output-Calculation-sheet'!B9*'Output-Calculation-sheet'!B81</f>
        <v>11606518519.57933</v>
      </c>
      <c r="C98" s="2">
        <f>C10/'Output-Calculation-sheet'!C9*'Output-Calculation-sheet'!C81</f>
        <v>2687614218.7738156</v>
      </c>
      <c r="D98" s="2">
        <f>D10/'Output-Calculation-sheet'!D9*'Output-Calculation-sheet'!D81</f>
        <v>1933461753.7109807</v>
      </c>
      <c r="E98" s="2">
        <f>E10/'Output-Calculation-sheet'!E9*'Output-Calculation-sheet'!E81</f>
        <v>9126678726.1610565</v>
      </c>
      <c r="F98" s="2">
        <f>F10/'Output-Calculation-sheet'!F9*'Output-Calculation-sheet'!F81</f>
        <v>2351493831.0390034</v>
      </c>
      <c r="G98" s="2">
        <f>G10/'Output-Calculation-sheet'!G9*'Output-Calculation-sheet'!G81</f>
        <v>1373790898.2167356</v>
      </c>
      <c r="H98" s="2">
        <f>H10/'Output-Calculation-sheet'!H9*'Output-Calculation-sheet'!H81</f>
        <v>1912527859.3100197</v>
      </c>
      <c r="I98" s="2">
        <f>I10/'Output-Calculation-sheet'!I9*'Output-Calculation-sheet'!I81</f>
        <v>1089935949.425843</v>
      </c>
      <c r="J98" s="2">
        <f>J10/'Output-Calculation-sheet'!J9*'Output-Calculation-sheet'!J81</f>
        <v>804038930.69192338</v>
      </c>
      <c r="K98" s="2">
        <f>K10/'Output-Calculation-sheet'!K9*'Output-Calculation-sheet'!K81</f>
        <v>973650683.97435212</v>
      </c>
      <c r="L98" s="2">
        <f>L10/'Output-Calculation-sheet'!L9*'Output-Calculation-sheet'!L81</f>
        <v>997894356.21101308</v>
      </c>
      <c r="M98" s="2">
        <f>M10/'Output-Calculation-sheet'!M9*'Output-Calculation-sheet'!M81</f>
        <v>1546380064.9559929</v>
      </c>
      <c r="N98" s="2">
        <f>N10/'Output-Calculation-sheet'!N9*'Output-Calculation-sheet'!N81</f>
        <v>939758756.26708651</v>
      </c>
      <c r="O98" s="2">
        <f>O10/'Output-Calculation-sheet'!O9*'Output-Calculation-sheet'!O81</f>
        <v>346611282.97919238</v>
      </c>
      <c r="P98" s="2">
        <f>P10/'Output-Calculation-sheet'!P9*'Output-Calculation-sheet'!P81</f>
        <v>1719541952.0539019</v>
      </c>
      <c r="Q98" s="2">
        <f>Q10/'Output-Calculation-sheet'!Q9*'Output-Calculation-sheet'!Q81</f>
        <v>764049856.28493893</v>
      </c>
      <c r="R98" s="2">
        <f>R10/'Output-Calculation-sheet'!R9*'Output-Calculation-sheet'!R81</f>
        <v>1031294907.5413129</v>
      </c>
      <c r="S98" s="2">
        <f>S10/'Output-Calculation-sheet'!S9*'Output-Calculation-sheet'!S81</f>
        <v>566387319.3044765</v>
      </c>
      <c r="T98" s="2">
        <f>T10/'Output-Calculation-sheet'!T9*'Output-Calculation-sheet'!T81</f>
        <v>319111485.66209865</v>
      </c>
      <c r="U98" s="2">
        <f>U10/'Output-Calculation-sheet'!U9*'Output-Calculation-sheet'!U81</f>
        <v>256415422.81810144</v>
      </c>
      <c r="V98" s="2">
        <f>V10/'Output-Calculation-sheet'!V9*'Output-Calculation-sheet'!V81</f>
        <v>119091656.82424411</v>
      </c>
      <c r="W98" s="2">
        <f>W10/'Output-Calculation-sheet'!W9*'Output-Calculation-sheet'!W81</f>
        <v>368288412.45542526</v>
      </c>
      <c r="X98" s="2">
        <f>X10/'Output-Calculation-sheet'!X9*'Output-Calculation-sheet'!X81</f>
        <v>193070460.91859135</v>
      </c>
      <c r="Y98" s="2">
        <f>Y10/'Output-Calculation-sheet'!Y9*'Output-Calculation-sheet'!Y81</f>
        <v>240368327.88859412</v>
      </c>
      <c r="AA98" s="2">
        <f t="shared" si="8"/>
        <v>43.267975633048032</v>
      </c>
    </row>
    <row r="99" spans="1:27" x14ac:dyDescent="0.25">
      <c r="A99" s="2">
        <v>2034</v>
      </c>
      <c r="B99" s="2">
        <f>B11/'Output-Calculation-sheet'!B10*'Output-Calculation-sheet'!B82</f>
        <v>12529834700.537119</v>
      </c>
      <c r="C99" s="2">
        <f>C11/'Output-Calculation-sheet'!C10*'Output-Calculation-sheet'!C82</f>
        <v>2852201946.8978949</v>
      </c>
      <c r="D99" s="2">
        <f>D11/'Output-Calculation-sheet'!D10*'Output-Calculation-sheet'!D82</f>
        <v>1934731460.5093658</v>
      </c>
      <c r="E99" s="2">
        <f>E11/'Output-Calculation-sheet'!E10*'Output-Calculation-sheet'!E82</f>
        <v>10211181946.38739</v>
      </c>
      <c r="F99" s="2">
        <f>F11/'Output-Calculation-sheet'!F10*'Output-Calculation-sheet'!F82</f>
        <v>2471679750.0399485</v>
      </c>
      <c r="G99" s="2">
        <f>G11/'Output-Calculation-sheet'!G10*'Output-Calculation-sheet'!G82</f>
        <v>1375638868.5762708</v>
      </c>
      <c r="H99" s="2">
        <f>H11/'Output-Calculation-sheet'!H10*'Output-Calculation-sheet'!H82</f>
        <v>2035586877.8090758</v>
      </c>
      <c r="I99" s="2">
        <f>I11/'Output-Calculation-sheet'!I10*'Output-Calculation-sheet'!I82</f>
        <v>1151036882.0155828</v>
      </c>
      <c r="J99" s="2">
        <f>J11/'Output-Calculation-sheet'!J10*'Output-Calculation-sheet'!J82</f>
        <v>839100215.22824717</v>
      </c>
      <c r="K99" s="2">
        <f>K11/'Output-Calculation-sheet'!K10*'Output-Calculation-sheet'!K82</f>
        <v>996309927.64497161</v>
      </c>
      <c r="L99" s="2">
        <f>L11/'Output-Calculation-sheet'!L10*'Output-Calculation-sheet'!L82</f>
        <v>1084569795.2151601</v>
      </c>
      <c r="M99" s="2">
        <f>M11/'Output-Calculation-sheet'!M10*'Output-Calculation-sheet'!M82</f>
        <v>1690681096.9342196</v>
      </c>
      <c r="N99" s="2">
        <f>N11/'Output-Calculation-sheet'!N10*'Output-Calculation-sheet'!N82</f>
        <v>994747914.77354765</v>
      </c>
      <c r="O99" s="2">
        <f>O11/'Output-Calculation-sheet'!O10*'Output-Calculation-sheet'!O82</f>
        <v>364573528.50707906</v>
      </c>
      <c r="P99" s="2">
        <f>P11/'Output-Calculation-sheet'!P10*'Output-Calculation-sheet'!P82</f>
        <v>1762210310.7995646</v>
      </c>
      <c r="Q99" s="2">
        <f>Q11/'Output-Calculation-sheet'!Q10*'Output-Calculation-sheet'!Q82</f>
        <v>810597531.08946729</v>
      </c>
      <c r="R99" s="2">
        <f>R11/'Output-Calculation-sheet'!R10*'Output-Calculation-sheet'!R82</f>
        <v>1099554419.8860877</v>
      </c>
      <c r="S99" s="2">
        <f>S11/'Output-Calculation-sheet'!S10*'Output-Calculation-sheet'!S82</f>
        <v>595865969.68445551</v>
      </c>
      <c r="T99" s="2">
        <f>T11/'Output-Calculation-sheet'!T10*'Output-Calculation-sheet'!T82</f>
        <v>324474091.13631624</v>
      </c>
      <c r="U99" s="2">
        <f>U11/'Output-Calculation-sheet'!U10*'Output-Calculation-sheet'!U82</f>
        <v>262964891.20834875</v>
      </c>
      <c r="V99" s="2">
        <f>V11/'Output-Calculation-sheet'!V10*'Output-Calculation-sheet'!V82</f>
        <v>123178723.24195415</v>
      </c>
      <c r="W99" s="2">
        <f>W11/'Output-Calculation-sheet'!W10*'Output-Calculation-sheet'!W82</f>
        <v>378648200.43445647</v>
      </c>
      <c r="X99" s="2">
        <f>X11/'Output-Calculation-sheet'!X10*'Output-Calculation-sheet'!X82</f>
        <v>216413337.37669405</v>
      </c>
      <c r="Y99" s="2">
        <f>Y11/'Output-Calculation-sheet'!Y10*'Output-Calculation-sheet'!Y82</f>
        <v>254150839.362928</v>
      </c>
      <c r="AA99" s="2">
        <f t="shared" si="8"/>
        <v>46.359933225296146</v>
      </c>
    </row>
    <row r="100" spans="1:27" x14ac:dyDescent="0.25">
      <c r="A100" s="2">
        <v>2035</v>
      </c>
      <c r="B100" s="2">
        <f>B12/'Output-Calculation-sheet'!B11*'Output-Calculation-sheet'!B83</f>
        <v>12899225862.960663</v>
      </c>
      <c r="C100" s="2">
        <f>C12/'Output-Calculation-sheet'!C11*'Output-Calculation-sheet'!C83</f>
        <v>2894625379.5215092</v>
      </c>
      <c r="D100" s="2">
        <f>D12/'Output-Calculation-sheet'!D11*'Output-Calculation-sheet'!D83</f>
        <v>1854248767.4450324</v>
      </c>
      <c r="E100" s="2">
        <f>E12/'Output-Calculation-sheet'!E11*'Output-Calculation-sheet'!E83</f>
        <v>10904033611.868647</v>
      </c>
      <c r="F100" s="2">
        <f>F12/'Output-Calculation-sheet'!F11*'Output-Calculation-sheet'!F83</f>
        <v>2480798587.0905724</v>
      </c>
      <c r="G100" s="2">
        <f>G12/'Output-Calculation-sheet'!G11*'Output-Calculation-sheet'!G83</f>
        <v>1314742124.3918548</v>
      </c>
      <c r="H100" s="2">
        <f>H12/'Output-Calculation-sheet'!H11*'Output-Calculation-sheet'!H83</f>
        <v>2065991225.0572484</v>
      </c>
      <c r="I100" s="2">
        <f>I12/'Output-Calculation-sheet'!I11*'Output-Calculation-sheet'!I83</f>
        <v>1162637224.7321024</v>
      </c>
      <c r="J100" s="2">
        <f>J12/'Output-Calculation-sheet'!J11*'Output-Calculation-sheet'!J83</f>
        <v>838401204.69685674</v>
      </c>
      <c r="K100" s="2">
        <f>K12/'Output-Calculation-sheet'!K11*'Output-Calculation-sheet'!K83</f>
        <v>974981252.85652208</v>
      </c>
      <c r="L100" s="2">
        <f>L12/'Output-Calculation-sheet'!L11*'Output-Calculation-sheet'!L83</f>
        <v>1126441075.7139235</v>
      </c>
      <c r="M100" s="2">
        <f>M12/'Output-Calculation-sheet'!M11*'Output-Calculation-sheet'!M83</f>
        <v>1766517203.750375</v>
      </c>
      <c r="N100" s="2">
        <f>N12/'Output-Calculation-sheet'!N11*'Output-Calculation-sheet'!N83</f>
        <v>1007486992.6219598</v>
      </c>
      <c r="O100" s="2">
        <f>O12/'Output-Calculation-sheet'!O11*'Output-Calculation-sheet'!O83</f>
        <v>367399353.01425511</v>
      </c>
      <c r="P100" s="2">
        <f>P12/'Output-Calculation-sheet'!P11*'Output-Calculation-sheet'!P83</f>
        <v>1715211938.2604771</v>
      </c>
      <c r="Q100" s="2">
        <f>Q12/'Output-Calculation-sheet'!Q11*'Output-Calculation-sheet'!Q83</f>
        <v>822445440.62587917</v>
      </c>
      <c r="R100" s="2">
        <f>R12/'Output-Calculation-sheet'!R11*'Output-Calculation-sheet'!R83</f>
        <v>1118585043.3265345</v>
      </c>
      <c r="S100" s="2">
        <f>S12/'Output-Calculation-sheet'!S11*'Output-Calculation-sheet'!S83</f>
        <v>598162865.98622656</v>
      </c>
      <c r="T100" s="2">
        <f>T12/'Output-Calculation-sheet'!T11*'Output-Calculation-sheet'!T83</f>
        <v>315054384.11440468</v>
      </c>
      <c r="U100" s="2">
        <f>U12/'Output-Calculation-sheet'!U11*'Output-Calculation-sheet'!U83</f>
        <v>257196888.40384489</v>
      </c>
      <c r="V100" s="2">
        <f>V12/'Output-Calculation-sheet'!V11*'Output-Calculation-sheet'!V83</f>
        <v>121672104.35436416</v>
      </c>
      <c r="W100" s="2">
        <f>W12/'Output-Calculation-sheet'!W11*'Output-Calculation-sheet'!W83</f>
        <v>369964942.0566566</v>
      </c>
      <c r="X100" s="2">
        <f>X12/'Output-Calculation-sheet'!X11*'Output-Calculation-sheet'!X83</f>
        <v>232009942.63467231</v>
      </c>
      <c r="Y100" s="2">
        <f>Y12/'Output-Calculation-sheet'!Y11*'Output-Calculation-sheet'!Y83</f>
        <v>255745472.86114991</v>
      </c>
      <c r="AA100" s="2">
        <f t="shared" si="8"/>
        <v>47.463578888345729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1360995435.0063553</v>
      </c>
      <c r="C107" s="2">
        <f>C8/'Output-Calculation-sheet'!C7*'Output-Calculation-sheet'!C88</f>
        <v>17550450841.241238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6993313669.8362713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4824801606.9011431</v>
      </c>
      <c r="N107" s="2">
        <f>N8/'Output-Calculation-sheet'!N7*'Output-Calculation-sheet'!N88</f>
        <v>1610670904.226608</v>
      </c>
      <c r="O107" s="2">
        <f>O8/'Output-Calculation-sheet'!O7*'Output-Calculation-sheet'!O88</f>
        <v>2765125415.6831956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483905161.55020493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522527135.42891252</v>
      </c>
      <c r="Y107" s="2">
        <f>Y8/'Output-Calculation-sheet'!Y7*'Output-Calculation-sheet'!Y88</f>
        <v>0</v>
      </c>
      <c r="AA107" s="2">
        <f t="shared" si="9"/>
        <v>36111.790169873915</v>
      </c>
    </row>
    <row r="108" spans="1:27" x14ac:dyDescent="0.25">
      <c r="A108" s="2">
        <v>2032</v>
      </c>
      <c r="B108" s="2">
        <f>B9/'Output-Calculation-sheet'!B8*'Output-Calculation-sheet'!B89</f>
        <v>6033880404.4220695</v>
      </c>
      <c r="C108" s="2">
        <f>C9/'Output-Calculation-sheet'!C8*'Output-Calculation-sheet'!C89</f>
        <v>20496801266.799747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9436972123.3690529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6510690191.1650543</v>
      </c>
      <c r="N108" s="2">
        <f>N9/'Output-Calculation-sheet'!N8*'Output-Calculation-sheet'!N89</f>
        <v>3063794631.5629344</v>
      </c>
      <c r="O108" s="2">
        <f>O9/'Output-Calculation-sheet'!O8*'Output-Calculation-sheet'!O89</f>
        <v>3280157434.1453629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911741901.223441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705127208.79854512</v>
      </c>
      <c r="Y108" s="2">
        <f>Y9/'Output-Calculation-sheet'!Y8*'Output-Calculation-sheet'!Y89</f>
        <v>0</v>
      </c>
      <c r="AA108" s="2">
        <f t="shared" si="9"/>
        <v>50439.165161486206</v>
      </c>
    </row>
    <row r="109" spans="1:27" x14ac:dyDescent="0.25">
      <c r="A109" s="2">
        <v>2033</v>
      </c>
      <c r="B109" s="2">
        <f>B10/'Output-Calculation-sheet'!B9*'Output-Calculation-sheet'!B90</f>
        <v>16176520546.090942</v>
      </c>
      <c r="C109" s="2">
        <f>C10/'Output-Calculation-sheet'!C9*'Output-Calculation-sheet'!C90</f>
        <v>23860984984.675304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11837893638.368391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8167117888.4996662</v>
      </c>
      <c r="N109" s="2">
        <f>N10/'Output-Calculation-sheet'!N9*'Output-Calculation-sheet'!N90</f>
        <v>4811102923.9876804</v>
      </c>
      <c r="O109" s="2">
        <f>O10/'Output-Calculation-sheet'!O9*'Output-Calculation-sheet'!O90</f>
        <v>3727558774.6471939</v>
      </c>
      <c r="P109" s="2">
        <f>P10/'Output-Calculation-sheet'!P9*'Output-Calculation-sheet'!P90</f>
        <v>0</v>
      </c>
      <c r="Q109" s="2">
        <f>Q10/'Output-Calculation-sheet'!Q9*'Output-Calculation-sheet'!Q90</f>
        <v>156585340.82233629</v>
      </c>
      <c r="R109" s="2">
        <f>R10/'Output-Calculation-sheet'!R9*'Output-Calculation-sheet'!R90</f>
        <v>-3.2262979057134146E-7</v>
      </c>
      <c r="S109" s="2">
        <f>S10/'Output-Calculation-sheet'!S9*'Output-Calculation-sheet'!S90</f>
        <v>1933890170.2490325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884523577.2846725</v>
      </c>
      <c r="Y109" s="2">
        <f>Y10/'Output-Calculation-sheet'!Y9*'Output-Calculation-sheet'!Y90</f>
        <v>0</v>
      </c>
      <c r="AA109" s="2">
        <f t="shared" si="9"/>
        <v>71556.177844625228</v>
      </c>
    </row>
    <row r="110" spans="1:27" x14ac:dyDescent="0.25">
      <c r="A110" s="2">
        <v>2034</v>
      </c>
      <c r="B110" s="2">
        <f>B11/'Output-Calculation-sheet'!B10*'Output-Calculation-sheet'!B91</f>
        <v>37662598482.44165</v>
      </c>
      <c r="C110" s="2">
        <f>C11/'Output-Calculation-sheet'!C10*'Output-Calculation-sheet'!C91</f>
        <v>27762838571.9907</v>
      </c>
      <c r="D110" s="2">
        <f>D11/'Output-Calculation-sheet'!D10*'Output-Calculation-sheet'!D91</f>
        <v>0</v>
      </c>
      <c r="E110" s="2">
        <f>E11/'Output-Calculation-sheet'!E10*'Output-Calculation-sheet'!E91</f>
        <v>797136488.8911438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13729158402.751265</v>
      </c>
      <c r="I110" s="2">
        <f>I11/'Output-Calculation-sheet'!I10*'Output-Calculation-sheet'!I91</f>
        <v>-1.3217881351664511E-6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640702293.21670437</v>
      </c>
      <c r="M110" s="2">
        <f>M11/'Output-Calculation-sheet'!M10*'Output-Calculation-sheet'!M91</f>
        <v>9716731478.1800594</v>
      </c>
      <c r="N110" s="2">
        <f>N11/'Output-Calculation-sheet'!N10*'Output-Calculation-sheet'!N91</f>
        <v>6724639467.6723433</v>
      </c>
      <c r="O110" s="2">
        <f>O11/'Output-Calculation-sheet'!O10*'Output-Calculation-sheet'!O91</f>
        <v>4263836547.1266108</v>
      </c>
      <c r="P110" s="2">
        <f>P11/'Output-Calculation-sheet'!P10*'Output-Calculation-sheet'!P91</f>
        <v>0</v>
      </c>
      <c r="Q110" s="2">
        <f>Q11/'Output-Calculation-sheet'!Q10*'Output-Calculation-sheet'!Q91</f>
        <v>1076503256.9092498</v>
      </c>
      <c r="R110" s="2">
        <f>R11/'Output-Calculation-sheet'!R10*'Output-Calculation-sheet'!R91</f>
        <v>0</v>
      </c>
      <c r="S110" s="2">
        <f>S11/'Output-Calculation-sheet'!S10*'Output-Calculation-sheet'!S91</f>
        <v>3291998162.2751012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948566046.56798291</v>
      </c>
      <c r="Y110" s="2">
        <f>Y11/'Output-Calculation-sheet'!Y10*'Output-Calculation-sheet'!Y91</f>
        <v>42181150.94595769</v>
      </c>
      <c r="AA110" s="2">
        <f t="shared" si="9"/>
        <v>106656.89034896877</v>
      </c>
    </row>
    <row r="111" spans="1:27" x14ac:dyDescent="0.25">
      <c r="A111" s="2">
        <v>2035</v>
      </c>
      <c r="B111" s="2">
        <f>B12/'Output-Calculation-sheet'!B11*'Output-Calculation-sheet'!B92</f>
        <v>38745048854.290024</v>
      </c>
      <c r="C111" s="2">
        <f>C12/'Output-Calculation-sheet'!C11*'Output-Calculation-sheet'!C92</f>
        <v>33969726401.496513</v>
      </c>
      <c r="D111" s="2">
        <f>D12/'Output-Calculation-sheet'!D11*'Output-Calculation-sheet'!D92</f>
        <v>-1.0141066192260751E-6</v>
      </c>
      <c r="E111" s="2">
        <f>E12/'Output-Calculation-sheet'!E11*'Output-Calculation-sheet'!E92</f>
        <v>3142542551.0921907</v>
      </c>
      <c r="F111" s="2">
        <f>F12/'Output-Calculation-sheet'!F11*'Output-Calculation-sheet'!F92</f>
        <v>-2.2278171522814199E-7</v>
      </c>
      <c r="G111" s="2">
        <f>G12/'Output-Calculation-sheet'!G11*'Output-Calculation-sheet'!G92</f>
        <v>0</v>
      </c>
      <c r="H111" s="2">
        <f>H12/'Output-Calculation-sheet'!H11*'Output-Calculation-sheet'!H92</f>
        <v>14120184276.877777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1529085087.541455</v>
      </c>
      <c r="M111" s="2">
        <f>M12/'Output-Calculation-sheet'!M11*'Output-Calculation-sheet'!M92</f>
        <v>10062070644.812859</v>
      </c>
      <c r="N111" s="2">
        <f>N12/'Output-Calculation-sheet'!N11*'Output-Calculation-sheet'!N92</f>
        <v>7084256552.6529455</v>
      </c>
      <c r="O111" s="2">
        <f>O12/'Output-Calculation-sheet'!O11*'Output-Calculation-sheet'!O92</f>
        <v>5133056843.7542114</v>
      </c>
      <c r="P111" s="2">
        <f>P12/'Output-Calculation-sheet'!P11*'Output-Calculation-sheet'!P92</f>
        <v>304410562.75144815</v>
      </c>
      <c r="Q111" s="2">
        <f>Q12/'Output-Calculation-sheet'!Q11*'Output-Calculation-sheet'!Q92</f>
        <v>1346319871.5395818</v>
      </c>
      <c r="R111" s="2">
        <f>R12/'Output-Calculation-sheet'!R11*'Output-Calculation-sheet'!R92</f>
        <v>0</v>
      </c>
      <c r="S111" s="2">
        <f>S12/'Output-Calculation-sheet'!S11*'Output-Calculation-sheet'!S92</f>
        <v>3384323707.4317436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983558909.36218607</v>
      </c>
      <c r="Y111" s="2">
        <f>Y12/'Output-Calculation-sheet'!Y11*'Output-Calculation-sheet'!Y92</f>
        <v>66603870.55553212</v>
      </c>
      <c r="AA111" s="2">
        <f t="shared" si="9"/>
        <v>119871.18813415845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46212964888.230171</v>
      </c>
      <c r="C118" s="2">
        <f>C8/'Output-Calculation-sheet'!C7*'Output-Calculation-sheet'!C97</f>
        <v>0</v>
      </c>
      <c r="D118" s="2">
        <f>D8/'Output-Calculation-sheet'!D7*'Output-Calculation-sheet'!D97</f>
        <v>19981611526.83461</v>
      </c>
      <c r="E118" s="2">
        <f>E8/'Output-Calculation-sheet'!E7*'Output-Calculation-sheet'!E97</f>
        <v>15853381076.577303</v>
      </c>
      <c r="F118" s="2">
        <f>F8/'Output-Calculation-sheet'!F7*'Output-Calculation-sheet'!F97</f>
        <v>10205390292.065468</v>
      </c>
      <c r="G118" s="2">
        <f>G8/'Output-Calculation-sheet'!G7*'Output-Calculation-sheet'!G97</f>
        <v>7170587298.5820904</v>
      </c>
      <c r="H118" s="2">
        <f>H8/'Output-Calculation-sheet'!H7*'Output-Calculation-sheet'!H97</f>
        <v>0</v>
      </c>
      <c r="I118" s="2">
        <f>I8/'Output-Calculation-sheet'!I7*'Output-Calculation-sheet'!I97</f>
        <v>6532969477.5711327</v>
      </c>
      <c r="J118" s="2">
        <f>J8/'Output-Calculation-sheet'!J7*'Output-Calculation-sheet'!J97</f>
        <v>6358742525.9457064</v>
      </c>
      <c r="K118" s="2">
        <f>K8/'Output-Calculation-sheet'!K7*'Output-Calculation-sheet'!K97</f>
        <v>6297781338.0794525</v>
      </c>
      <c r="L118" s="2">
        <f>L8/'Output-Calculation-sheet'!L7*'Output-Calculation-sheet'!L97</f>
        <v>5052162078.0188866</v>
      </c>
      <c r="M118" s="2">
        <f>M8/'Output-Calculation-sheet'!M7*'Output-Calculation-sheet'!M97</f>
        <v>0</v>
      </c>
      <c r="N118" s="2">
        <f>N8/'Output-Calculation-sheet'!N7*'Output-Calculation-sheet'!N97</f>
        <v>3125690215.7224669</v>
      </c>
      <c r="O118" s="2">
        <f>O8/'Output-Calculation-sheet'!O7*'Output-Calculation-sheet'!O97</f>
        <v>0</v>
      </c>
      <c r="P118" s="2">
        <f>P8/'Output-Calculation-sheet'!P7*'Output-Calculation-sheet'!P97</f>
        <v>4311759855.19695</v>
      </c>
      <c r="Q118" s="2">
        <f>Q8/'Output-Calculation-sheet'!Q7*'Output-Calculation-sheet'!Q97</f>
        <v>4242074043.3829317</v>
      </c>
      <c r="R118" s="2">
        <f>R8/'Output-Calculation-sheet'!R7*'Output-Calculation-sheet'!R97</f>
        <v>4081070323.8866134</v>
      </c>
      <c r="S118" s="2">
        <f>S8/'Output-Calculation-sheet'!S7*'Output-Calculation-sheet'!S97</f>
        <v>2228583555.1123481</v>
      </c>
      <c r="T118" s="2">
        <f>T8/'Output-Calculation-sheet'!T7*'Output-Calculation-sheet'!T97</f>
        <v>1500166652.1972597</v>
      </c>
      <c r="U118" s="2">
        <f>U8/'Output-Calculation-sheet'!U7*'Output-Calculation-sheet'!U97</f>
        <v>1306593638.9721096</v>
      </c>
      <c r="V118" s="2">
        <f>V8/'Output-Calculation-sheet'!V7*'Output-Calculation-sheet'!V97</f>
        <v>1006103629.2411075</v>
      </c>
      <c r="W118" s="2">
        <f>W8/'Output-Calculation-sheet'!W7*'Output-Calculation-sheet'!W97</f>
        <v>871062425.71463084</v>
      </c>
      <c r="X118" s="2">
        <f>X8/'Output-Calculation-sheet'!X7*'Output-Calculation-sheet'!X97</f>
        <v>0</v>
      </c>
      <c r="Y118" s="2">
        <f>Y8/'Output-Calculation-sheet'!Y7*'Output-Calculation-sheet'!Y97</f>
        <v>508259897.82919919</v>
      </c>
      <c r="AA118" s="2">
        <f t="shared" si="10"/>
        <v>146846.95473916046</v>
      </c>
    </row>
    <row r="119" spans="1:27" x14ac:dyDescent="0.25">
      <c r="A119" s="2">
        <v>2032</v>
      </c>
      <c r="B119" s="2">
        <f>B9/'Output-Calculation-sheet'!B8*'Output-Calculation-sheet'!B98</f>
        <v>58163197934.502953</v>
      </c>
      <c r="C119" s="2">
        <f>C9/'Output-Calculation-sheet'!C8*'Output-Calculation-sheet'!C98</f>
        <v>0</v>
      </c>
      <c r="D119" s="2">
        <f>D9/'Output-Calculation-sheet'!D8*'Output-Calculation-sheet'!D98</f>
        <v>26963514678.167717</v>
      </c>
      <c r="E119" s="2">
        <f>E9/'Output-Calculation-sheet'!E8*'Output-Calculation-sheet'!E98</f>
        <v>21392807703.512104</v>
      </c>
      <c r="F119" s="2">
        <f>F9/'Output-Calculation-sheet'!F8*'Output-Calculation-sheet'!F98</f>
        <v>13771322255.898592</v>
      </c>
      <c r="G119" s="2">
        <f>G9/'Output-Calculation-sheet'!G8*'Output-Calculation-sheet'!G98</f>
        <v>9676108992.4552975</v>
      </c>
      <c r="H119" s="2">
        <f>H9/'Output-Calculation-sheet'!H8*'Output-Calculation-sheet'!H98</f>
        <v>2.0315257731953084E-7</v>
      </c>
      <c r="I119" s="2">
        <f>I9/'Output-Calculation-sheet'!I8*'Output-Calculation-sheet'!I98</f>
        <v>8815697630.8058586</v>
      </c>
      <c r="J119" s="2">
        <f>J9/'Output-Calculation-sheet'!J8*'Output-Calculation-sheet'!J98</f>
        <v>8580589553.7232904</v>
      </c>
      <c r="K119" s="2">
        <f>K9/'Output-Calculation-sheet'!K8*'Output-Calculation-sheet'!K98</f>
        <v>8498328878.3808651</v>
      </c>
      <c r="L119" s="2">
        <f>L9/'Output-Calculation-sheet'!L8*'Output-Calculation-sheet'!L98</f>
        <v>6817471522.4863405</v>
      </c>
      <c r="M119" s="2">
        <f>M9/'Output-Calculation-sheet'!M8*'Output-Calculation-sheet'!M98</f>
        <v>0</v>
      </c>
      <c r="N119" s="2">
        <f>N9/'Output-Calculation-sheet'!N8*'Output-Calculation-sheet'!N98</f>
        <v>3326993849.2221537</v>
      </c>
      <c r="O119" s="2">
        <f>O9/'Output-Calculation-sheet'!O8*'Output-Calculation-sheet'!O98</f>
        <v>0</v>
      </c>
      <c r="P119" s="2">
        <f>P9/'Output-Calculation-sheet'!P8*'Output-Calculation-sheet'!P98</f>
        <v>5818321107.8454056</v>
      </c>
      <c r="Q119" s="2">
        <f>Q9/'Output-Calculation-sheet'!Q8*'Output-Calculation-sheet'!Q98</f>
        <v>5724324352.5105476</v>
      </c>
      <c r="R119" s="2">
        <f>R9/'Output-Calculation-sheet'!R8*'Output-Calculation-sheet'!R98</f>
        <v>5507063733.6238041</v>
      </c>
      <c r="S119" s="2">
        <f>S9/'Output-Calculation-sheet'!S8*'Output-Calculation-sheet'!S98</f>
        <v>2748341395.4694529</v>
      </c>
      <c r="T119" s="2">
        <f>T9/'Output-Calculation-sheet'!T8*'Output-Calculation-sheet'!T98</f>
        <v>2024349194.6708891</v>
      </c>
      <c r="U119" s="2">
        <f>U9/'Output-Calculation-sheet'!U8*'Output-Calculation-sheet'!U98</f>
        <v>1763139325.8341501</v>
      </c>
      <c r="V119" s="2">
        <f>V9/'Output-Calculation-sheet'!V8*'Output-Calculation-sheet'!V98</f>
        <v>1357652543.9012063</v>
      </c>
      <c r="W119" s="2">
        <f>W9/'Output-Calculation-sheet'!W8*'Output-Calculation-sheet'!W98</f>
        <v>1175426032.5203035</v>
      </c>
      <c r="X119" s="2">
        <f>X9/'Output-Calculation-sheet'!X8*'Output-Calculation-sheet'!X98</f>
        <v>0</v>
      </c>
      <c r="Y119" s="2">
        <f>Y9/'Output-Calculation-sheet'!Y8*'Output-Calculation-sheet'!Y98</f>
        <v>685854037.71621144</v>
      </c>
      <c r="AA119" s="2">
        <f t="shared" si="10"/>
        <v>192810.50472324714</v>
      </c>
    </row>
    <row r="120" spans="1:27" x14ac:dyDescent="0.25">
      <c r="A120" s="2">
        <v>2033</v>
      </c>
      <c r="B120" s="2">
        <f>B10/'Output-Calculation-sheet'!B9*'Output-Calculation-sheet'!B99</f>
        <v>64346040220.628052</v>
      </c>
      <c r="C120" s="2">
        <f>C10/'Output-Calculation-sheet'!C9*'Output-Calculation-sheet'!C99</f>
        <v>0</v>
      </c>
      <c r="D120" s="2">
        <f>D10/'Output-Calculation-sheet'!D9*'Output-Calculation-sheet'!D99</f>
        <v>33822464696.789612</v>
      </c>
      <c r="E120" s="2">
        <f>E10/'Output-Calculation-sheet'!E9*'Output-Calculation-sheet'!E99</f>
        <v>26834690045.346027</v>
      </c>
      <c r="F120" s="2">
        <f>F10/'Output-Calculation-sheet'!F9*'Output-Calculation-sheet'!F99</f>
        <v>17274452935.719463</v>
      </c>
      <c r="G120" s="2">
        <f>G10/'Output-Calculation-sheet'!G9*'Output-Calculation-sheet'!G99</f>
        <v>12137504717.201214</v>
      </c>
      <c r="H120" s="2">
        <f>H10/'Output-Calculation-sheet'!H9*'Output-Calculation-sheet'!H99</f>
        <v>0</v>
      </c>
      <c r="I120" s="2">
        <f>I10/'Output-Calculation-sheet'!I9*'Output-Calculation-sheet'!I99</f>
        <v>11058223649.526611</v>
      </c>
      <c r="J120" s="2">
        <f>J10/'Output-Calculation-sheet'!J9*'Output-Calculation-sheet'!J99</f>
        <v>10763309058.427786</v>
      </c>
      <c r="K120" s="2">
        <f>K10/'Output-Calculation-sheet'!K9*'Output-Calculation-sheet'!K99</f>
        <v>10660124131.527723</v>
      </c>
      <c r="L120" s="2">
        <f>L10/'Output-Calculation-sheet'!L9*'Output-Calculation-sheet'!L99</f>
        <v>8551691300.5850039</v>
      </c>
      <c r="M120" s="2">
        <f>M10/'Output-Calculation-sheet'!M9*'Output-Calculation-sheet'!M99</f>
        <v>0</v>
      </c>
      <c r="N120" s="2">
        <f>N10/'Output-Calculation-sheet'!N9*'Output-Calculation-sheet'!N99</f>
        <v>3204898573.2297082</v>
      </c>
      <c r="O120" s="2">
        <f>O10/'Output-Calculation-sheet'!O9*'Output-Calculation-sheet'!O99</f>
        <v>0</v>
      </c>
      <c r="P120" s="2">
        <f>P10/'Output-Calculation-sheet'!P9*'Output-Calculation-sheet'!P99</f>
        <v>7297999024.3851891</v>
      </c>
      <c r="Q120" s="2">
        <f>Q10/'Output-Calculation-sheet'!Q9*'Output-Calculation-sheet'!Q99</f>
        <v>7023816620.4140558</v>
      </c>
      <c r="R120" s="2">
        <f>R10/'Output-Calculation-sheet'!R9*'Output-Calculation-sheet'!R99</f>
        <v>6907615750.3859549</v>
      </c>
      <c r="S120" s="2">
        <f>S10/'Output-Calculation-sheet'!S9*'Output-Calculation-sheet'!S99</f>
        <v>2656930132.5293522</v>
      </c>
      <c r="T120" s="2">
        <f>T10/'Output-Calculation-sheet'!T9*'Output-Calculation-sheet'!T99</f>
        <v>2539278740.8414741</v>
      </c>
      <c r="U120" s="2">
        <f>U10/'Output-Calculation-sheet'!U9*'Output-Calculation-sheet'!U99</f>
        <v>2212125153.1474385</v>
      </c>
      <c r="V120" s="2">
        <f>V10/'Output-Calculation-sheet'!V9*'Output-Calculation-sheet'!V99</f>
        <v>1703010567.5793283</v>
      </c>
      <c r="W120" s="2">
        <f>W10/'Output-Calculation-sheet'!W9*'Output-Calculation-sheet'!W99</f>
        <v>1474429727.0185206</v>
      </c>
      <c r="X120" s="2">
        <f>X10/'Output-Calculation-sheet'!X9*'Output-Calculation-sheet'!X99</f>
        <v>0</v>
      </c>
      <c r="Y120" s="2">
        <f>Y10/'Output-Calculation-sheet'!Y9*'Output-Calculation-sheet'!Y99</f>
        <v>860322013.98923385</v>
      </c>
      <c r="AA120" s="2">
        <f t="shared" si="10"/>
        <v>231328.92705927169</v>
      </c>
    </row>
    <row r="121" spans="1:27" x14ac:dyDescent="0.25">
      <c r="A121" s="2">
        <v>2034</v>
      </c>
      <c r="B121" s="2">
        <f>B11/'Output-Calculation-sheet'!B10*'Output-Calculation-sheet'!B100</f>
        <v>58129837393.466499</v>
      </c>
      <c r="C121" s="2">
        <f>C11/'Output-Calculation-sheet'!C10*'Output-Calculation-sheet'!C100</f>
        <v>0</v>
      </c>
      <c r="D121" s="2">
        <f>D11/'Output-Calculation-sheet'!D10*'Output-Calculation-sheet'!D100</f>
        <v>40239012213.667328</v>
      </c>
      <c r="E121" s="2">
        <f>E11/'Output-Calculation-sheet'!E10*'Output-Calculation-sheet'!E100</f>
        <v>31133711367.105534</v>
      </c>
      <c r="F121" s="2">
        <f>F11/'Output-Calculation-sheet'!F10*'Output-Calculation-sheet'!F100</f>
        <v>20551793015.067917</v>
      </c>
      <c r="G121" s="2">
        <f>G11/'Output-Calculation-sheet'!G10*'Output-Calculation-sheet'!G100</f>
        <v>14439359897.472723</v>
      </c>
      <c r="H121" s="2">
        <f>H11/'Output-Calculation-sheet'!H10*'Output-Calculation-sheet'!H100</f>
        <v>0</v>
      </c>
      <c r="I121" s="2">
        <f>I11/'Output-Calculation-sheet'!I10*'Output-Calculation-sheet'!I100</f>
        <v>13155648376.958654</v>
      </c>
      <c r="J121" s="2">
        <f>J11/'Output-Calculation-sheet'!J10*'Output-Calculation-sheet'!J100</f>
        <v>12804924357.744131</v>
      </c>
      <c r="K121" s="2">
        <f>K11/'Output-Calculation-sheet'!K10*'Output-Calculation-sheet'!K100</f>
        <v>12682489144.461708</v>
      </c>
      <c r="L121" s="2">
        <f>L11/'Output-Calculation-sheet'!L10*'Output-Calculation-sheet'!L100</f>
        <v>9533065661.3226376</v>
      </c>
      <c r="M121" s="2">
        <f>M11/'Output-Calculation-sheet'!M10*'Output-Calculation-sheet'!M100</f>
        <v>6.8109908987225262E-7</v>
      </c>
      <c r="N121" s="2">
        <f>N11/'Output-Calculation-sheet'!N10*'Output-Calculation-sheet'!N100</f>
        <v>2812304060.8103213</v>
      </c>
      <c r="O121" s="2">
        <f>O11/'Output-Calculation-sheet'!O10*'Output-Calculation-sheet'!O100</f>
        <v>0</v>
      </c>
      <c r="P121" s="2">
        <f>P11/'Output-Calculation-sheet'!P10*'Output-Calculation-sheet'!P100</f>
        <v>8682155165.5807114</v>
      </c>
      <c r="Q121" s="2">
        <f>Q11/'Output-Calculation-sheet'!Q10*'Output-Calculation-sheet'!Q100</f>
        <v>7194951769.9223909</v>
      </c>
      <c r="R121" s="2">
        <f>R11/'Output-Calculation-sheet'!R10*'Output-Calculation-sheet'!R100</f>
        <v>8217722661.0547447</v>
      </c>
      <c r="S121" s="2">
        <f>S11/'Output-Calculation-sheet'!S10*'Output-Calculation-sheet'!S100</f>
        <v>2169715192.4771166</v>
      </c>
      <c r="T121" s="2">
        <f>T11/'Output-Calculation-sheet'!T10*'Output-Calculation-sheet'!T100</f>
        <v>3020832768.6390872</v>
      </c>
      <c r="U121" s="2">
        <f>U11/'Output-Calculation-sheet'!U10*'Output-Calculation-sheet'!U100</f>
        <v>2545764347.2010031</v>
      </c>
      <c r="V121" s="2">
        <f>V11/'Output-Calculation-sheet'!V10*'Output-Calculation-sheet'!V100</f>
        <v>2026667066.692179</v>
      </c>
      <c r="W121" s="2">
        <f>W11/'Output-Calculation-sheet'!W10*'Output-Calculation-sheet'!W100</f>
        <v>1754199717.7952032</v>
      </c>
      <c r="X121" s="2">
        <f>X11/'Output-Calculation-sheet'!X10*'Output-Calculation-sheet'!X100</f>
        <v>67556756.349020675</v>
      </c>
      <c r="Y121" s="2">
        <f>Y11/'Output-Calculation-sheet'!Y10*'Output-Calculation-sheet'!Y100</f>
        <v>981336296.71244705</v>
      </c>
      <c r="AA121" s="2">
        <f t="shared" si="10"/>
        <v>252143.04723050131</v>
      </c>
    </row>
    <row r="122" spans="1:27" x14ac:dyDescent="0.25">
      <c r="A122" s="2">
        <v>2035</v>
      </c>
      <c r="B122" s="2">
        <f>B12/'Output-Calculation-sheet'!B11*'Output-Calculation-sheet'!B101</f>
        <v>58044562313.29174</v>
      </c>
      <c r="C122" s="2">
        <f>C12/'Output-Calculation-sheet'!C11*'Output-Calculation-sheet'!C101</f>
        <v>0</v>
      </c>
      <c r="D122" s="2">
        <f>D12/'Output-Calculation-sheet'!D11*'Output-Calculation-sheet'!D101</f>
        <v>40618661739.411331</v>
      </c>
      <c r="E122" s="2">
        <f>E12/'Output-Calculation-sheet'!E11*'Output-Calculation-sheet'!E101</f>
        <v>31544077545.726936</v>
      </c>
      <c r="F122" s="2">
        <f>F12/'Output-Calculation-sheet'!F11*'Output-Calculation-sheet'!F101</f>
        <v>21489508972.847595</v>
      </c>
      <c r="G122" s="2">
        <f>G12/'Output-Calculation-sheet'!G11*'Output-Calculation-sheet'!G101</f>
        <v>14560816041.490158</v>
      </c>
      <c r="H122" s="2">
        <f>H12/'Output-Calculation-sheet'!H11*'Output-Calculation-sheet'!H101</f>
        <v>0</v>
      </c>
      <c r="I122" s="2">
        <f>I12/'Output-Calculation-sheet'!I11*'Output-Calculation-sheet'!I101</f>
        <v>13360690459.175756</v>
      </c>
      <c r="J122" s="2">
        <f>J12/'Output-Calculation-sheet'!J11*'Output-Calculation-sheet'!J101</f>
        <v>13375276583.546503</v>
      </c>
      <c r="K122" s="2">
        <f>K12/'Output-Calculation-sheet'!K11*'Output-Calculation-sheet'!K101</f>
        <v>13131489771.484301</v>
      </c>
      <c r="L122" s="2">
        <f>L12/'Output-Calculation-sheet'!L11*'Output-Calculation-sheet'!L101</f>
        <v>9512910673.9323006</v>
      </c>
      <c r="M122" s="2">
        <f>M12/'Output-Calculation-sheet'!M11*'Output-Calculation-sheet'!M101</f>
        <v>0</v>
      </c>
      <c r="N122" s="2">
        <f>N12/'Output-Calculation-sheet'!N11*'Output-Calculation-sheet'!N101</f>
        <v>2769880098.7709975</v>
      </c>
      <c r="O122" s="2">
        <f>O12/'Output-Calculation-sheet'!O11*'Output-Calculation-sheet'!O101</f>
        <v>0</v>
      </c>
      <c r="P122" s="2">
        <f>P12/'Output-Calculation-sheet'!P11*'Output-Calculation-sheet'!P101</f>
        <v>8830397068.6820812</v>
      </c>
      <c r="Q122" s="2">
        <f>Q12/'Output-Calculation-sheet'!Q11*'Output-Calculation-sheet'!Q101</f>
        <v>7138922125.1452379</v>
      </c>
      <c r="R122" s="2">
        <f>R12/'Output-Calculation-sheet'!R11*'Output-Calculation-sheet'!R101</f>
        <v>8746534368.8946342</v>
      </c>
      <c r="S122" s="2">
        <f>S12/'Output-Calculation-sheet'!S11*'Output-Calculation-sheet'!S101</f>
        <v>2092152471.1632802</v>
      </c>
      <c r="T122" s="2">
        <f>T12/'Output-Calculation-sheet'!T11*'Output-Calculation-sheet'!T101</f>
        <v>3263910149.1720729</v>
      </c>
      <c r="U122" s="2">
        <f>U12/'Output-Calculation-sheet'!U11*'Output-Calculation-sheet'!U101</f>
        <v>2577808821.4322367</v>
      </c>
      <c r="V122" s="2">
        <f>V12/'Output-Calculation-sheet'!V11*'Output-Calculation-sheet'!V101</f>
        <v>2244673110.6322513</v>
      </c>
      <c r="W122" s="2">
        <f>W12/'Output-Calculation-sheet'!W11*'Output-Calculation-sheet'!W101</f>
        <v>1891750845.5025201</v>
      </c>
      <c r="X122" s="2">
        <f>X12/'Output-Calculation-sheet'!X11*'Output-Calculation-sheet'!X101</f>
        <v>66700813.691709086</v>
      </c>
      <c r="Y122" s="2">
        <f>Y12/'Output-Calculation-sheet'!Y11*'Output-Calculation-sheet'!Y101</f>
        <v>999305421.38822067</v>
      </c>
      <c r="AA122" s="2">
        <f t="shared" si="10"/>
        <v>256260.02939538186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47573961189.602028</v>
      </c>
      <c r="C129" s="2">
        <f>C8/'Output-Calculation-sheet'!C7*'Output-Calculation-sheet'!C106</f>
        <v>27883973042.625938</v>
      </c>
      <c r="D129" s="2">
        <f>D8/'Output-Calculation-sheet'!D7*'Output-Calculation-sheet'!D106</f>
        <v>19981611526.83461</v>
      </c>
      <c r="E129" s="2">
        <f>E8/'Output-Calculation-sheet'!E7*'Output-Calculation-sheet'!E106</f>
        <v>15853381076.577303</v>
      </c>
      <c r="F129" s="2">
        <f>F8/'Output-Calculation-sheet'!F7*'Output-Calculation-sheet'!F106</f>
        <v>10205390292.065468</v>
      </c>
      <c r="G129" s="2">
        <f>G8/'Output-Calculation-sheet'!G7*'Output-Calculation-sheet'!G106</f>
        <v>7170587298.5820904</v>
      </c>
      <c r="H129" s="2">
        <f>H8/'Output-Calculation-sheet'!H7*'Output-Calculation-sheet'!H106</f>
        <v>6994632653.986165</v>
      </c>
      <c r="I129" s="2">
        <f>I8/'Output-Calculation-sheet'!I7*'Output-Calculation-sheet'!I106</f>
        <v>6532969477.5711327</v>
      </c>
      <c r="J129" s="2">
        <f>J8/'Output-Calculation-sheet'!J7*'Output-Calculation-sheet'!J106</f>
        <v>6358742525.9457064</v>
      </c>
      <c r="K129" s="2">
        <f>K8/'Output-Calculation-sheet'!K7*'Output-Calculation-sheet'!K106</f>
        <v>6297781338.0794525</v>
      </c>
      <c r="L129" s="2">
        <f>L8/'Output-Calculation-sheet'!L7*'Output-Calculation-sheet'!L106</f>
        <v>5052162078.0188866</v>
      </c>
      <c r="M129" s="2">
        <f>M8/'Output-Calculation-sheet'!M7*'Output-Calculation-sheet'!M106</f>
        <v>4825686787.4325523</v>
      </c>
      <c r="N129" s="2">
        <f>N8/'Output-Calculation-sheet'!N7*'Output-Calculation-sheet'!N106</f>
        <v>4736398562.5749178</v>
      </c>
      <c r="O129" s="2">
        <f>O8/'Output-Calculation-sheet'!O7*'Output-Calculation-sheet'!O106</f>
        <v>6074812690.2458763</v>
      </c>
      <c r="P129" s="2">
        <f>P8/'Output-Calculation-sheet'!P7*'Output-Calculation-sheet'!P106</f>
        <v>4311759855.19695</v>
      </c>
      <c r="Q129" s="2">
        <f>Q8/'Output-Calculation-sheet'!Q7*'Output-Calculation-sheet'!Q106</f>
        <v>4242074043.3829317</v>
      </c>
      <c r="R129" s="2">
        <f>R8/'Output-Calculation-sheet'!R7*'Output-Calculation-sheet'!R106</f>
        <v>4081070323.8866134</v>
      </c>
      <c r="S129" s="2">
        <f>S8/'Output-Calculation-sheet'!S7*'Output-Calculation-sheet'!S106</f>
        <v>2712488401.0250902</v>
      </c>
      <c r="T129" s="2">
        <f>T8/'Output-Calculation-sheet'!T7*'Output-Calculation-sheet'!T106</f>
        <v>1500166652.1972597</v>
      </c>
      <c r="U129" s="2">
        <f>U8/'Output-Calculation-sheet'!U7*'Output-Calculation-sheet'!U106</f>
        <v>1306593638.9721096</v>
      </c>
      <c r="V129" s="2">
        <f>V8/'Output-Calculation-sheet'!V7*'Output-Calculation-sheet'!V106</f>
        <v>1006103629.2411075</v>
      </c>
      <c r="W129" s="2">
        <f>W8/'Output-Calculation-sheet'!W7*'Output-Calculation-sheet'!W106</f>
        <v>871062425.71463084</v>
      </c>
      <c r="X129" s="2">
        <f>X8/'Output-Calculation-sheet'!X7*'Output-Calculation-sheet'!X106</f>
        <v>522637558.20569122</v>
      </c>
      <c r="Y129" s="2">
        <f>Y8/'Output-Calculation-sheet'!Y7*'Output-Calculation-sheet'!Y106</f>
        <v>508259897.82919919</v>
      </c>
      <c r="AA129" s="2">
        <f t="shared" si="11"/>
        <v>196604.30696579374</v>
      </c>
    </row>
    <row r="130" spans="1:27" x14ac:dyDescent="0.25">
      <c r="A130" s="2">
        <v>2032</v>
      </c>
      <c r="B130" s="2">
        <f>B9/'Output-Calculation-sheet'!B8*'Output-Calculation-sheet'!B107</f>
        <v>38518252618.184639</v>
      </c>
      <c r="C130" s="2">
        <f>C9/'Output-Calculation-sheet'!C8*'Output-Calculation-sheet'!C107</f>
        <v>28966765288.323322</v>
      </c>
      <c r="D130" s="2">
        <f>D9/'Output-Calculation-sheet'!D8*'Output-Calculation-sheet'!D107</f>
        <v>16178105434.510578</v>
      </c>
      <c r="E130" s="2">
        <f>E9/'Output-Calculation-sheet'!E8*'Output-Calculation-sheet'!E107</f>
        <v>12835683282.031979</v>
      </c>
      <c r="F130" s="2">
        <f>F9/'Output-Calculation-sheet'!F8*'Output-Calculation-sheet'!F107</f>
        <v>8262794196.3546143</v>
      </c>
      <c r="G130" s="2">
        <f>G9/'Output-Calculation-sheet'!G8*'Output-Calculation-sheet'!G107</f>
        <v>5805666000.3475628</v>
      </c>
      <c r="H130" s="2">
        <f>H9/'Output-Calculation-sheet'!H8*'Output-Calculation-sheet'!H107</f>
        <v>5663202847.4171047</v>
      </c>
      <c r="I130" s="2">
        <f>I9/'Output-Calculation-sheet'!I8*'Output-Calculation-sheet'!I107</f>
        <v>5289418034.4351206</v>
      </c>
      <c r="J130" s="2">
        <f>J9/'Output-Calculation-sheet'!J8*'Output-Calculation-sheet'!J107</f>
        <v>5148353193.8046837</v>
      </c>
      <c r="K130" s="2">
        <f>K9/'Output-Calculation-sheet'!K8*'Output-Calculation-sheet'!K107</f>
        <v>5098997327.0285196</v>
      </c>
      <c r="L130" s="2">
        <f>L9/'Output-Calculation-sheet'!L8*'Output-Calculation-sheet'!L107</f>
        <v>4090482488.3129058</v>
      </c>
      <c r="M130" s="2">
        <f>M9/'Output-Calculation-sheet'!M8*'Output-Calculation-sheet'!M107</f>
        <v>3907117293.7622418</v>
      </c>
      <c r="N130" s="2">
        <f>N9/'Output-Calculation-sheet'!N8*'Output-Calculation-sheet'!N107</f>
        <v>3834822607.362874</v>
      </c>
      <c r="O130" s="2">
        <f>O9/'Output-Calculation-sheet'!O8*'Output-Calculation-sheet'!O107</f>
        <v>6307891663.3120213</v>
      </c>
      <c r="P130" s="2">
        <f>P9/'Output-Calculation-sheet'!P8*'Output-Calculation-sheet'!P107</f>
        <v>3491014996.2731996</v>
      </c>
      <c r="Q130" s="2">
        <f>Q9/'Output-Calculation-sheet'!Q8*'Output-Calculation-sheet'!Q107</f>
        <v>3434595653.1088119</v>
      </c>
      <c r="R130" s="2">
        <f>R9/'Output-Calculation-sheet'!R8*'Output-Calculation-sheet'!R107</f>
        <v>3304238584.4886432</v>
      </c>
      <c r="S130" s="2">
        <f>S9/'Output-Calculation-sheet'!S8*'Output-Calculation-sheet'!S107</f>
        <v>2196165943.5608926</v>
      </c>
      <c r="T130" s="2">
        <f>T9/'Output-Calculation-sheet'!T8*'Output-Calculation-sheet'!T107</f>
        <v>1214609771.5709651</v>
      </c>
      <c r="U130" s="2">
        <f>U9/'Output-Calculation-sheet'!U8*'Output-Calculation-sheet'!U107</f>
        <v>1057883263.1656545</v>
      </c>
      <c r="V130" s="2">
        <f>V9/'Output-Calculation-sheet'!V8*'Output-Calculation-sheet'!V107</f>
        <v>814591270.08042455</v>
      </c>
      <c r="W130" s="2">
        <f>W9/'Output-Calculation-sheet'!W8*'Output-Calculation-sheet'!W107</f>
        <v>705255693.47956467</v>
      </c>
      <c r="X130" s="2">
        <f>X9/'Output-Calculation-sheet'!X8*'Output-Calculation-sheet'!X107</f>
        <v>423153333.06006473</v>
      </c>
      <c r="Y130" s="2">
        <f>Y9/'Output-Calculation-sheet'!Y8*'Output-Calculation-sheet'!Y107</f>
        <v>411512465.3143546</v>
      </c>
      <c r="AA130" s="2">
        <f t="shared" si="11"/>
        <v>166960.5732492907</v>
      </c>
    </row>
    <row r="131" spans="1:27" x14ac:dyDescent="0.25">
      <c r="A131" s="2">
        <v>2033</v>
      </c>
      <c r="B131" s="2">
        <f>B10/'Output-Calculation-sheet'!B9*'Output-Calculation-sheet'!B108</f>
        <v>26842496984.416218</v>
      </c>
      <c r="C131" s="2">
        <f>C10/'Output-Calculation-sheet'!C9*'Output-Calculation-sheet'!C108</f>
        <v>28088721585.116619</v>
      </c>
      <c r="D131" s="2">
        <f>D10/'Output-Calculation-sheet'!D9*'Output-Calculation-sheet'!D108</f>
        <v>11274157836.606819</v>
      </c>
      <c r="E131" s="2">
        <f>E10/'Output-Calculation-sheet'!E9*'Output-Calculation-sheet'!E108</f>
        <v>8944896681.7820091</v>
      </c>
      <c r="F131" s="2">
        <f>F10/'Output-Calculation-sheet'!F9*'Output-Calculation-sheet'!F108</f>
        <v>5758150978.5731544</v>
      </c>
      <c r="G131" s="2">
        <f>G10/'Output-Calculation-sheet'!G9*'Output-Calculation-sheet'!G108</f>
        <v>4045834905.7337379</v>
      </c>
      <c r="H131" s="2">
        <f>H10/'Output-Calculation-sheet'!H9*'Output-Calculation-sheet'!H108</f>
        <v>3946556643.955524</v>
      </c>
      <c r="I131" s="2">
        <f>I10/'Output-Calculation-sheet'!I9*'Output-Calculation-sheet'!I108</f>
        <v>3686075497.6794376</v>
      </c>
      <c r="J131" s="2">
        <f>J10/'Output-Calculation-sheet'!J9*'Output-Calculation-sheet'!J108</f>
        <v>3587770624.1902657</v>
      </c>
      <c r="K131" s="2">
        <f>K10/'Output-Calculation-sheet'!K9*'Output-Calculation-sheet'!K108</f>
        <v>3553374710.5092411</v>
      </c>
      <c r="L131" s="2">
        <f>L10/'Output-Calculation-sheet'!L9*'Output-Calculation-sheet'!L108</f>
        <v>2850564507.6053123</v>
      </c>
      <c r="M131" s="2">
        <f>M10/'Output-Calculation-sheet'!M9*'Output-Calculation-sheet'!M108</f>
        <v>2722780050.7488952</v>
      </c>
      <c r="N131" s="2">
        <f>N10/'Output-Calculation-sheet'!N9*'Output-Calculation-sheet'!N108</f>
        <v>2672400238.3883052</v>
      </c>
      <c r="O131" s="2">
        <f>O10/'Output-Calculation-sheet'!O9*'Output-Calculation-sheet'!O108</f>
        <v>6328944766.2773323</v>
      </c>
      <c r="P131" s="2">
        <f>P10/'Output-Calculation-sheet'!P9*'Output-Calculation-sheet'!P108</f>
        <v>2432809846.811904</v>
      </c>
      <c r="Q131" s="2">
        <f>Q10/'Output-Calculation-sheet'!Q9*'Output-Calculation-sheet'!Q108</f>
        <v>2393491220.301156</v>
      </c>
      <c r="R131" s="2">
        <f>R10/'Output-Calculation-sheet'!R9*'Output-Calculation-sheet'!R108</f>
        <v>2302647758.3502116</v>
      </c>
      <c r="S131" s="2">
        <f>S10/'Output-Calculation-sheet'!S9*'Output-Calculation-sheet'!S108</f>
        <v>1530458253.141803</v>
      </c>
      <c r="T131" s="2">
        <f>T10/'Output-Calculation-sheet'!T9*'Output-Calculation-sheet'!T108</f>
        <v>846433348.63907027</v>
      </c>
      <c r="U131" s="2">
        <f>U10/'Output-Calculation-sheet'!U9*'Output-Calculation-sheet'!U108</f>
        <v>737214670.43687344</v>
      </c>
      <c r="V131" s="2">
        <f>V10/'Output-Calculation-sheet'!V9*'Output-Calculation-sheet'!V108</f>
        <v>567670040.37482095</v>
      </c>
      <c r="W131" s="2">
        <f>W10/'Output-Calculation-sheet'!W9*'Output-Calculation-sheet'!W108</f>
        <v>491476446.80739373</v>
      </c>
      <c r="X131" s="2">
        <f>X10/'Output-Calculation-sheet'!X9*'Output-Calculation-sheet'!X108</f>
        <v>294885810.48307168</v>
      </c>
      <c r="Y131" s="2">
        <f>Y10/'Output-Calculation-sheet'!Y9*'Output-Calculation-sheet'!Y108</f>
        <v>286773558.47395366</v>
      </c>
      <c r="AA131" s="2">
        <f t="shared" si="11"/>
        <v>126186.58696540313</v>
      </c>
    </row>
    <row r="132" spans="1:27" x14ac:dyDescent="0.25">
      <c r="A132" s="2">
        <v>2034</v>
      </c>
      <c r="B132" s="2">
        <f>B11/'Output-Calculation-sheet'!B10*'Output-Calculation-sheet'!B109</f>
        <v>13686365437.76395</v>
      </c>
      <c r="C132" s="2">
        <f>C11/'Output-Calculation-sheet'!C10*'Output-Calculation-sheet'!C109</f>
        <v>25305965645.356247</v>
      </c>
      <c r="D132" s="2">
        <f>D11/'Output-Calculation-sheet'!D10*'Output-Calculation-sheet'!D109</f>
        <v>5748431086.5629377</v>
      </c>
      <c r="E132" s="2">
        <f>E11/'Output-Calculation-sheet'!E10*'Output-Calculation-sheet'!E109</f>
        <v>4560796378.2863483</v>
      </c>
      <c r="F132" s="2">
        <f>F11/'Output-Calculation-sheet'!F10*'Output-Calculation-sheet'!F109</f>
        <v>2935948291.2965913</v>
      </c>
      <c r="G132" s="2">
        <f>G11/'Output-Calculation-sheet'!G10*'Output-Calculation-sheet'!G109</f>
        <v>2062878166.778405</v>
      </c>
      <c r="H132" s="2">
        <f>H11/'Output-Calculation-sheet'!H10*'Output-Calculation-sheet'!H109</f>
        <v>2444586029.5468225</v>
      </c>
      <c r="I132" s="2">
        <f>I11/'Output-Calculation-sheet'!I10*'Output-Calculation-sheet'!I109</f>
        <v>1879444245.1945789</v>
      </c>
      <c r="J132" s="2">
        <f>J11/'Output-Calculation-sheet'!J10*'Output-Calculation-sheet'!J109</f>
        <v>1829321151.9490237</v>
      </c>
      <c r="K132" s="2">
        <f>K11/'Output-Calculation-sheet'!K10*'Output-Calculation-sheet'!K109</f>
        <v>1811784041.3546317</v>
      </c>
      <c r="L132" s="2">
        <f>L11/'Output-Calculation-sheet'!L10*'Output-Calculation-sheet'!L109</f>
        <v>1453436827.4826534</v>
      </c>
      <c r="M132" s="2">
        <f>M11/'Output-Calculation-sheet'!M10*'Output-Calculation-sheet'!M109</f>
        <v>1388282708.6888106</v>
      </c>
      <c r="N132" s="2">
        <f>N11/'Output-Calculation-sheet'!N10*'Output-Calculation-sheet'!N109</f>
        <v>1362595627.5049777</v>
      </c>
      <c r="O132" s="2">
        <f>O11/'Output-Calculation-sheet'!O10*'Output-Calculation-sheet'!O109</f>
        <v>6005894999.9793921</v>
      </c>
      <c r="P132" s="2">
        <f>P11/'Output-Calculation-sheet'!P10*'Output-Calculation-sheet'!P109</f>
        <v>1240433203.6990056</v>
      </c>
      <c r="Q132" s="2">
        <f>Q11/'Output-Calculation-sheet'!Q10*'Output-Calculation-sheet'!Q109</f>
        <v>1527672414.0594039</v>
      </c>
      <c r="R132" s="2">
        <f>R11/'Output-Calculation-sheet'!R10*'Output-Calculation-sheet'!R109</f>
        <v>1174067132.5641017</v>
      </c>
      <c r="S132" s="2">
        <f>S11/'Output-Calculation-sheet'!S10*'Output-Calculation-sheet'!S109</f>
        <v>780345220.67555296</v>
      </c>
      <c r="T132" s="2">
        <f>T11/'Output-Calculation-sheet'!T10*'Output-Calculation-sheet'!T109</f>
        <v>431576965.37711012</v>
      </c>
      <c r="U132" s="2">
        <f>U11/'Output-Calculation-sheet'!U10*'Output-Calculation-sheet'!U109</f>
        <v>474691849.81389624</v>
      </c>
      <c r="V132" s="2">
        <f>V11/'Output-Calculation-sheet'!V10*'Output-Calculation-sheet'!V109</f>
        <v>289441897.82696372</v>
      </c>
      <c r="W132" s="2">
        <f>W11/'Output-Calculation-sheet'!W10*'Output-Calculation-sheet'!W109</f>
        <v>250592536.83890325</v>
      </c>
      <c r="X132" s="2">
        <f>X11/'Output-Calculation-sheet'!X10*'Output-Calculation-sheet'!X109</f>
        <v>198981278.76098368</v>
      </c>
      <c r="Y132" s="2">
        <f>Y11/'Output-Calculation-sheet'!Y10*'Output-Calculation-sheet'!Y109</f>
        <v>146219264.50371042</v>
      </c>
      <c r="AA132" s="2">
        <f t="shared" si="11"/>
        <v>78989.752401864971</v>
      </c>
    </row>
    <row r="133" spans="1:27" x14ac:dyDescent="0.25">
      <c r="A133" s="2">
        <v>2035</v>
      </c>
      <c r="B133" s="2">
        <f>B12/'Output-Calculation-sheet'!B11*'Output-Calculation-sheet'!B110</f>
        <v>14606705482.49823</v>
      </c>
      <c r="C133" s="2">
        <f>C12/'Output-Calculation-sheet'!C11*'Output-Calculation-sheet'!C110</f>
        <v>18829871690.567879</v>
      </c>
      <c r="D133" s="2">
        <f>D12/'Output-Calculation-sheet'!D11*'Output-Calculation-sheet'!D110</f>
        <v>5554380021.3854551</v>
      </c>
      <c r="E133" s="2">
        <f>E12/'Output-Calculation-sheet'!E11*'Output-Calculation-sheet'!E110</f>
        <v>2741539160.268311</v>
      </c>
      <c r="F133" s="2">
        <f>F12/'Output-Calculation-sheet'!F11*'Output-Calculation-sheet'!F110</f>
        <v>2245467614.0841889</v>
      </c>
      <c r="G133" s="2">
        <f>G12/'Output-Calculation-sheet'!G11*'Output-Calculation-sheet'!G110</f>
        <v>2119168167.0793965</v>
      </c>
      <c r="H133" s="2">
        <f>H12/'Output-Calculation-sheet'!H11*'Output-Calculation-sheet'!H110</f>
        <v>2312302103.5481133</v>
      </c>
      <c r="I133" s="2">
        <f>I12/'Output-Calculation-sheet'!I11*'Output-Calculation-sheet'!I110</f>
        <v>1818853184.3425255</v>
      </c>
      <c r="J133" s="2">
        <f>J12/'Output-Calculation-sheet'!J11*'Output-Calculation-sheet'!J110</f>
        <v>1323452224.3714294</v>
      </c>
      <c r="K133" s="2">
        <f>K12/'Output-Calculation-sheet'!K11*'Output-Calculation-sheet'!K110</f>
        <v>1459894338.0297616</v>
      </c>
      <c r="L133" s="2">
        <f>L12/'Output-Calculation-sheet'!L11*'Output-Calculation-sheet'!L110</f>
        <v>638618180.84454191</v>
      </c>
      <c r="M133" s="2">
        <f>M12/'Output-Calculation-sheet'!M11*'Output-Calculation-sheet'!M110</f>
        <v>1271890490.8334796</v>
      </c>
      <c r="N133" s="2">
        <f>N12/'Output-Calculation-sheet'!N11*'Output-Calculation-sheet'!N110</f>
        <v>1156186855.1480703</v>
      </c>
      <c r="O133" s="2">
        <f>O12/'Output-Calculation-sheet'!O11*'Output-Calculation-sheet'!O110</f>
        <v>5103477022.9338589</v>
      </c>
      <c r="P133" s="2">
        <f>P12/'Output-Calculation-sheet'!P11*'Output-Calculation-sheet'!P110</f>
        <v>977651166.62337577</v>
      </c>
      <c r="Q133" s="2">
        <f>Q12/'Output-Calculation-sheet'!Q11*'Output-Calculation-sheet'!Q110</f>
        <v>1405079653.8580334</v>
      </c>
      <c r="R133" s="2">
        <f>R12/'Output-Calculation-sheet'!R11*'Output-Calculation-sheet'!R110</f>
        <v>734893788.5499047</v>
      </c>
      <c r="S133" s="2">
        <f>S12/'Output-Calculation-sheet'!S11*'Output-Calculation-sheet'!S110</f>
        <v>854732850.54157591</v>
      </c>
      <c r="T133" s="2">
        <f>T12/'Output-Calculation-sheet'!T11*'Output-Calculation-sheet'!T110</f>
        <v>204625189.96830067</v>
      </c>
      <c r="U133" s="2">
        <f>U12/'Output-Calculation-sheet'!U11*'Output-Calculation-sheet'!U110</f>
        <v>473577027.81741416</v>
      </c>
      <c r="V133" s="2">
        <f>V12/'Output-Calculation-sheet'!V11*'Output-Calculation-sheet'!V110</f>
        <v>70817001.951607838</v>
      </c>
      <c r="W133" s="2">
        <f>W12/'Output-Calculation-sheet'!W11*'Output-Calculation-sheet'!W110</f>
        <v>141865457.85943359</v>
      </c>
      <c r="X133" s="2">
        <f>X12/'Output-Calculation-sheet'!X11*'Output-Calculation-sheet'!X110</f>
        <v>197301516.97176436</v>
      </c>
      <c r="Y133" s="2">
        <f>Y12/'Output-Calculation-sheet'!Y11*'Output-Calculation-sheet'!Y110</f>
        <v>139316825.27804416</v>
      </c>
      <c r="AA133" s="2">
        <f t="shared" si="11"/>
        <v>66381.667015354687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1062.4034465893317</v>
      </c>
      <c r="C19" s="2">
        <f>C8/'Output-Calculation-sheet'!C7*'Output-Calculation-sheet'!C25</f>
        <v>12157.28404407354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4766.5214646970444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3311.3220878533934</v>
      </c>
      <c r="N19" s="2">
        <f>N8/'Output-Calculation-sheet'!N7*'Output-Calculation-sheet'!N25</f>
        <v>1133.9252157217427</v>
      </c>
      <c r="O19" s="2">
        <f>O8/'Output-Calculation-sheet'!O7*'Output-Calculation-sheet'!O25</f>
        <v>1869.0041408054833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404.60241731275005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370.39532991939706</v>
      </c>
      <c r="Y19" s="2">
        <f>Y8/'Output-Calculation-sheet'!Y7*'Output-Calculation-sheet'!Y25</f>
        <v>0</v>
      </c>
      <c r="AA19" s="2">
        <f t="shared" si="0"/>
        <v>25.075458146972679</v>
      </c>
    </row>
    <row r="20" spans="1:27" x14ac:dyDescent="0.25">
      <c r="A20" s="2">
        <v>2032</v>
      </c>
      <c r="B20" s="2">
        <f>B9/'Output-Calculation-sheet'!B8*'Output-Calculation-sheet'!B26</f>
        <v>5979.2567118786374</v>
      </c>
      <c r="C20" s="2">
        <f>C9/'Output-Calculation-sheet'!C8*'Output-Calculation-sheet'!C26</f>
        <v>14140.633600500114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6496.5795214970221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4520.1166081695692</v>
      </c>
      <c r="N20" s="2">
        <f>N9/'Output-Calculation-sheet'!N8*'Output-Calculation-sheet'!N26</f>
        <v>2039.847550838291</v>
      </c>
      <c r="O20" s="2">
        <f>O9/'Output-Calculation-sheet'!O8*'Output-Calculation-sheet'!O26</f>
        <v>2240.3825693822532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737.54872074980631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505.69003137895339</v>
      </c>
      <c r="Y20" s="2">
        <f>Y9/'Output-Calculation-sheet'!Y8*'Output-Calculation-sheet'!Y26</f>
        <v>0</v>
      </c>
      <c r="AA20" s="2">
        <f t="shared" si="0"/>
        <v>36.660055314394647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16645.533995963535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8294.4622861403732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5760.585072323116</v>
      </c>
      <c r="N21" s="2">
        <f>N10/'Output-Calculation-sheet'!N9*'Output-Calculation-sheet'!N27</f>
        <v>3150.9702679976463</v>
      </c>
      <c r="O21" s="2">
        <f>O10/'Output-Calculation-sheet'!O9*'Output-Calculation-sheet'!O27</f>
        <v>2555.2939060806807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1371.7966767605014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677.44450158636153</v>
      </c>
      <c r="Y21" s="2">
        <f>Y10/'Output-Calculation-sheet'!Y9*'Output-Calculation-sheet'!Y27</f>
        <v>0</v>
      </c>
      <c r="AA21" s="2">
        <f t="shared" si="0"/>
        <v>53.017447627176715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19954.284420599088</v>
      </c>
      <c r="D22" s="2">
        <f>D11/'Output-Calculation-sheet'!D10*'Output-Calculation-sheet'!D28</f>
        <v>0</v>
      </c>
      <c r="E22" s="2">
        <f>E11/'Output-Calculation-sheet'!E10*'Output-Calculation-sheet'!E28</f>
        <v>1474.3628518628736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10510.191609079744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864.4045817125741</v>
      </c>
      <c r="M22" s="2">
        <f>M11/'Output-Calculation-sheet'!M10*'Output-Calculation-sheet'!M28</f>
        <v>7857.3826835950304</v>
      </c>
      <c r="N22" s="2">
        <f>N11/'Output-Calculation-sheet'!N10*'Output-Calculation-sheet'!N28</f>
        <v>4521.9675025728338</v>
      </c>
      <c r="O22" s="2">
        <f>O11/'Output-Calculation-sheet'!O10*'Output-Calculation-sheet'!O28</f>
        <v>3004.4966883835214</v>
      </c>
      <c r="P22" s="2">
        <f>P11/'Output-Calculation-sheet'!P10*'Output-Calculation-sheet'!P28</f>
        <v>0</v>
      </c>
      <c r="Q22" s="2">
        <f>Q11/'Output-Calculation-sheet'!Q10*'Output-Calculation-sheet'!Q28</f>
        <v>1306.0479407909475</v>
      </c>
      <c r="R22" s="2">
        <f>R11/'Output-Calculation-sheet'!R10*'Output-Calculation-sheet'!R28</f>
        <v>0</v>
      </c>
      <c r="S22" s="2">
        <f>S11/'Output-Calculation-sheet'!S10*'Output-Calculation-sheet'!S28</f>
        <v>2293.2800110192788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756.75267570758808</v>
      </c>
      <c r="Y22" s="2">
        <f>Y11/'Output-Calculation-sheet'!Y10*'Output-Calculation-sheet'!Y28</f>
        <v>78.967146502899169</v>
      </c>
      <c r="AA22" s="2">
        <f t="shared" si="0"/>
        <v>81.009463072114343</v>
      </c>
    </row>
    <row r="23" spans="1:27" x14ac:dyDescent="0.25">
      <c r="A23" s="2">
        <v>2035</v>
      </c>
      <c r="B23" s="2">
        <f>B12/'Output-Calculation-sheet'!B11*'Output-Calculation-sheet'!B29</f>
        <v>29889.354598846548</v>
      </c>
      <c r="C23" s="2">
        <f>C12/'Output-Calculation-sheet'!C11*'Output-Calculation-sheet'!C29</f>
        <v>25395.173600922426</v>
      </c>
      <c r="D23" s="2">
        <f>D12/'Output-Calculation-sheet'!D11*'Output-Calculation-sheet'!D29</f>
        <v>0</v>
      </c>
      <c r="E23" s="2">
        <f>E12/'Output-Calculation-sheet'!E11*'Output-Calculation-sheet'!E29</f>
        <v>5027.8011978686163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11023.137693881197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1819.4238157313318</v>
      </c>
      <c r="M23" s="2">
        <f>M12/'Output-Calculation-sheet'!M11*'Output-Calculation-sheet'!M29</f>
        <v>8355.94906566602</v>
      </c>
      <c r="N23" s="2">
        <f>N12/'Output-Calculation-sheet'!N11*'Output-Calculation-sheet'!N29</f>
        <v>4920.5831508283818</v>
      </c>
      <c r="O23" s="2">
        <f>O12/'Output-Calculation-sheet'!O11*'Output-Calculation-sheet'!O29</f>
        <v>3804.913909045064</v>
      </c>
      <c r="P23" s="2">
        <f>P12/'Output-Calculation-sheet'!P11*'Output-Calculation-sheet'!P29</f>
        <v>580.68953484265069</v>
      </c>
      <c r="Q23" s="2">
        <f>Q12/'Output-Calculation-sheet'!Q11*'Output-Calculation-sheet'!Q29</f>
        <v>1552.9277642870561</v>
      </c>
      <c r="R23" s="2">
        <f>R12/'Output-Calculation-sheet'!R11*'Output-Calculation-sheet'!R29</f>
        <v>0</v>
      </c>
      <c r="S23" s="2">
        <f>S12/'Output-Calculation-sheet'!S11*'Output-Calculation-sheet'!S29</f>
        <v>2365.8588152700986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783.30337185036365</v>
      </c>
      <c r="Y23" s="2">
        <f>Y12/'Output-Calculation-sheet'!Y11*'Output-Calculation-sheet'!Y29</f>
        <v>110.55597213890546</v>
      </c>
      <c r="AA23" s="2">
        <f t="shared" si="0"/>
        <v>95.629672491178653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18517.346956163343</v>
      </c>
      <c r="C30" s="2">
        <f>C8/'Output-Calculation-sheet'!C7*'Output-Calculation-sheet'!C16</f>
        <v>0</v>
      </c>
      <c r="D30" s="2">
        <f>D8/'Output-Calculation-sheet'!D7*'Output-Calculation-sheet'!D16</f>
        <v>3118.0764344784916</v>
      </c>
      <c r="E30" s="2">
        <f>E8/'Output-Calculation-sheet'!E7*'Output-Calculation-sheet'!E16</f>
        <v>3354.8740788592727</v>
      </c>
      <c r="F30" s="2">
        <f>F8/'Output-Calculation-sheet'!F7*'Output-Calculation-sheet'!F16</f>
        <v>1692.551824982618</v>
      </c>
      <c r="G30" s="2">
        <f>G8/'Output-Calculation-sheet'!G7*'Output-Calculation-sheet'!G16</f>
        <v>1108.420418249101</v>
      </c>
      <c r="H30" s="2">
        <f>H8/'Output-Calculation-sheet'!H7*'Output-Calculation-sheet'!H16</f>
        <v>0</v>
      </c>
      <c r="I30" s="2">
        <f>I8/'Output-Calculation-sheet'!I7*'Output-Calculation-sheet'!I16</f>
        <v>1080.5439425531615</v>
      </c>
      <c r="J30" s="2">
        <f>J8/'Output-Calculation-sheet'!J7*'Output-Calculation-sheet'!J16</f>
        <v>961.89187997831584</v>
      </c>
      <c r="K30" s="2">
        <f>K8/'Output-Calculation-sheet'!K7*'Output-Calculation-sheet'!K16</f>
        <v>1284.3095156006209</v>
      </c>
      <c r="L30" s="2">
        <f>L8/'Output-Calculation-sheet'!L7*'Output-Calculation-sheet'!L16</f>
        <v>1084.8239949056795</v>
      </c>
      <c r="M30" s="2">
        <f>M8/'Output-Calculation-sheet'!M7*'Output-Calculation-sheet'!M16</f>
        <v>0</v>
      </c>
      <c r="N30" s="2">
        <f>N8/'Output-Calculation-sheet'!N7*'Output-Calculation-sheet'!N16</f>
        <v>1540.9010896739892</v>
      </c>
      <c r="O30" s="2">
        <f>O8/'Output-Calculation-sheet'!O7*'Output-Calculation-sheet'!O16</f>
        <v>0</v>
      </c>
      <c r="P30" s="2">
        <f>P8/'Output-Calculation-sheet'!P7*'Output-Calculation-sheet'!P16</f>
        <v>1384.9113383965396</v>
      </c>
      <c r="Q30" s="2">
        <f>Q8/'Output-Calculation-sheet'!Q7*'Output-Calculation-sheet'!Q16</f>
        <v>1522.9450916462438</v>
      </c>
      <c r="R30" s="2">
        <f>R8/'Output-Calculation-sheet'!R7*'Output-Calculation-sheet'!R16</f>
        <v>966.31527995393321</v>
      </c>
      <c r="S30" s="2">
        <f>S8/'Output-Calculation-sheet'!S7*'Output-Calculation-sheet'!S16</f>
        <v>971.82981647185261</v>
      </c>
      <c r="T30" s="2">
        <f>T8/'Output-Calculation-sheet'!T7*'Output-Calculation-sheet'!T16</f>
        <v>290.07395699375024</v>
      </c>
      <c r="U30" s="2">
        <f>U8/'Output-Calculation-sheet'!U7*'Output-Calculation-sheet'!U16</f>
        <v>289.55545715123401</v>
      </c>
      <c r="V30" s="2">
        <f>V8/'Output-Calculation-sheet'!V7*'Output-Calculation-sheet'!V16</f>
        <v>225.35550829400415</v>
      </c>
      <c r="W30" s="2">
        <f>W8/'Output-Calculation-sheet'!W7*'Output-Calculation-sheet'!W16</f>
        <v>136.68947652296612</v>
      </c>
      <c r="X30" s="2">
        <f>X8/'Output-Calculation-sheet'!X7*'Output-Calculation-sheet'!X16</f>
        <v>0</v>
      </c>
      <c r="Y30" s="2">
        <f>Y8/'Output-Calculation-sheet'!Y7*'Output-Calculation-sheet'!Y16</f>
        <v>115.69210201273341</v>
      </c>
      <c r="AA30" s="2">
        <f t="shared" si="1"/>
        <v>39.647108162887847</v>
      </c>
    </row>
    <row r="31" spans="1:27" x14ac:dyDescent="0.25">
      <c r="A31" s="2">
        <v>2032</v>
      </c>
      <c r="B31" s="2">
        <f>B9/'Output-Calculation-sheet'!B8*'Output-Calculation-sheet'!B17</f>
        <v>25318.148389720234</v>
      </c>
      <c r="C31" s="2">
        <f>C9/'Output-Calculation-sheet'!C8*'Output-Calculation-sheet'!C17</f>
        <v>0</v>
      </c>
      <c r="D31" s="2">
        <f>D9/'Output-Calculation-sheet'!D8*'Output-Calculation-sheet'!D17</f>
        <v>4246.1859031176382</v>
      </c>
      <c r="E31" s="2">
        <f>E9/'Output-Calculation-sheet'!E8*'Output-Calculation-sheet'!E17</f>
        <v>4990.8113803225851</v>
      </c>
      <c r="F31" s="2">
        <f>F9/'Output-Calculation-sheet'!F8*'Output-Calculation-sheet'!F17</f>
        <v>2304.9674715369933</v>
      </c>
      <c r="G31" s="2">
        <f>G9/'Output-Calculation-sheet'!G8*'Output-Calculation-sheet'!G17</f>
        <v>1509.4659441931481</v>
      </c>
      <c r="H31" s="2">
        <f>H9/'Output-Calculation-sheet'!H8*'Output-Calculation-sheet'!H17</f>
        <v>0</v>
      </c>
      <c r="I31" s="2">
        <f>I9/'Output-Calculation-sheet'!I8*'Output-Calculation-sheet'!I17</f>
        <v>1471.5101737256446</v>
      </c>
      <c r="J31" s="2">
        <f>J9/'Output-Calculation-sheet'!J8*'Output-Calculation-sheet'!J17</f>
        <v>1309.9276878549144</v>
      </c>
      <c r="K31" s="2">
        <f>K9/'Output-Calculation-sheet'!K8*'Output-Calculation-sheet'!K17</f>
        <v>1864.9892227784455</v>
      </c>
      <c r="L31" s="2">
        <f>L9/'Output-Calculation-sheet'!L8*'Output-Calculation-sheet'!L17</f>
        <v>1590.5079502139633</v>
      </c>
      <c r="M31" s="2">
        <f>M9/'Output-Calculation-sheet'!M8*'Output-Calculation-sheet'!M17</f>
        <v>0</v>
      </c>
      <c r="N31" s="2">
        <f>N9/'Output-Calculation-sheet'!N8*'Output-Calculation-sheet'!N17</f>
        <v>1729.0448126043798</v>
      </c>
      <c r="O31" s="2">
        <f>O9/'Output-Calculation-sheet'!O8*'Output-Calculation-sheet'!O17</f>
        <v>0</v>
      </c>
      <c r="P31" s="2">
        <f>P9/'Output-Calculation-sheet'!P8*'Output-Calculation-sheet'!P17</f>
        <v>2146.0129793310434</v>
      </c>
      <c r="Q31" s="2">
        <f>Q9/'Output-Calculation-sheet'!Q8*'Output-Calculation-sheet'!Q17</f>
        <v>2287.8470050931437</v>
      </c>
      <c r="R31" s="2">
        <f>R9/'Output-Calculation-sheet'!R8*'Output-Calculation-sheet'!R17</f>
        <v>1496.8304220443267</v>
      </c>
      <c r="S31" s="2">
        <f>S9/'Output-Calculation-sheet'!S8*'Output-Calculation-sheet'!S17</f>
        <v>1292.5377005501789</v>
      </c>
      <c r="T31" s="2">
        <f>T9/'Output-Calculation-sheet'!T8*'Output-Calculation-sheet'!T17</f>
        <v>406.17587097412604</v>
      </c>
      <c r="U31" s="2">
        <f>U9/'Output-Calculation-sheet'!U8*'Output-Calculation-sheet'!U17</f>
        <v>466.82556525126097</v>
      </c>
      <c r="V31" s="2">
        <f>V9/'Output-Calculation-sheet'!V8*'Output-Calculation-sheet'!V17</f>
        <v>334.36500202277091</v>
      </c>
      <c r="W31" s="2">
        <f>W9/'Output-Calculation-sheet'!W8*'Output-Calculation-sheet'!W17</f>
        <v>186.14888572668326</v>
      </c>
      <c r="X31" s="2">
        <f>X9/'Output-Calculation-sheet'!X8*'Output-Calculation-sheet'!X17</f>
        <v>0</v>
      </c>
      <c r="Y31" s="2">
        <f>Y9/'Output-Calculation-sheet'!Y8*'Output-Calculation-sheet'!Y17</f>
        <v>179.86015324372917</v>
      </c>
      <c r="AA31" s="2">
        <f t="shared" si="1"/>
        <v>55.132162520305194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1773.3519009562037</v>
      </c>
      <c r="O32" s="2">
        <f>O10/'Output-Calculation-sheet'!O9*'Output-Calculation-sheet'!O18</f>
        <v>0</v>
      </c>
      <c r="P32" s="2">
        <f>P10/'Output-Calculation-sheet'!P9*'Output-Calculation-sheet'!P18</f>
        <v>2854.2839058321033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2049.2797067369447</v>
      </c>
      <c r="S32" s="2">
        <f>S10/'Output-Calculation-sheet'!S9*'Output-Calculation-sheet'!S18</f>
        <v>1341.2477815202151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661.54000295327933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69.903721784211129</v>
      </c>
    </row>
    <row r="33" spans="1:27" x14ac:dyDescent="0.25">
      <c r="A33" s="2">
        <v>2034</v>
      </c>
      <c r="B33" s="2">
        <f>B11/'Output-Calculation-sheet'!B10*'Output-Calculation-sheet'!B19</f>
        <v>28632.674907258348</v>
      </c>
      <c r="C33" s="2">
        <f>C11/'Output-Calculation-sheet'!C10*'Output-Calculation-sheet'!C19</f>
        <v>0</v>
      </c>
      <c r="D33" s="2">
        <f>D11/'Output-Calculation-sheet'!D10*'Output-Calculation-sheet'!D19</f>
        <v>8555.4535860174601</v>
      </c>
      <c r="E33" s="2">
        <f>E11/'Output-Calculation-sheet'!E10*'Output-Calculation-sheet'!E19</f>
        <v>10564.832147350709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2907.3924502296813</v>
      </c>
      <c r="H33" s="2">
        <f>H11/'Output-Calculation-sheet'!H10*'Output-Calculation-sheet'!H19</f>
        <v>0</v>
      </c>
      <c r="I33" s="2">
        <f>I11/'Output-Calculation-sheet'!I10*'Output-Calculation-sheet'!I19</f>
        <v>3176.7846180481874</v>
      </c>
      <c r="J33" s="2">
        <f>J11/'Output-Calculation-sheet'!J10*'Output-Calculation-sheet'!J19</f>
        <v>2682.8022759642431</v>
      </c>
      <c r="K33" s="2">
        <f>K11/'Output-Calculation-sheet'!K10*'Output-Calculation-sheet'!K19</f>
        <v>3722.1671810641406</v>
      </c>
      <c r="L33" s="2">
        <f>L11/'Output-Calculation-sheet'!L10*'Output-Calculation-sheet'!L19</f>
        <v>3030.1430629728716</v>
      </c>
      <c r="M33" s="2">
        <f>M11/'Output-Calculation-sheet'!M10*'Output-Calculation-sheet'!M19</f>
        <v>0</v>
      </c>
      <c r="N33" s="2">
        <f>N11/'Output-Calculation-sheet'!N10*'Output-Calculation-sheet'!N19</f>
        <v>1711.5951413655118</v>
      </c>
      <c r="O33" s="2">
        <f>O11/'Output-Calculation-sheet'!O10*'Output-Calculation-sheet'!O19</f>
        <v>0</v>
      </c>
      <c r="P33" s="2">
        <f>P11/'Output-Calculation-sheet'!P10*'Output-Calculation-sheet'!P19</f>
        <v>3768.8363599549589</v>
      </c>
      <c r="Q33" s="2">
        <f>Q11/'Output-Calculation-sheet'!Q10*'Output-Calculation-sheet'!Q19</f>
        <v>3070.1272493901356</v>
      </c>
      <c r="R33" s="2">
        <f>R11/'Output-Calculation-sheet'!R10*'Output-Calculation-sheet'!R19</f>
        <v>2688.7730945976627</v>
      </c>
      <c r="S33" s="2">
        <f>S11/'Output-Calculation-sheet'!S10*'Output-Calculation-sheet'!S19</f>
        <v>1256.7790228677661</v>
      </c>
      <c r="T33" s="2">
        <f>T11/'Output-Calculation-sheet'!T10*'Output-Calculation-sheet'!T19</f>
        <v>789.01477010085318</v>
      </c>
      <c r="U33" s="2">
        <f>U11/'Output-Calculation-sheet'!U10*'Output-Calculation-sheet'!U19</f>
        <v>845.41239959710958</v>
      </c>
      <c r="V33" s="2">
        <f>V11/'Output-Calculation-sheet'!V10*'Output-Calculation-sheet'!V19</f>
        <v>618.71293825891291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99.666429103918375</v>
      </c>
      <c r="Y33" s="2">
        <f>Y11/'Output-Calculation-sheet'!Y10*'Output-Calculation-sheet'!Y19</f>
        <v>347.23939027099266</v>
      </c>
      <c r="AA33" s="2">
        <f t="shared" si="1"/>
        <v>83.708450173620918</v>
      </c>
    </row>
    <row r="34" spans="1:27" x14ac:dyDescent="0.25">
      <c r="A34" s="2">
        <v>2035</v>
      </c>
      <c r="B34" s="2">
        <f>B12/'Output-Calculation-sheet'!B11*'Output-Calculation-sheet'!B20</f>
        <v>27339.586680494584</v>
      </c>
      <c r="C34" s="2">
        <f>C12/'Output-Calculation-sheet'!C11*'Output-Calculation-sheet'!C20</f>
        <v>0</v>
      </c>
      <c r="D34" s="2">
        <f>D12/'Output-Calculation-sheet'!D11*'Output-Calculation-sheet'!D20</f>
        <v>8799.429098052311</v>
      </c>
      <c r="E34" s="2">
        <f>E12/'Output-Calculation-sheet'!E11*'Output-Calculation-sheet'!E20</f>
        <v>9777.3974984783108</v>
      </c>
      <c r="F34" s="2">
        <f>F12/'Output-Calculation-sheet'!F11*'Output-Calculation-sheet'!F20</f>
        <v>5468.882748590845</v>
      </c>
      <c r="G34" s="2">
        <f>G12/'Output-Calculation-sheet'!G11*'Output-Calculation-sheet'!G20</f>
        <v>2952.0355798083124</v>
      </c>
      <c r="H34" s="2">
        <f>H12/'Output-Calculation-sheet'!H11*'Output-Calculation-sheet'!H20</f>
        <v>0</v>
      </c>
      <c r="I34" s="2">
        <f>I12/'Output-Calculation-sheet'!I11*'Output-Calculation-sheet'!I20</f>
        <v>3281.9647401928291</v>
      </c>
      <c r="J34" s="2">
        <f>J12/'Output-Calculation-sheet'!J11*'Output-Calculation-sheet'!J20</f>
        <v>3042.0579453697428</v>
      </c>
      <c r="K34" s="2">
        <f>K12/'Output-Calculation-sheet'!K11*'Output-Calculation-sheet'!K20</f>
        <v>4045.630531037425</v>
      </c>
      <c r="L34" s="2">
        <f>L12/'Output-Calculation-sheet'!L11*'Output-Calculation-sheet'!L20</f>
        <v>3228.5827717968241</v>
      </c>
      <c r="M34" s="2">
        <f>M12/'Output-Calculation-sheet'!M11*'Output-Calculation-sheet'!M20</f>
        <v>0</v>
      </c>
      <c r="N34" s="2">
        <f>N12/'Output-Calculation-sheet'!N11*'Output-Calculation-sheet'!N20</f>
        <v>1731.3549699854591</v>
      </c>
      <c r="O34" s="2">
        <f>O12/'Output-Calculation-sheet'!O11*'Output-Calculation-sheet'!O20</f>
        <v>0</v>
      </c>
      <c r="P34" s="2">
        <f>P12/'Output-Calculation-sheet'!P11*'Output-Calculation-sheet'!P20</f>
        <v>3687.6480345141395</v>
      </c>
      <c r="Q34" s="2">
        <f>Q12/'Output-Calculation-sheet'!Q11*'Output-Calculation-sheet'!Q20</f>
        <v>3075.464073679193</v>
      </c>
      <c r="R34" s="2">
        <f>R12/'Output-Calculation-sheet'!R11*'Output-Calculation-sheet'!R20</f>
        <v>3098.0629289372773</v>
      </c>
      <c r="S34" s="2">
        <f>S12/'Output-Calculation-sheet'!S11*'Output-Calculation-sheet'!S20</f>
        <v>1183.4499314495042</v>
      </c>
      <c r="T34" s="2">
        <f>T12/'Output-Calculation-sheet'!T11*'Output-Calculation-sheet'!T20</f>
        <v>939.67505569798129</v>
      </c>
      <c r="U34" s="2">
        <f>U12/'Output-Calculation-sheet'!U11*'Output-Calculation-sheet'!U20</f>
        <v>864.92556549873143</v>
      </c>
      <c r="V34" s="2">
        <f>V12/'Output-Calculation-sheet'!V11*'Output-Calculation-sheet'!V20</f>
        <v>851.58222555938835</v>
      </c>
      <c r="W34" s="2">
        <f>W12/'Output-Calculation-sheet'!W11*'Output-Calculation-sheet'!W20</f>
        <v>462.05046332990241</v>
      </c>
      <c r="X34" s="2">
        <f>X12/'Output-Calculation-sheet'!X11*'Output-Calculation-sheet'!X20</f>
        <v>97.551212460833014</v>
      </c>
      <c r="Y34" s="2">
        <f>Y12/'Output-Calculation-sheet'!Y11*'Output-Calculation-sheet'!Y20</f>
        <v>335.35287096548177</v>
      </c>
      <c r="AA34" s="2">
        <f t="shared" si="1"/>
        <v>84.262684925899066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1.0093661510515732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0.19609268890059001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1.2054588399521633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1.0996577148157587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0.21363391069122797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1.3132916255069866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1.1654388691576341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0.22641341931695755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1.3918522884745916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1.2123411413312457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0.37319636056086858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0.23552526902232865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0.22113063113598197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7.0554182689656297E-2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2.140918696804563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1.2431081852672343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0.2415024779555241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10.419497341680046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12130.101990707502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6759.3996137101994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4613.619279523421</v>
      </c>
      <c r="N52" s="2">
        <f>N8/'Output-Calculation-sheet'!N7*'Output-Calculation-sheet'!N43</f>
        <v>147.46170531355463</v>
      </c>
      <c r="O52" s="2">
        <f>O8/'Output-Calculation-sheet'!O7*'Output-Calculation-sheet'!O43</f>
        <v>567.63673102802375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594.59448392595505</v>
      </c>
      <c r="Y52" s="2">
        <f>Y8/'Output-Calculation-sheet'!Y7*'Output-Calculation-sheet'!Y43</f>
        <v>0</v>
      </c>
      <c r="AA52" s="2">
        <f t="shared" si="3"/>
        <v>24.812813804208655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16591.326925290392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13035.561735838639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8908.4454341142828</v>
      </c>
      <c r="N53" s="2">
        <f>N9/'Output-Calculation-sheet'!N8*'Output-Calculation-sheet'!N44</f>
        <v>3172.8909117372855</v>
      </c>
      <c r="O53" s="2">
        <f>O9/'Output-Calculation-sheet'!O8*'Output-Calculation-sheet'!O44</f>
        <v>1236.827904001846</v>
      </c>
      <c r="P53" s="2">
        <f>P9/'Output-Calculation-sheet'!P8*'Output-Calculation-sheet'!P44</f>
        <v>148.41415177302616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978.47140303309675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1114.0077461928922</v>
      </c>
      <c r="Y53" s="2">
        <f>Y9/'Output-Calculation-sheet'!Y8*'Output-Calculation-sheet'!Y44</f>
        <v>0</v>
      </c>
      <c r="AA53" s="2">
        <f t="shared" si="3"/>
        <v>45.185946211981459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24842.249579412724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2204.551714401955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493.81088787972323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105.97585530801808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37433.69138145601</v>
      </c>
      <c r="D55" s="2">
        <f>D11/'Output-Calculation-sheet'!D10*'Output-Calculation-sheet'!D46</f>
        <v>7442.1461967383048</v>
      </c>
      <c r="E55" s="2">
        <f>E11/'Output-Calculation-sheet'!E10*'Output-Calculation-sheet'!E46</f>
        <v>9283.5522079417206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24355.973005025106</v>
      </c>
      <c r="I55" s="2">
        <f>I11/'Output-Calculation-sheet'!I10*'Output-Calculation-sheet'!I46</f>
        <v>1793.2995825066071</v>
      </c>
      <c r="J55" s="2">
        <f>J11/'Output-Calculation-sheet'!J10*'Output-Calculation-sheet'!J46</f>
        <v>1323.5631168841151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17209.811419424634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3760.1402598301588</v>
      </c>
      <c r="P55" s="2">
        <f>P11/'Output-Calculation-sheet'!P10*'Output-Calculation-sheet'!P46</f>
        <v>4826.8593962629311</v>
      </c>
      <c r="Q55" s="2">
        <f>Q11/'Output-Calculation-sheet'!Q10*'Output-Calculation-sheet'!Q46</f>
        <v>3763.100214068465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6447.0381768656171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1151.1471912522868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1732.276276947505</v>
      </c>
      <c r="Y55" s="2">
        <f>Y11/'Output-Calculation-sheet'!Y10*'Output-Calculation-sheet'!Y46</f>
        <v>455.4787999653845</v>
      </c>
      <c r="AA55" s="2">
        <f t="shared" si="3"/>
        <v>229.56044574446301</v>
      </c>
    </row>
    <row r="56" spans="1:27" x14ac:dyDescent="0.25">
      <c r="A56" s="2">
        <v>2035</v>
      </c>
      <c r="B56" s="2">
        <f>B12/'Output-Calculation-sheet'!B11*'Output-Calculation-sheet'!B47</f>
        <v>85237.33084416826</v>
      </c>
      <c r="C56" s="2">
        <f>C12/'Output-Calculation-sheet'!C11*'Output-Calculation-sheet'!C47</f>
        <v>63572.988772876975</v>
      </c>
      <c r="D56" s="2">
        <f>D12/'Output-Calculation-sheet'!D11*'Output-Calculation-sheet'!D47</f>
        <v>8693.5608459724681</v>
      </c>
      <c r="E56" s="2">
        <f>E12/'Output-Calculation-sheet'!E11*'Output-Calculation-sheet'!E47</f>
        <v>21878.696390395387</v>
      </c>
      <c r="F56" s="2">
        <f>F12/'Output-Calculation-sheet'!F11*'Output-Calculation-sheet'!F47</f>
        <v>1207.0350638272032</v>
      </c>
      <c r="G56" s="2">
        <f>G12/'Output-Calculation-sheet'!G11*'Output-Calculation-sheet'!G47</f>
        <v>3222.5192962200749</v>
      </c>
      <c r="H56" s="2">
        <f>H12/'Output-Calculation-sheet'!H11*'Output-Calculation-sheet'!H47</f>
        <v>25209.055139194003</v>
      </c>
      <c r="I56" s="2">
        <f>I12/'Output-Calculation-sheet'!I11*'Output-Calculation-sheet'!I47</f>
        <v>2056.9742448385805</v>
      </c>
      <c r="J56" s="2">
        <f>J12/'Output-Calculation-sheet'!J11*'Output-Calculation-sheet'!J47</f>
        <v>3362.0375564790415</v>
      </c>
      <c r="K56" s="2">
        <f>K12/'Output-Calculation-sheet'!K11*'Output-Calculation-sheet'!K47</f>
        <v>4625.36313117382</v>
      </c>
      <c r="L56" s="2">
        <f>L12/'Output-Calculation-sheet'!L11*'Output-Calculation-sheet'!L47</f>
        <v>4968.7741256133513</v>
      </c>
      <c r="M56" s="2">
        <f>M12/'Output-Calculation-sheet'!M11*'Output-Calculation-sheet'!M47</f>
        <v>17715.858365649266</v>
      </c>
      <c r="N56" s="2">
        <f>N12/'Output-Calculation-sheet'!N11*'Output-Calculation-sheet'!N47</f>
        <v>14165.569660153495</v>
      </c>
      <c r="O56" s="2">
        <f>O12/'Output-Calculation-sheet'!O11*'Output-Calculation-sheet'!O47</f>
        <v>7012.0456318665329</v>
      </c>
      <c r="P56" s="2">
        <f>P12/'Output-Calculation-sheet'!P11*'Output-Calculation-sheet'!P47</f>
        <v>6144.7518404022048</v>
      </c>
      <c r="Q56" s="2">
        <f>Q12/'Output-Calculation-sheet'!Q11*'Output-Calculation-sheet'!Q47</f>
        <v>4475.1815126681049</v>
      </c>
      <c r="R56" s="2">
        <f>R12/'Output-Calculation-sheet'!R11*'Output-Calculation-sheet'!R47</f>
        <v>5207.2262538482773</v>
      </c>
      <c r="S56" s="2">
        <f>S12/'Output-Calculation-sheet'!S11*'Output-Calculation-sheet'!S47</f>
        <v>6597.6393482170006</v>
      </c>
      <c r="T56" s="2">
        <f>T12/'Output-Calculation-sheet'!T11*'Output-Calculation-sheet'!T47</f>
        <v>1707.5713522818019</v>
      </c>
      <c r="U56" s="2">
        <f>U12/'Output-Calculation-sheet'!U11*'Output-Calculation-sheet'!U47</f>
        <v>1193.0532988521982</v>
      </c>
      <c r="V56" s="2">
        <f>V12/'Output-Calculation-sheet'!V11*'Output-Calculation-sheet'!V47</f>
        <v>1174.4071881206082</v>
      </c>
      <c r="W56" s="2">
        <f>W12/'Output-Calculation-sheet'!W11*'Output-Calculation-sheet'!W47</f>
        <v>419.49117667785794</v>
      </c>
      <c r="X56" s="2">
        <f>X12/'Output-Calculation-sheet'!X11*'Output-Calculation-sheet'!X47</f>
        <v>1788.9076598703368</v>
      </c>
      <c r="Y56" s="2">
        <f>Y12/'Output-Calculation-sheet'!Y11*'Output-Calculation-sheet'!Y47</f>
        <v>545.28524510596333</v>
      </c>
      <c r="AA56" s="2">
        <f t="shared" si="3"/>
        <v>292.18132394447275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7.2116562909151201</v>
      </c>
      <c r="C63" s="2">
        <f>C8*'Output-Calculation-sheet'!C52/10^9</f>
        <v>4.5205342732988374</v>
      </c>
      <c r="D63" s="2">
        <f>D8*'Output-Calculation-sheet'!D52/10^9</f>
        <v>2.4730147504797255</v>
      </c>
      <c r="E63" s="2">
        <f>E8*'Output-Calculation-sheet'!E52/10^9</f>
        <v>2.4588523775789799</v>
      </c>
      <c r="F63" s="2">
        <f>F8*'Output-Calculation-sheet'!F52/10^9</f>
        <v>1.0413246077324059</v>
      </c>
      <c r="G63" s="2">
        <f>G8*'Output-Calculation-sheet'!G52/10^9</f>
        <v>0.74866444150158851</v>
      </c>
      <c r="H63" s="2">
        <f>H8*'Output-Calculation-sheet'!H52/10^9</f>
        <v>1.307762075940359</v>
      </c>
      <c r="I63" s="2">
        <f>I8*'Output-Calculation-sheet'!I52/10^9</f>
        <v>0.69643183738263015</v>
      </c>
      <c r="J63" s="2">
        <f>J8*'Output-Calculation-sheet'!J52/10^9</f>
        <v>0.95833834973187859</v>
      </c>
      <c r="K63" s="2">
        <f>K8*'Output-Calculation-sheet'!K52/10^9</f>
        <v>0.84198329691694285</v>
      </c>
      <c r="L63" s="2">
        <f>L8*'Output-Calculation-sheet'!L52/10^9</f>
        <v>1.1325064502424542</v>
      </c>
      <c r="M63" s="2">
        <f>M8*'Output-Calculation-sheet'!M52/10^9</f>
        <v>1.0614927998617283</v>
      </c>
      <c r="N63" s="2">
        <f>N8*'Output-Calculation-sheet'!N52/10^9</f>
        <v>0.88589831787949469</v>
      </c>
      <c r="O63" s="2">
        <f>O8*'Output-Calculation-sheet'!O52/10^9</f>
        <v>0.92816930763565653</v>
      </c>
      <c r="P63" s="2">
        <f>P8*'Output-Calculation-sheet'!P52/10^9</f>
        <v>0.58178881463011134</v>
      </c>
      <c r="Q63" s="2">
        <f>Q8*'Output-Calculation-sheet'!Q52/10^9</f>
        <v>0.65841085647534048</v>
      </c>
      <c r="R63" s="2">
        <f>R8*'Output-Calculation-sheet'!R52/10^9</f>
        <v>0.59112291587355237</v>
      </c>
      <c r="S63" s="2">
        <f>S8*'Output-Calculation-sheet'!S52/10^9</f>
        <v>0.43804563285052311</v>
      </c>
      <c r="T63" s="2">
        <f>T8*'Output-Calculation-sheet'!T52/10^9</f>
        <v>0.22473740575868592</v>
      </c>
      <c r="U63" s="2">
        <f>U8*'Output-Calculation-sheet'!U52/10^9</f>
        <v>0.15434715142967553</v>
      </c>
      <c r="V63" s="2">
        <f>V8*'Output-Calculation-sheet'!V52/10^9</f>
        <v>0.27392992834940266</v>
      </c>
      <c r="W63" s="2">
        <f>W8*'Output-Calculation-sheet'!W52/10^9</f>
        <v>9.9149991894484327E-2</v>
      </c>
      <c r="X63" s="2">
        <f>X8*'Output-Calculation-sheet'!X52/10^9</f>
        <v>0.11412754178048458</v>
      </c>
      <c r="Y63" s="2">
        <f>Y8*'Output-Calculation-sheet'!Y52/10^9</f>
        <v>6.4692549112002021E-2</v>
      </c>
      <c r="AA63" s="2">
        <f t="shared" si="4"/>
        <v>29.466981965252067</v>
      </c>
    </row>
    <row r="64" spans="1:27" x14ac:dyDescent="0.25">
      <c r="A64" s="2">
        <v>2032</v>
      </c>
      <c r="B64" s="2">
        <f>B9*'Output-Calculation-sheet'!B53/10^9</f>
        <v>7.4968658016528389</v>
      </c>
      <c r="C64" s="2">
        <f>C9*'Output-Calculation-sheet'!C53/10^9</f>
        <v>5.0019984575394192</v>
      </c>
      <c r="D64" s="2">
        <f>D9*'Output-Calculation-sheet'!D53/10^9</f>
        <v>2.2186207754452183</v>
      </c>
      <c r="E64" s="2">
        <f>E9*'Output-Calculation-sheet'!E53/10^9</f>
        <v>2.2719758427875125</v>
      </c>
      <c r="F64" s="2">
        <f>F9*'Output-Calculation-sheet'!F53/10^9</f>
        <v>0.95830596856428507</v>
      </c>
      <c r="G64" s="2">
        <f>G9*'Output-Calculation-sheet'!G53/10^9</f>
        <v>0.68209214821652808</v>
      </c>
      <c r="H64" s="2">
        <f>H9*'Output-Calculation-sheet'!H53/10^9</f>
        <v>1.4015164332314327</v>
      </c>
      <c r="I64" s="2">
        <f>I9*'Output-Calculation-sheet'!I53/10^9</f>
        <v>0.63764478596188212</v>
      </c>
      <c r="J64" s="2">
        <f>J9*'Output-Calculation-sheet'!J53/10^9</f>
        <v>0.84411296117253731</v>
      </c>
      <c r="K64" s="2">
        <f>K9*'Output-Calculation-sheet'!K53/10^9</f>
        <v>0.78321997175668767</v>
      </c>
      <c r="L64" s="2">
        <f>L9*'Output-Calculation-sheet'!L53/10^9</f>
        <v>1.0076060056976675</v>
      </c>
      <c r="M64" s="2">
        <f>M9*'Output-Calculation-sheet'!M53/10^9</f>
        <v>1.0984390973297449</v>
      </c>
      <c r="N64" s="2">
        <f>N9*'Output-Calculation-sheet'!N53/10^9</f>
        <v>0.9247023404732353</v>
      </c>
      <c r="O64" s="2">
        <f>O9*'Output-Calculation-sheet'!O53/10^9</f>
        <v>1.0181264083527177</v>
      </c>
      <c r="P64" s="2">
        <f>P9*'Output-Calculation-sheet'!P53/10^9</f>
        <v>0.59714196458406177</v>
      </c>
      <c r="Q64" s="2">
        <f>Q9*'Output-Calculation-sheet'!Q53/10^9</f>
        <v>0.6599420809841785</v>
      </c>
      <c r="R64" s="2">
        <f>R9*'Output-Calculation-sheet'!R53/10^9</f>
        <v>0.5657254389948807</v>
      </c>
      <c r="S64" s="2">
        <f>S9*'Output-Calculation-sheet'!S53/10^9</f>
        <v>0.46741564840189254</v>
      </c>
      <c r="T64" s="2">
        <f>T9*'Output-Calculation-sheet'!T53/10^9</f>
        <v>0.20336357026359417</v>
      </c>
      <c r="U64" s="2">
        <f>U9*'Output-Calculation-sheet'!U53/10^9</f>
        <v>0.15306744580180467</v>
      </c>
      <c r="V64" s="2">
        <f>V9*'Output-Calculation-sheet'!V53/10^9</f>
        <v>0.24137888987469139</v>
      </c>
      <c r="W64" s="2">
        <f>W9*'Output-Calculation-sheet'!W53/10^9</f>
        <v>8.9692044802186163E-2</v>
      </c>
      <c r="X64" s="2">
        <f>X9*'Output-Calculation-sheet'!X53/10^9</f>
        <v>0.1217452082361318</v>
      </c>
      <c r="Y64" s="2">
        <f>Y9*'Output-Calculation-sheet'!Y53/10^9</f>
        <v>6.2841163305412562E-2</v>
      </c>
      <c r="AA64" s="2">
        <f t="shared" si="4"/>
        <v>29.507540453430547</v>
      </c>
    </row>
    <row r="65" spans="1:27" x14ac:dyDescent="0.25">
      <c r="A65" s="2">
        <v>2033</v>
      </c>
      <c r="B65" s="2">
        <f>B10*'Output-Calculation-sheet'!B54/10^9</f>
        <v>7.9038512325728218</v>
      </c>
      <c r="C65" s="2">
        <f>C10*'Output-Calculation-sheet'!C54/10^9</f>
        <v>5.3437022003535688</v>
      </c>
      <c r="D65" s="2">
        <f>D10*'Output-Calculation-sheet'!D54/10^9</f>
        <v>1.8672828569054849</v>
      </c>
      <c r="E65" s="2">
        <f>E10*'Output-Calculation-sheet'!E54/10^9</f>
        <v>2.1025391435383267</v>
      </c>
      <c r="F65" s="2">
        <f>F10*'Output-Calculation-sheet'!F54/10^9</f>
        <v>0.85359491148771349</v>
      </c>
      <c r="G65" s="2">
        <f>G10*'Output-Calculation-sheet'!G54/10^9</f>
        <v>0.5860701184158793</v>
      </c>
      <c r="H65" s="2">
        <f>H10*'Output-Calculation-sheet'!H54/10^9</f>
        <v>1.4483640471717882</v>
      </c>
      <c r="I65" s="2">
        <f>I10*'Output-Calculation-sheet'!I54/10^9</f>
        <v>0.57067223750459883</v>
      </c>
      <c r="J65" s="2">
        <f>J10*'Output-Calculation-sheet'!J54/10^9</f>
        <v>0.68208060516270941</v>
      </c>
      <c r="K65" s="2">
        <f>K10*'Output-Calculation-sheet'!K54/10^9</f>
        <v>0.72768965347211834</v>
      </c>
      <c r="L65" s="2">
        <f>L10*'Output-Calculation-sheet'!L54/10^9</f>
        <v>0.85955452288470902</v>
      </c>
      <c r="M65" s="2">
        <f>M10*'Output-Calculation-sheet'!M54/10^9</f>
        <v>1.0935789302697367</v>
      </c>
      <c r="N65" s="2">
        <f>N10*'Output-Calculation-sheet'!N54/10^9</f>
        <v>0.94438044479304417</v>
      </c>
      <c r="O65" s="2">
        <f>O10*'Output-Calculation-sheet'!O54/10^9</f>
        <v>1.0809065220645215</v>
      </c>
      <c r="P65" s="2">
        <f>P10*'Output-Calculation-sheet'!P54/10^9</f>
        <v>0.61570800858205266</v>
      </c>
      <c r="Q65" s="2">
        <f>Q10*'Output-Calculation-sheet'!Q54/10^9</f>
        <v>0.6718700707602836</v>
      </c>
      <c r="R65" s="2">
        <f>R10*'Output-Calculation-sheet'!R54/10^9</f>
        <v>0.54206420344089912</v>
      </c>
      <c r="S65" s="2">
        <f>S10*'Output-Calculation-sheet'!S54/10^9</f>
        <v>0.49237829964755536</v>
      </c>
      <c r="T65" s="2">
        <f>T10*'Output-Calculation-sheet'!T54/10^9</f>
        <v>0.18123596020008895</v>
      </c>
      <c r="U65" s="2">
        <f>U10*'Output-Calculation-sheet'!U54/10^9</f>
        <v>0.15649532895007776</v>
      </c>
      <c r="V65" s="2">
        <f>V10*'Output-Calculation-sheet'!V54/10^9</f>
        <v>0.20056494667916464</v>
      </c>
      <c r="W65" s="2">
        <f>W10*'Output-Calculation-sheet'!W54/10^9</f>
        <v>7.636261878579273E-2</v>
      </c>
      <c r="X65" s="2">
        <f>X10*'Output-Calculation-sheet'!X54/10^9</f>
        <v>0.1257773693073011</v>
      </c>
      <c r="Y65" s="2">
        <f>Y10*'Output-Calculation-sheet'!Y54/10^9</f>
        <v>6.2850528366608829E-2</v>
      </c>
      <c r="AA65" s="2">
        <f t="shared" si="4"/>
        <v>29.189574761316855</v>
      </c>
    </row>
    <row r="66" spans="1:27" x14ac:dyDescent="0.25">
      <c r="A66" s="2">
        <v>2034</v>
      </c>
      <c r="B66" s="2">
        <f>B11*'Output-Calculation-sheet'!B55/10^9</f>
        <v>8.434102021994498</v>
      </c>
      <c r="C66" s="2">
        <f>C11*'Output-Calculation-sheet'!C55/10^9</f>
        <v>5.5632146296523617</v>
      </c>
      <c r="D66" s="2">
        <f>D11*'Output-Calculation-sheet'!D55/10^9</f>
        <v>1.7641556505139164</v>
      </c>
      <c r="E66" s="2">
        <f>E11*'Output-Calculation-sheet'!E55/10^9</f>
        <v>2.1362753295535706</v>
      </c>
      <c r="F66" s="2">
        <f>F11*'Output-Calculation-sheet'!F55/10^9</f>
        <v>0.82099774125960578</v>
      </c>
      <c r="G66" s="2">
        <f>G11*'Output-Calculation-sheet'!G55/10^9</f>
        <v>0.58683393737081913</v>
      </c>
      <c r="H66" s="2">
        <f>H11*'Output-Calculation-sheet'!H55/10^9</f>
        <v>1.5002745508567972</v>
      </c>
      <c r="I66" s="2">
        <f>I11*'Output-Calculation-sheet'!I55/10^9</f>
        <v>0.57385744621551871</v>
      </c>
      <c r="J66" s="2">
        <f>J11*'Output-Calculation-sheet'!J55/10^9</f>
        <v>0.59012360779881301</v>
      </c>
      <c r="K66" s="2">
        <f>K11*'Output-Calculation-sheet'!K55/10^9</f>
        <v>0.70582078793629333</v>
      </c>
      <c r="L66" s="2">
        <f>L11*'Output-Calculation-sheet'!L55/10^9</f>
        <v>0.74746955116068758</v>
      </c>
      <c r="M66" s="2">
        <f>M11*'Output-Calculation-sheet'!M55/10^9</f>
        <v>1.086915434688895</v>
      </c>
      <c r="N66" s="2">
        <f>N11*'Output-Calculation-sheet'!N55/10^9</f>
        <v>0.94967423979255761</v>
      </c>
      <c r="O66" s="2">
        <f>O11*'Output-Calculation-sheet'!O55/10^9</f>
        <v>1.1207348153802301</v>
      </c>
      <c r="P66" s="2">
        <f>P11*'Output-Calculation-sheet'!P55/10^9</f>
        <v>0.6528128534875125</v>
      </c>
      <c r="Q66" s="2">
        <f>Q11*'Output-Calculation-sheet'!Q55/10^9</f>
        <v>0.71100195687793455</v>
      </c>
      <c r="R66" s="2">
        <f>R11*'Output-Calculation-sheet'!R55/10^9</f>
        <v>0.52872522189137872</v>
      </c>
      <c r="S66" s="2">
        <f>S11*'Output-Calculation-sheet'!S55/10^9</f>
        <v>0.52025278646946793</v>
      </c>
      <c r="T66" s="2">
        <f>T11*'Output-Calculation-sheet'!T55/10^9</f>
        <v>0.16573227998309778</v>
      </c>
      <c r="U66" s="2">
        <f>U11*'Output-Calculation-sheet'!U55/10^9</f>
        <v>0.16852787153796772</v>
      </c>
      <c r="V66" s="2">
        <f>V11*'Output-Calculation-sheet'!V55/10^9</f>
        <v>0.15722612165621469</v>
      </c>
      <c r="W66" s="2">
        <f>W11*'Output-Calculation-sheet'!W55/10^9</f>
        <v>7.1188448512489233E-2</v>
      </c>
      <c r="X66" s="2">
        <f>X11*'Output-Calculation-sheet'!X55/10^9</f>
        <v>0.13389277328864035</v>
      </c>
      <c r="Y66" s="2">
        <f>Y11*'Output-Calculation-sheet'!Y55/10^9</f>
        <v>6.985725622336271E-2</v>
      </c>
      <c r="AA66" s="2">
        <f t="shared" si="4"/>
        <v>29.759667314102625</v>
      </c>
    </row>
    <row r="67" spans="1:27" x14ac:dyDescent="0.25">
      <c r="A67" s="2">
        <v>2035</v>
      </c>
      <c r="B67" s="2">
        <f>B12*'Output-Calculation-sheet'!B56/10^9</f>
        <v>8.9850656354726546</v>
      </c>
      <c r="C67" s="2">
        <f>C12*'Output-Calculation-sheet'!C56/10^9</f>
        <v>5.6666580938114732</v>
      </c>
      <c r="D67" s="2">
        <f>D12*'Output-Calculation-sheet'!D56/10^9</f>
        <v>1.8712662602912011</v>
      </c>
      <c r="E67" s="2">
        <f>E12*'Output-Calculation-sheet'!E56/10^9</f>
        <v>2.539061486686383</v>
      </c>
      <c r="F67" s="2">
        <f>F12*'Output-Calculation-sheet'!F56/10^9</f>
        <v>0.92731653167421713</v>
      </c>
      <c r="G67" s="2">
        <f>G12*'Output-Calculation-sheet'!G56/10^9</f>
        <v>0.64961216136462185</v>
      </c>
      <c r="H67" s="2">
        <f>H12*'Output-Calculation-sheet'!H56/10^9</f>
        <v>1.5678281610073272</v>
      </c>
      <c r="I67" s="2">
        <f>I12*'Output-Calculation-sheet'!I56/10^9</f>
        <v>0.63099837768712086</v>
      </c>
      <c r="J67" s="2">
        <f>J12*'Output-Calculation-sheet'!J56/10^9</f>
        <v>0.62509734154112651</v>
      </c>
      <c r="K67" s="2">
        <f>K12*'Output-Calculation-sheet'!K56/10^9</f>
        <v>0.7528459579465866</v>
      </c>
      <c r="L67" s="2">
        <f>L12*'Output-Calculation-sheet'!L56/10^9</f>
        <v>0.75628780692691655</v>
      </c>
      <c r="M67" s="2">
        <f>M12*'Output-Calculation-sheet'!M56/10^9</f>
        <v>1.1471461867368682</v>
      </c>
      <c r="N67" s="2">
        <f>N12*'Output-Calculation-sheet'!N56/10^9</f>
        <v>0.98504442319235264</v>
      </c>
      <c r="O67" s="2">
        <f>O12*'Output-Calculation-sheet'!O56/10^9</f>
        <v>1.1394687256554352</v>
      </c>
      <c r="P67" s="2">
        <f>P12*'Output-Calculation-sheet'!P56/10^9</f>
        <v>0.72914380563134351</v>
      </c>
      <c r="Q67" s="2">
        <f>Q12*'Output-Calculation-sheet'!Q56/10^9</f>
        <v>0.74982793336224307</v>
      </c>
      <c r="R67" s="2">
        <f>R12*'Output-Calculation-sheet'!R56/10^9</f>
        <v>0.57086704441136782</v>
      </c>
      <c r="S67" s="2">
        <f>S12*'Output-Calculation-sheet'!S56/10^9</f>
        <v>0.5440029643109856</v>
      </c>
      <c r="T67" s="2">
        <f>T12*'Output-Calculation-sheet'!T56/10^9</f>
        <v>0.17311821398119673</v>
      </c>
      <c r="U67" s="2">
        <f>U12*'Output-Calculation-sheet'!U56/10^9</f>
        <v>0.18078087308175683</v>
      </c>
      <c r="V67" s="2">
        <f>V12*'Output-Calculation-sheet'!V56/10^9</f>
        <v>0.13887110381094267</v>
      </c>
      <c r="W67" s="2">
        <f>W12*'Output-Calculation-sheet'!W56/10^9</f>
        <v>8.3786368148510607E-2</v>
      </c>
      <c r="X67" s="2">
        <f>X12*'Output-Calculation-sheet'!X56/10^9</f>
        <v>0.14246152599566778</v>
      </c>
      <c r="Y67" s="2">
        <f>Y12*'Output-Calculation-sheet'!Y56/10^9</f>
        <v>8.0942694260192308E-2</v>
      </c>
      <c r="AA67" s="2">
        <f t="shared" si="4"/>
        <v>31.637499676988497</v>
      </c>
    </row>
    <row r="68" spans="1:27" x14ac:dyDescent="0.25">
      <c r="B68" s="2">
        <f>SUM(B60:B67)</f>
        <v>57.665598181837666</v>
      </c>
      <c r="C68" s="2">
        <f t="shared" ref="C68:Y68" si="5">SUM(C60:C67)</f>
        <v>35.409493083409046</v>
      </c>
      <c r="D68" s="2">
        <f t="shared" si="5"/>
        <v>17.121401674155248</v>
      </c>
      <c r="E68" s="2">
        <f t="shared" si="5"/>
        <v>18.337555147226563</v>
      </c>
      <c r="F68" s="2">
        <f t="shared" si="5"/>
        <v>7.4310809623928664</v>
      </c>
      <c r="G68" s="2">
        <f t="shared" si="5"/>
        <v>5.3125167901604096</v>
      </c>
      <c r="H68" s="2">
        <f t="shared" si="5"/>
        <v>10.13039430463367</v>
      </c>
      <c r="I68" s="2">
        <f t="shared" si="5"/>
        <v>5.0138076301801195</v>
      </c>
      <c r="J68" s="2">
        <f t="shared" si="5"/>
        <v>6.4407611466520036</v>
      </c>
      <c r="K68" s="2">
        <f t="shared" si="5"/>
        <v>6.1188081532059435</v>
      </c>
      <c r="L68" s="2">
        <f t="shared" si="5"/>
        <v>7.7545097189818577</v>
      </c>
      <c r="M68" s="2">
        <f t="shared" si="5"/>
        <v>7.9792778193858789</v>
      </c>
      <c r="N68" s="2">
        <f t="shared" si="5"/>
        <v>6.8526666896943658</v>
      </c>
      <c r="O68" s="2">
        <f t="shared" si="5"/>
        <v>7.230005384785116</v>
      </c>
      <c r="P68" s="2">
        <f t="shared" si="5"/>
        <v>4.6408074374579167</v>
      </c>
      <c r="Q68" s="2">
        <f t="shared" si="5"/>
        <v>5.1225244578475797</v>
      </c>
      <c r="R68" s="2">
        <f t="shared" si="5"/>
        <v>4.4021786133624579</v>
      </c>
      <c r="S68" s="2">
        <f t="shared" si="5"/>
        <v>3.5098722443710617</v>
      </c>
      <c r="T68" s="2">
        <f t="shared" si="5"/>
        <v>1.5761458470884033</v>
      </c>
      <c r="U68" s="2">
        <f t="shared" si="5"/>
        <v>1.2237268275893616</v>
      </c>
      <c r="V68" s="2">
        <f t="shared" si="5"/>
        <v>1.8068560448132904</v>
      </c>
      <c r="W68" s="2">
        <f t="shared" si="5"/>
        <v>0.69521967995937983</v>
      </c>
      <c r="X68" s="2">
        <f t="shared" si="5"/>
        <v>0.89157963147907482</v>
      </c>
      <c r="Y68" s="2">
        <f t="shared" si="5"/>
        <v>0.5145300449315382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2780.7152052566412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1455.0425337819313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976.08055041787179</v>
      </c>
      <c r="N74" s="2">
        <f>N8/'Output-Calculation-sheet'!N7*'Output-Calculation-sheet'!N61</f>
        <v>40.533536248063328</v>
      </c>
      <c r="O74" s="2">
        <f>O8/'Output-Calculation-sheet'!O7*'Output-Calculation-sheet'!O61</f>
        <v>157.71700566048332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121.9412472934513</v>
      </c>
      <c r="Y74" s="2">
        <f>Y8/'Output-Calculation-sheet'!Y7*'Output-Calculation-sheet'!Y61</f>
        <v>0</v>
      </c>
      <c r="AA74" s="2">
        <f t="shared" si="6"/>
        <v>5.5320300786584422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3661.570806727314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2481.8640569586905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1683.7166192618979</v>
      </c>
      <c r="N75" s="2">
        <f>N9/'Output-Calculation-sheet'!N8*'Output-Calculation-sheet'!N62</f>
        <v>650.64345278663325</v>
      </c>
      <c r="O75" s="2">
        <f>O9/'Output-Calculation-sheet'!O8*'Output-Calculation-sheet'!O62</f>
        <v>318.03342967902017</v>
      </c>
      <c r="P75" s="2">
        <f>P9/'Output-Calculation-sheet'!P8*'Output-Calculation-sheet'!P62</f>
        <v>43.559553545383174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215.21766295419738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203.35236369790294</v>
      </c>
      <c r="Y75" s="2">
        <f>Y9/'Output-Calculation-sheet'!Y8*'Output-Calculation-sheet'!Y62</f>
        <v>0</v>
      </c>
      <c r="AA75" s="2">
        <f t="shared" si="6"/>
        <v>9.2579579456110412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5228.7312633277497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3612.1304306047118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2459.8819743431545</v>
      </c>
      <c r="N76" s="2">
        <f>N10/'Output-Calculation-sheet'!N9*'Output-Calculation-sheet'!N63</f>
        <v>1407.5420708536485</v>
      </c>
      <c r="O76" s="2">
        <f>O10/'Output-Calculation-sheet'!O9*'Output-Calculation-sheet'!O63</f>
        <v>519.87698807374386</v>
      </c>
      <c r="P76" s="2">
        <f>P10/'Output-Calculation-sheet'!P9*'Output-Calculation-sheet'!P63</f>
        <v>482.51359660693703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371.55907911446883</v>
      </c>
      <c r="S76" s="2">
        <f>S10/'Output-Calculation-sheet'!S9*'Output-Calculation-sheet'!S63</f>
        <v>624.14174584577381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132.04384151328406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289.66481076617993</v>
      </c>
      <c r="Y76" s="2">
        <f>Y10/'Output-Calculation-sheet'!Y9*'Output-Calculation-sheet'!Y63</f>
        <v>5.4949973780360022</v>
      </c>
      <c r="AA76" s="2">
        <f t="shared" si="6"/>
        <v>21.011586495421977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7302.1221165235665</v>
      </c>
      <c r="D77" s="2">
        <f>D11/'Output-Calculation-sheet'!D10*'Output-Calculation-sheet'!D64</f>
        <v>1708.8674937826943</v>
      </c>
      <c r="E77" s="2">
        <f>E11/'Output-Calculation-sheet'!E10*'Output-Calculation-sheet'!E64</f>
        <v>2130.7249664356564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905.68983621323514</v>
      </c>
      <c r="H77" s="2">
        <f>H11/'Output-Calculation-sheet'!H10*'Output-Calculation-sheet'!H64</f>
        <v>4531.6841224631989</v>
      </c>
      <c r="I77" s="2">
        <f>I11/'Output-Calculation-sheet'!I10*'Output-Calculation-sheet'!I64</f>
        <v>532.24523710632536</v>
      </c>
      <c r="J77" s="2">
        <f>J11/'Output-Calculation-sheet'!J10*'Output-Calculation-sheet'!J64</f>
        <v>372.76350328245348</v>
      </c>
      <c r="K77" s="2">
        <f>K11/'Output-Calculation-sheet'!K10*'Output-Calculation-sheet'!K64</f>
        <v>810.58511606120805</v>
      </c>
      <c r="L77" s="2">
        <f>L11/'Output-Calculation-sheet'!L10*'Output-Calculation-sheet'!L64</f>
        <v>333.64734143266872</v>
      </c>
      <c r="M77" s="2">
        <f>M11/'Output-Calculation-sheet'!M10*'Output-Calculation-sheet'!M64</f>
        <v>3236.8411545848207</v>
      </c>
      <c r="N77" s="2">
        <f>N11/'Output-Calculation-sheet'!N10*'Output-Calculation-sheet'!N64</f>
        <v>2278.938785042043</v>
      </c>
      <c r="O77" s="2">
        <f>O11/'Output-Calculation-sheet'!O10*'Output-Calculation-sheet'!O64</f>
        <v>829.93733174525994</v>
      </c>
      <c r="P77" s="2">
        <f>P11/'Output-Calculation-sheet'!P10*'Output-Calculation-sheet'!P64</f>
        <v>1010.4498373431096</v>
      </c>
      <c r="Q77" s="2">
        <f>Q11/'Output-Calculation-sheet'!Q10*'Output-Calculation-sheet'!Q64</f>
        <v>711.47810696813008</v>
      </c>
      <c r="R77" s="2">
        <f>R11/'Output-Calculation-sheet'!R10*'Output-Calculation-sheet'!R64</f>
        <v>860.77980237847578</v>
      </c>
      <c r="S77" s="2">
        <f>S11/'Output-Calculation-sheet'!S10*'Output-Calculation-sheet'!S64</f>
        <v>1145.999108997963</v>
      </c>
      <c r="T77" s="2">
        <f>T11/'Output-Calculation-sheet'!T10*'Output-Calculation-sheet'!T64</f>
        <v>237.24957057809419</v>
      </c>
      <c r="U77" s="2">
        <f>U11/'Output-Calculation-sheet'!U10*'Output-Calculation-sheet'!U64</f>
        <v>251.804164641347</v>
      </c>
      <c r="V77" s="2">
        <f>V11/'Output-Calculation-sheet'!V10*'Output-Calculation-sheet'!V64</f>
        <v>125.48636856348047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324.01474059497849</v>
      </c>
      <c r="Y77" s="2">
        <f>Y11/'Output-Calculation-sheet'!Y10*'Output-Calculation-sheet'!Y64</f>
        <v>78.797832394011522</v>
      </c>
      <c r="AA77" s="2">
        <f t="shared" si="6"/>
        <v>43.846764152002443</v>
      </c>
    </row>
    <row r="78" spans="1:27" x14ac:dyDescent="0.25">
      <c r="A78" s="2">
        <v>2035</v>
      </c>
      <c r="B78" s="2">
        <f>B12/'Output-Calculation-sheet'!B11*'Output-Calculation-sheet'!B65</f>
        <v>14763.749002820088</v>
      </c>
      <c r="C78" s="2">
        <f>C12/'Output-Calculation-sheet'!C11*'Output-Calculation-sheet'!C65</f>
        <v>11441.50231045303</v>
      </c>
      <c r="D78" s="2">
        <f>D12/'Output-Calculation-sheet'!D11*'Output-Calculation-sheet'!D65</f>
        <v>1972.1825754691099</v>
      </c>
      <c r="E78" s="2">
        <f>E12/'Output-Calculation-sheet'!E11*'Output-Calculation-sheet'!E65</f>
        <v>3417.45237617976</v>
      </c>
      <c r="F78" s="2">
        <f>F12/'Output-Calculation-sheet'!F11*'Output-Calculation-sheet'!F65</f>
        <v>437.33294432587223</v>
      </c>
      <c r="G78" s="2">
        <f>G12/'Output-Calculation-sheet'!G11*'Output-Calculation-sheet'!G65</f>
        <v>866.06072354542528</v>
      </c>
      <c r="H78" s="2">
        <f>H12/'Output-Calculation-sheet'!H11*'Output-Calculation-sheet'!H65</f>
        <v>4696.2690656512332</v>
      </c>
      <c r="I78" s="2">
        <f>I12/'Output-Calculation-sheet'!I11*'Output-Calculation-sheet'!I65</f>
        <v>573.58415154559441</v>
      </c>
      <c r="J78" s="2">
        <f>J12/'Output-Calculation-sheet'!J11*'Output-Calculation-sheet'!J65</f>
        <v>830.20736578155856</v>
      </c>
      <c r="K78" s="2">
        <f>K12/'Output-Calculation-sheet'!K11*'Output-Calculation-sheet'!K65</f>
        <v>1040.4616521627891</v>
      </c>
      <c r="L78" s="2">
        <f>L12/'Output-Calculation-sheet'!L11*'Output-Calculation-sheet'!L65</f>
        <v>882.61503916593631</v>
      </c>
      <c r="M78" s="2">
        <f>M12/'Output-Calculation-sheet'!M11*'Output-Calculation-sheet'!M65</f>
        <v>3421.978571637595</v>
      </c>
      <c r="N78" s="2">
        <f>N12/'Output-Calculation-sheet'!N11*'Output-Calculation-sheet'!N65</f>
        <v>2427.2158783070699</v>
      </c>
      <c r="O78" s="2">
        <f>O12/'Output-Calculation-sheet'!O11*'Output-Calculation-sheet'!O65</f>
        <v>1362.6247707943178</v>
      </c>
      <c r="P78" s="2">
        <f>P12/'Output-Calculation-sheet'!P11*'Output-Calculation-sheet'!P65</f>
        <v>1191.7882511480427</v>
      </c>
      <c r="Q78" s="2">
        <f>Q12/'Output-Calculation-sheet'!Q11*'Output-Calculation-sheet'!Q65</f>
        <v>820.43005429354071</v>
      </c>
      <c r="R78" s="2">
        <f>R12/'Output-Calculation-sheet'!R11*'Output-Calculation-sheet'!R65</f>
        <v>1110.5987933681101</v>
      </c>
      <c r="S78" s="2">
        <f>S12/'Output-Calculation-sheet'!S11*'Output-Calculation-sheet'!S65</f>
        <v>1157.293609773141</v>
      </c>
      <c r="T78" s="2">
        <f>T12/'Output-Calculation-sheet'!T11*'Output-Calculation-sheet'!T65</f>
        <v>383.10165992924067</v>
      </c>
      <c r="U78" s="2">
        <f>U12/'Output-Calculation-sheet'!U11*'Output-Calculation-sheet'!U65</f>
        <v>262.09731008454594</v>
      </c>
      <c r="V78" s="2">
        <f>V12/'Output-Calculation-sheet'!V11*'Output-Calculation-sheet'!V65</f>
        <v>215.11224995742475</v>
      </c>
      <c r="W78" s="2">
        <f>W12/'Output-Calculation-sheet'!W11*'Output-Calculation-sheet'!W65</f>
        <v>103.59313421636638</v>
      </c>
      <c r="X78" s="2">
        <f>X12/'Output-Calculation-sheet'!X11*'Output-Calculation-sheet'!X65</f>
        <v>334.99956487789996</v>
      </c>
      <c r="Y78" s="2">
        <f>Y12/'Output-Calculation-sheet'!Y11*'Output-Calculation-sheet'!Y65</f>
        <v>91.65682568408937</v>
      </c>
      <c r="AA78" s="2">
        <f t="shared" si="6"/>
        <v>53.803907881171789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265.62267132936137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68.804452245821054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0.33442712357518239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482.30601527006957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93.699083636503502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0.57600509890657303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613.38887850401784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119.16495753524082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0.73255383603925861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638.07428491118196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32.736522856216538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123.96066790648875</v>
      </c>
      <c r="P88" s="2">
        <f>P11/'Output-Calculation-sheet'!P10*'Output-Calculation-sheet'!P73</f>
        <v>0</v>
      </c>
      <c r="Q88" s="2">
        <f>Q11/'Output-Calculation-sheet'!Q10*'Output-Calculation-sheet'!Q73</f>
        <v>19.397423783858066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6.188963393829499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2.4711501810948717</v>
      </c>
      <c r="Y88" s="2">
        <f>Y11/'Output-Calculation-sheet'!Y10*'Output-Calculation-sheet'!Y73</f>
        <v>0</v>
      </c>
      <c r="AA88" s="2">
        <f t="shared" si="7"/>
        <v>0.82282901303266964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545.22288827510272</v>
      </c>
      <c r="D89" s="2">
        <f>D12/'Output-Calculation-sheet'!D11*'Output-Calculation-sheet'!D74</f>
        <v>96.595120510805202</v>
      </c>
      <c r="E89" s="2">
        <f>E12/'Output-Calculation-sheet'!E11*'Output-Calculation-sheet'!E74</f>
        <v>153.53471151154659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34.650745120645965</v>
      </c>
      <c r="H89" s="2">
        <f>H12/'Output-Calculation-sheet'!H11*'Output-Calculation-sheet'!H74</f>
        <v>67.134634192260989</v>
      </c>
      <c r="I89" s="2">
        <f>I12/'Output-Calculation-sheet'!I11*'Output-Calculation-sheet'!I74</f>
        <v>31.166276436948188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30.631543915058412</v>
      </c>
      <c r="L89" s="2">
        <f>L12/'Output-Calculation-sheet'!L11*'Output-Calculation-sheet'!L74</f>
        <v>24.356735909869368</v>
      </c>
      <c r="M89" s="2">
        <f>M12/'Output-Calculation-sheet'!M11*'Output-Calculation-sheet'!M74</f>
        <v>46.195197824378788</v>
      </c>
      <c r="N89" s="2">
        <f>N12/'Output-Calculation-sheet'!N11*'Output-Calculation-sheet'!N74</f>
        <v>22.701233429733165</v>
      </c>
      <c r="O89" s="2">
        <f>O12/'Output-Calculation-sheet'!O11*'Output-Calculation-sheet'!O74</f>
        <v>105.92213945417724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19.889695611858244</v>
      </c>
      <c r="R89" s="2">
        <f>R12/'Output-Calculation-sheet'!R11*'Output-Calculation-sheet'!R74</f>
        <v>19.724341870637414</v>
      </c>
      <c r="S89" s="2">
        <f>S12/'Output-Calculation-sheet'!S11*'Output-Calculation-sheet'!S74</f>
        <v>26.026190722749508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6.346028185384033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10.135454163571314</v>
      </c>
      <c r="Y89" s="2">
        <f>Y12/'Output-Calculation-sheet'!Y11*'Output-Calculation-sheet'!Y74</f>
        <v>4.890450628753034</v>
      </c>
      <c r="AA89" s="2">
        <f t="shared" si="7"/>
        <v>1.84212126732362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8232300339.0734215</v>
      </c>
      <c r="C96" s="2">
        <f>C8/'Output-Calculation-sheet'!C7*'Output-Calculation-sheet'!C79</f>
        <v>1987962571.8563533</v>
      </c>
      <c r="D96" s="2">
        <f>D8/'Output-Calculation-sheet'!D7*'Output-Calculation-sheet'!D79</f>
        <v>1613929852.8431726</v>
      </c>
      <c r="E96" s="2">
        <f>E8/'Output-Calculation-sheet'!E7*'Output-Calculation-sheet'!E79</f>
        <v>6046808035.3576555</v>
      </c>
      <c r="F96" s="2">
        <f>F8/'Output-Calculation-sheet'!F7*'Output-Calculation-sheet'!F79</f>
        <v>1763946431.8308854</v>
      </c>
      <c r="G96" s="2">
        <f>G8/'Output-Calculation-sheet'!G7*'Output-Calculation-sheet'!G79</f>
        <v>1132199575.6481159</v>
      </c>
      <c r="H96" s="2">
        <f>H8/'Output-Calculation-sheet'!H7*'Output-Calculation-sheet'!H79</f>
        <v>1394830456.1584475</v>
      </c>
      <c r="I96" s="2">
        <f>I8/'Output-Calculation-sheet'!I7*'Output-Calculation-sheet'!I79</f>
        <v>814161606.48509324</v>
      </c>
      <c r="J96" s="2">
        <f>J8/'Output-Calculation-sheet'!J7*'Output-Calculation-sheet'!J79</f>
        <v>616974988.11861932</v>
      </c>
      <c r="K96" s="2">
        <f>K8/'Output-Calculation-sheet'!K7*'Output-Calculation-sheet'!K79</f>
        <v>773766574.7078979</v>
      </c>
      <c r="L96" s="2">
        <f>L8/'Output-Calculation-sheet'!L7*'Output-Calculation-sheet'!L79</f>
        <v>702446527.38368869</v>
      </c>
      <c r="M96" s="2">
        <f>M8/'Output-Calculation-sheet'!M7*'Output-Calculation-sheet'!M79</f>
        <v>1076245225.7043118</v>
      </c>
      <c r="N96" s="2">
        <f>N8/'Output-Calculation-sheet'!N7*'Output-Calculation-sheet'!N79</f>
        <v>699632060.86015999</v>
      </c>
      <c r="O96" s="2">
        <f>O8/'Output-Calculation-sheet'!O7*'Output-Calculation-sheet'!O79</f>
        <v>262517023.13209748</v>
      </c>
      <c r="P96" s="2">
        <f>P8/'Output-Calculation-sheet'!P7*'Output-Calculation-sheet'!P79</f>
        <v>1332455707.7915032</v>
      </c>
      <c r="Q96" s="2">
        <f>Q8/'Output-Calculation-sheet'!Q7*'Output-Calculation-sheet'!Q79</f>
        <v>565718360.40932953</v>
      </c>
      <c r="R96" s="2">
        <f>R8/'Output-Calculation-sheet'!R7*'Output-Calculation-sheet'!R79</f>
        <v>750866659.10044134</v>
      </c>
      <c r="S96" s="2">
        <f>S8/'Output-Calculation-sheet'!S7*'Output-Calculation-sheet'!S79</f>
        <v>423459349.77992398</v>
      </c>
      <c r="T96" s="2">
        <f>T8/'Output-Calculation-sheet'!T7*'Output-Calculation-sheet'!T79</f>
        <v>255465294.56986952</v>
      </c>
      <c r="U96" s="2">
        <f>U8/'Output-Calculation-sheet'!U7*'Output-Calculation-sheet'!U79</f>
        <v>201082852.29880744</v>
      </c>
      <c r="V96" s="2">
        <f>V8/'Output-Calculation-sheet'!V7*'Output-Calculation-sheet'!V79</f>
        <v>92290427.208946884</v>
      </c>
      <c r="W96" s="2">
        <f>W8/'Output-Calculation-sheet'!W7*'Output-Calculation-sheet'!W79</f>
        <v>284151614.15107697</v>
      </c>
      <c r="X96" s="2">
        <f>X8/'Output-Calculation-sheet'!X7*'Output-Calculation-sheet'!X79</f>
        <v>128158668.74916078</v>
      </c>
      <c r="Y96" s="2">
        <f>Y8/'Output-Calculation-sheet'!Y7*'Output-Calculation-sheet'!Y79</f>
        <v>176369800.10834947</v>
      </c>
      <c r="AA96" s="2">
        <f t="shared" si="8"/>
        <v>31.327740003327332</v>
      </c>
    </row>
    <row r="97" spans="1:27" x14ac:dyDescent="0.25">
      <c r="A97" s="2">
        <v>2032</v>
      </c>
      <c r="B97" s="2">
        <f>B9/'Output-Calculation-sheet'!B8*'Output-Calculation-sheet'!B80</f>
        <v>10280279144.159357</v>
      </c>
      <c r="C97" s="2">
        <f>C9/'Output-Calculation-sheet'!C8*'Output-Calculation-sheet'!C80</f>
        <v>2428015295.9522786</v>
      </c>
      <c r="D97" s="2">
        <f>D9/'Output-Calculation-sheet'!D8*'Output-Calculation-sheet'!D80</f>
        <v>1854740633.2753787</v>
      </c>
      <c r="E97" s="2">
        <f>E9/'Output-Calculation-sheet'!E8*'Output-Calculation-sheet'!E80</f>
        <v>7808185624.1745071</v>
      </c>
      <c r="F97" s="2">
        <f>F9/'Output-Calculation-sheet'!F8*'Output-Calculation-sheet'!F80</f>
        <v>2141274121.2403283</v>
      </c>
      <c r="G97" s="2">
        <f>G9/'Output-Calculation-sheet'!G8*'Output-Calculation-sheet'!G80</f>
        <v>1312055263.0339575</v>
      </c>
      <c r="H97" s="2">
        <f>H9/'Output-Calculation-sheet'!H8*'Output-Calculation-sheet'!H80</f>
        <v>1717948960.7879252</v>
      </c>
      <c r="I97" s="2">
        <f>I9/'Output-Calculation-sheet'!I8*'Output-Calculation-sheet'!I80</f>
        <v>989538347.07126462</v>
      </c>
      <c r="J97" s="2">
        <f>J9/'Output-Calculation-sheet'!J8*'Output-Calculation-sheet'!J80</f>
        <v>739460168.861305</v>
      </c>
      <c r="K97" s="2">
        <f>K9/'Output-Calculation-sheet'!K8*'Output-Calculation-sheet'!K80</f>
        <v>912004577.67453802</v>
      </c>
      <c r="L97" s="2">
        <f>L9/'Output-Calculation-sheet'!L8*'Output-Calculation-sheet'!L80</f>
        <v>879689502.21540213</v>
      </c>
      <c r="M97" s="2">
        <f>M9/'Output-Calculation-sheet'!M8*'Output-Calculation-sheet'!M80</f>
        <v>1355346416.8290138</v>
      </c>
      <c r="N97" s="2">
        <f>N9/'Output-Calculation-sheet'!N8*'Output-Calculation-sheet'!N80</f>
        <v>851572392.61705053</v>
      </c>
      <c r="O97" s="2">
        <f>O9/'Output-Calculation-sheet'!O8*'Output-Calculation-sheet'!O80</f>
        <v>316544926.03637069</v>
      </c>
      <c r="P97" s="2">
        <f>P9/'Output-Calculation-sheet'!P8*'Output-Calculation-sheet'!P80</f>
        <v>1596484166.4679229</v>
      </c>
      <c r="Q97" s="2">
        <f>Q9/'Output-Calculation-sheet'!Q8*'Output-Calculation-sheet'!Q80</f>
        <v>690536136.37044787</v>
      </c>
      <c r="R97" s="2">
        <f>R9/'Output-Calculation-sheet'!R8*'Output-Calculation-sheet'!R80</f>
        <v>925321489.02440012</v>
      </c>
      <c r="S97" s="2">
        <f>S9/'Output-Calculation-sheet'!S8*'Output-Calculation-sheet'!S80</f>
        <v>514999659.35838878</v>
      </c>
      <c r="T97" s="2">
        <f>T9/'Output-Calculation-sheet'!T8*'Output-Calculation-sheet'!T80</f>
        <v>300294118.9615441</v>
      </c>
      <c r="U97" s="2">
        <f>U9/'Output-Calculation-sheet'!U8*'Output-Calculation-sheet'!U80</f>
        <v>238950547.0662545</v>
      </c>
      <c r="V97" s="2">
        <f>V9/'Output-Calculation-sheet'!V8*'Output-Calculation-sheet'!V80</f>
        <v>110218338.44252524</v>
      </c>
      <c r="W97" s="2">
        <f>W9/'Output-Calculation-sheet'!W8*'Output-Calculation-sheet'!W80</f>
        <v>341066762.28411067</v>
      </c>
      <c r="X97" s="2">
        <f>X9/'Output-Calculation-sheet'!X8*'Output-Calculation-sheet'!X80</f>
        <v>165189887.75367987</v>
      </c>
      <c r="Y97" s="2">
        <f>Y9/'Output-Calculation-sheet'!Y8*'Output-Calculation-sheet'!Y80</f>
        <v>216845574.97369698</v>
      </c>
      <c r="AA97" s="2">
        <f t="shared" si="8"/>
        <v>38.686562054631651</v>
      </c>
    </row>
    <row r="98" spans="1:27" x14ac:dyDescent="0.25">
      <c r="A98" s="2">
        <v>2033</v>
      </c>
      <c r="B98" s="2">
        <f>B10/'Output-Calculation-sheet'!B9*'Output-Calculation-sheet'!B81</f>
        <v>11926484266.83622</v>
      </c>
      <c r="C98" s="2">
        <f>C10/'Output-Calculation-sheet'!C9*'Output-Calculation-sheet'!C81</f>
        <v>2761705729.5397301</v>
      </c>
      <c r="D98" s="2">
        <f>D10/'Output-Calculation-sheet'!D9*'Output-Calculation-sheet'!D81</f>
        <v>1986762968.3495598</v>
      </c>
      <c r="E98" s="2">
        <f>E10/'Output-Calculation-sheet'!E9*'Output-Calculation-sheet'!E81</f>
        <v>9378280838.6863117</v>
      </c>
      <c r="F98" s="2">
        <f>F10/'Output-Calculation-sheet'!F9*'Output-Calculation-sheet'!F81</f>
        <v>2416319254.7480264</v>
      </c>
      <c r="G98" s="2">
        <f>G10/'Output-Calculation-sheet'!G9*'Output-Calculation-sheet'!G81</f>
        <v>1411663239.5722516</v>
      </c>
      <c r="H98" s="2">
        <f>H10/'Output-Calculation-sheet'!H9*'Output-Calculation-sheet'!H81</f>
        <v>1965251973.3172858</v>
      </c>
      <c r="I98" s="2">
        <f>I10/'Output-Calculation-sheet'!I9*'Output-Calculation-sheet'!I81</f>
        <v>1119983044.9378936</v>
      </c>
      <c r="J98" s="2">
        <f>J10/'Output-Calculation-sheet'!J9*'Output-Calculation-sheet'!J81</f>
        <v>826204485.06108963</v>
      </c>
      <c r="K98" s="2">
        <f>K10/'Output-Calculation-sheet'!K9*'Output-Calculation-sheet'!K81</f>
        <v>1000492054.89359</v>
      </c>
      <c r="L98" s="2">
        <f>L10/'Output-Calculation-sheet'!L9*'Output-Calculation-sheet'!L81</f>
        <v>1025404070.9312252</v>
      </c>
      <c r="M98" s="2">
        <f>M10/'Output-Calculation-sheet'!M9*'Output-Calculation-sheet'!M81</f>
        <v>1589010303.4889455</v>
      </c>
      <c r="N98" s="2">
        <f>N10/'Output-Calculation-sheet'!N9*'Output-Calculation-sheet'!N81</f>
        <v>965665802.56895185</v>
      </c>
      <c r="O98" s="2">
        <f>O10/'Output-Calculation-sheet'!O9*'Output-Calculation-sheet'!O81</f>
        <v>356166580.54572964</v>
      </c>
      <c r="P98" s="2">
        <f>P10/'Output-Calculation-sheet'!P9*'Output-Calculation-sheet'!P81</f>
        <v>1766945876.3831792</v>
      </c>
      <c r="Q98" s="2">
        <f>Q10/'Output-Calculation-sheet'!Q9*'Output-Calculation-sheet'!Q81</f>
        <v>785113001.34392643</v>
      </c>
      <c r="R98" s="2">
        <f>R10/'Output-Calculation-sheet'!R9*'Output-Calculation-sheet'!R81</f>
        <v>1059725400.7315863</v>
      </c>
      <c r="S98" s="2">
        <f>S10/'Output-Calculation-sheet'!S9*'Output-Calculation-sheet'!S81</f>
        <v>582001350.46742785</v>
      </c>
      <c r="T98" s="2">
        <f>T10/'Output-Calculation-sheet'!T9*'Output-Calculation-sheet'!T81</f>
        <v>327908675.34442121</v>
      </c>
      <c r="U98" s="2">
        <f>U10/'Output-Calculation-sheet'!U9*'Output-Calculation-sheet'!U81</f>
        <v>263484222.32346404</v>
      </c>
      <c r="V98" s="2">
        <f>V10/'Output-Calculation-sheet'!V9*'Output-Calculation-sheet'!V81</f>
        <v>122374747.34820694</v>
      </c>
      <c r="W98" s="2">
        <f>W10/'Output-Calculation-sheet'!W9*'Output-Calculation-sheet'!W81</f>
        <v>378441299.98139328</v>
      </c>
      <c r="X98" s="2">
        <f>X10/'Output-Calculation-sheet'!X9*'Output-Calculation-sheet'!X81</f>
        <v>198392981.55187494</v>
      </c>
      <c r="Y98" s="2">
        <f>Y10/'Output-Calculation-sheet'!Y9*'Output-Calculation-sheet'!Y81</f>
        <v>246994744.89038691</v>
      </c>
      <c r="AA98" s="2">
        <f t="shared" si="8"/>
        <v>44.460776913842672</v>
      </c>
    </row>
    <row r="99" spans="1:27" x14ac:dyDescent="0.25">
      <c r="A99" s="2">
        <v>2034</v>
      </c>
      <c r="B99" s="2">
        <f>B11/'Output-Calculation-sheet'!B10*'Output-Calculation-sheet'!B82</f>
        <v>13133963569.916643</v>
      </c>
      <c r="C99" s="2">
        <f>C11/'Output-Calculation-sheet'!C10*'Output-Calculation-sheet'!C82</f>
        <v>2989721521.4655981</v>
      </c>
      <c r="D99" s="2">
        <f>D11/'Output-Calculation-sheet'!D10*'Output-Calculation-sheet'!D82</f>
        <v>2028014984.0135038</v>
      </c>
      <c r="E99" s="2">
        <f>E11/'Output-Calculation-sheet'!E10*'Output-Calculation-sheet'!E82</f>
        <v>10703516438.560316</v>
      </c>
      <c r="F99" s="2">
        <f>F11/'Output-Calculation-sheet'!F10*'Output-Calculation-sheet'!F82</f>
        <v>2590852359.1403613</v>
      </c>
      <c r="G99" s="2">
        <f>G11/'Output-Calculation-sheet'!G10*'Output-Calculation-sheet'!G82</f>
        <v>1441965613.8374741</v>
      </c>
      <c r="H99" s="2">
        <f>H11/'Output-Calculation-sheet'!H10*'Output-Calculation-sheet'!H82</f>
        <v>2133733168.5148807</v>
      </c>
      <c r="I99" s="2">
        <f>I11/'Output-Calculation-sheet'!I10*'Output-Calculation-sheet'!I82</f>
        <v>1206534390.7030995</v>
      </c>
      <c r="J99" s="2">
        <f>J11/'Output-Calculation-sheet'!J10*'Output-Calculation-sheet'!J82</f>
        <v>879557625.59617686</v>
      </c>
      <c r="K99" s="2">
        <f>K11/'Output-Calculation-sheet'!K10*'Output-Calculation-sheet'!K82</f>
        <v>1044347240.5485449</v>
      </c>
      <c r="L99" s="2">
        <f>L11/'Output-Calculation-sheet'!L10*'Output-Calculation-sheet'!L82</f>
        <v>1136862577.9857447</v>
      </c>
      <c r="M99" s="2">
        <f>M11/'Output-Calculation-sheet'!M10*'Output-Calculation-sheet'!M82</f>
        <v>1772197675.8822582</v>
      </c>
      <c r="N99" s="2">
        <f>N11/'Output-Calculation-sheet'!N10*'Output-Calculation-sheet'!N82</f>
        <v>1042709914.866336</v>
      </c>
      <c r="O99" s="2">
        <f>O11/'Output-Calculation-sheet'!O10*'Output-Calculation-sheet'!O82</f>
        <v>382151525.25217932</v>
      </c>
      <c r="P99" s="2">
        <f>P11/'Output-Calculation-sheet'!P10*'Output-Calculation-sheet'!P82</f>
        <v>1847175687.2882626</v>
      </c>
      <c r="Q99" s="2">
        <f>Q11/'Output-Calculation-sheet'!Q10*'Output-Calculation-sheet'!Q82</f>
        <v>849680677.96912408</v>
      </c>
      <c r="R99" s="2">
        <f>R11/'Output-Calculation-sheet'!R10*'Output-Calculation-sheet'!R82</f>
        <v>1152569689.7905316</v>
      </c>
      <c r="S99" s="2">
        <f>S11/'Output-Calculation-sheet'!S10*'Output-Calculation-sheet'!S82</f>
        <v>624595784.81535852</v>
      </c>
      <c r="T99" s="2">
        <f>T11/'Output-Calculation-sheet'!T10*'Output-Calculation-sheet'!T82</f>
        <v>340118684.26193255</v>
      </c>
      <c r="U99" s="2">
        <f>U11/'Output-Calculation-sheet'!U10*'Output-Calculation-sheet'!U82</f>
        <v>275643804.0758425</v>
      </c>
      <c r="V99" s="2">
        <f>V11/'Output-Calculation-sheet'!V10*'Output-Calculation-sheet'!V82</f>
        <v>129117813.78722568</v>
      </c>
      <c r="W99" s="2">
        <f>W11/'Output-Calculation-sheet'!W10*'Output-Calculation-sheet'!W82</f>
        <v>396904810.73205721</v>
      </c>
      <c r="X99" s="2">
        <f>X11/'Output-Calculation-sheet'!X10*'Output-Calculation-sheet'!X82</f>
        <v>226847756.34172854</v>
      </c>
      <c r="Y99" s="2">
        <f>Y11/'Output-Calculation-sheet'!Y10*'Output-Calculation-sheet'!Y82</f>
        <v>266404780.68823543</v>
      </c>
      <c r="AA99" s="2">
        <f t="shared" si="8"/>
        <v>48.595188096033418</v>
      </c>
    </row>
    <row r="100" spans="1:27" x14ac:dyDescent="0.25">
      <c r="A100" s="2">
        <v>2035</v>
      </c>
      <c r="B100" s="2">
        <f>B12/'Output-Calculation-sheet'!B11*'Output-Calculation-sheet'!B83</f>
        <v>13892324806.309406</v>
      </c>
      <c r="C100" s="2">
        <f>C12/'Output-Calculation-sheet'!C11*'Output-Calculation-sheet'!C83</f>
        <v>3117479792.3624887</v>
      </c>
      <c r="D100" s="2">
        <f>D12/'Output-Calculation-sheet'!D11*'Output-Calculation-sheet'!D83</f>
        <v>1997005589.5379765</v>
      </c>
      <c r="E100" s="2">
        <f>E12/'Output-Calculation-sheet'!E11*'Output-Calculation-sheet'!E83</f>
        <v>11743524630.417297</v>
      </c>
      <c r="F100" s="2">
        <f>F12/'Output-Calculation-sheet'!F11*'Output-Calculation-sheet'!F83</f>
        <v>2671792874.7846122</v>
      </c>
      <c r="G100" s="2">
        <f>G12/'Output-Calculation-sheet'!G11*'Output-Calculation-sheet'!G83</f>
        <v>1415962850.9983087</v>
      </c>
      <c r="H100" s="2">
        <f>H12/'Output-Calculation-sheet'!H11*'Output-Calculation-sheet'!H83</f>
        <v>2225049894.4975252</v>
      </c>
      <c r="I100" s="2">
        <f>I12/'Output-Calculation-sheet'!I11*'Output-Calculation-sheet'!I83</f>
        <v>1252147541.9903476</v>
      </c>
      <c r="J100" s="2">
        <f>J12/'Output-Calculation-sheet'!J11*'Output-Calculation-sheet'!J83</f>
        <v>902948903.86363912</v>
      </c>
      <c r="K100" s="2">
        <f>K12/'Output-Calculation-sheet'!K11*'Output-Calculation-sheet'!K83</f>
        <v>1050044118.0457368</v>
      </c>
      <c r="L100" s="2">
        <f>L12/'Output-Calculation-sheet'!L11*'Output-Calculation-sheet'!L83</f>
        <v>1213164686.4112372</v>
      </c>
      <c r="M100" s="2">
        <f>M12/'Output-Calculation-sheet'!M11*'Output-Calculation-sheet'!M83</f>
        <v>1902519657.4704328</v>
      </c>
      <c r="N100" s="2">
        <f>N12/'Output-Calculation-sheet'!N11*'Output-Calculation-sheet'!N83</f>
        <v>1085052443.3272963</v>
      </c>
      <c r="O100" s="2">
        <f>O12/'Output-Calculation-sheet'!O11*'Output-Calculation-sheet'!O83</f>
        <v>395685074.43209249</v>
      </c>
      <c r="P100" s="2">
        <f>P12/'Output-Calculation-sheet'!P11*'Output-Calculation-sheet'!P83</f>
        <v>1847264449.1322165</v>
      </c>
      <c r="Q100" s="2">
        <f>Q12/'Output-Calculation-sheet'!Q11*'Output-Calculation-sheet'!Q83</f>
        <v>885764720.92415321</v>
      </c>
      <c r="R100" s="2">
        <f>R12/'Output-Calculation-sheet'!R11*'Output-Calculation-sheet'!R83</f>
        <v>1204703825.6763401</v>
      </c>
      <c r="S100" s="2">
        <f>S12/'Output-Calculation-sheet'!S11*'Output-Calculation-sheet'!S83</f>
        <v>644214847.43630052</v>
      </c>
      <c r="T100" s="2">
        <f>T12/'Output-Calculation-sheet'!T11*'Output-Calculation-sheet'!T83</f>
        <v>339310116.92235726</v>
      </c>
      <c r="U100" s="2">
        <f>U12/'Output-Calculation-sheet'!U11*'Output-Calculation-sheet'!U83</f>
        <v>276998228.48580062</v>
      </c>
      <c r="V100" s="2">
        <f>V12/'Output-Calculation-sheet'!V11*'Output-Calculation-sheet'!V83</f>
        <v>131039522.17873922</v>
      </c>
      <c r="W100" s="2">
        <f>W12/'Output-Calculation-sheet'!W11*'Output-Calculation-sheet'!W83</f>
        <v>398448185.69746661</v>
      </c>
      <c r="X100" s="2">
        <f>X12/'Output-Calculation-sheet'!X11*'Output-Calculation-sheet'!X83</f>
        <v>249872164.08305401</v>
      </c>
      <c r="Y100" s="2">
        <f>Y12/'Output-Calculation-sheet'!Y11*'Output-Calculation-sheet'!Y83</f>
        <v>275435069.86199963</v>
      </c>
      <c r="AA100" s="2">
        <f t="shared" si="8"/>
        <v>51.117753994846829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1366815209.3803406</v>
      </c>
      <c r="C107" s="2">
        <f>C8/'Output-Calculation-sheet'!C7*'Output-Calculation-sheet'!C88</f>
        <v>17625498605.128307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7023217890.4075642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4845433018.3145647</v>
      </c>
      <c r="N107" s="2">
        <f>N8/'Output-Calculation-sheet'!N7*'Output-Calculation-sheet'!N88</f>
        <v>1617558319.872714</v>
      </c>
      <c r="O107" s="2">
        <f>O8/'Output-Calculation-sheet'!O7*'Output-Calculation-sheet'!O88</f>
        <v>2776949412.7526441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485974396.16054428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524761522.08022916</v>
      </c>
      <c r="Y107" s="2">
        <f>Y8/'Output-Calculation-sheet'!Y7*'Output-Calculation-sheet'!Y88</f>
        <v>0</v>
      </c>
      <c r="AA107" s="2">
        <f t="shared" si="9"/>
        <v>36266.208374096917</v>
      </c>
    </row>
    <row r="108" spans="1:27" x14ac:dyDescent="0.25">
      <c r="A108" s="2">
        <v>2032</v>
      </c>
      <c r="B108" s="2">
        <f>B9/'Output-Calculation-sheet'!B8*'Output-Calculation-sheet'!B89</f>
        <v>6115369145.769845</v>
      </c>
      <c r="C108" s="2">
        <f>C9/'Output-Calculation-sheet'!C8*'Output-Calculation-sheet'!C89</f>
        <v>20773614598.343884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9564420287.5560303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6598618342.4413891</v>
      </c>
      <c r="N108" s="2">
        <f>N9/'Output-Calculation-sheet'!N8*'Output-Calculation-sheet'!N89</f>
        <v>3105171780.5185485</v>
      </c>
      <c r="O108" s="2">
        <f>O9/'Output-Calculation-sheet'!O8*'Output-Calculation-sheet'!O89</f>
        <v>3324456605.2948532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924055154.88194489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714650090.40769207</v>
      </c>
      <c r="Y108" s="2">
        <f>Y9/'Output-Calculation-sheet'!Y8*'Output-Calculation-sheet'!Y89</f>
        <v>0</v>
      </c>
      <c r="AA108" s="2">
        <f t="shared" si="9"/>
        <v>51120.356005214177</v>
      </c>
    </row>
    <row r="109" spans="1:27" x14ac:dyDescent="0.25">
      <c r="A109" s="2">
        <v>2033</v>
      </c>
      <c r="B109" s="2">
        <f>B10/'Output-Calculation-sheet'!B9*'Output-Calculation-sheet'!B90</f>
        <v>16622471024.334267</v>
      </c>
      <c r="C109" s="2">
        <f>C10/'Output-Calculation-sheet'!C9*'Output-Calculation-sheet'!C90</f>
        <v>24518778954.33363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12164237879.97353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8392267055.6440277</v>
      </c>
      <c r="N109" s="2">
        <f>N10/'Output-Calculation-sheet'!N9*'Output-Calculation-sheet'!N90</f>
        <v>4943734267.2803888</v>
      </c>
      <c r="O109" s="2">
        <f>O10/'Output-Calculation-sheet'!O9*'Output-Calculation-sheet'!O90</f>
        <v>3830319230.0552454</v>
      </c>
      <c r="P109" s="2">
        <f>P10/'Output-Calculation-sheet'!P9*'Output-Calculation-sheet'!P90</f>
        <v>0</v>
      </c>
      <c r="Q109" s="2">
        <f>Q10/'Output-Calculation-sheet'!Q9*'Output-Calculation-sheet'!Q90</f>
        <v>160902048.32607001</v>
      </c>
      <c r="R109" s="2">
        <f>R10/'Output-Calculation-sheet'!R9*'Output-Calculation-sheet'!R90</f>
        <v>-3.315239720481858E-7</v>
      </c>
      <c r="S109" s="2">
        <f>S10/'Output-Calculation-sheet'!S9*'Output-Calculation-sheet'!S90</f>
        <v>1987203195.3730307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908907913.28472269</v>
      </c>
      <c r="Y109" s="2">
        <f>Y10/'Output-Calculation-sheet'!Y9*'Output-Calculation-sheet'!Y90</f>
        <v>0</v>
      </c>
      <c r="AA109" s="2">
        <f t="shared" si="9"/>
        <v>73528.821568604908</v>
      </c>
    </row>
    <row r="110" spans="1:27" x14ac:dyDescent="0.25">
      <c r="A110" s="2">
        <v>2034</v>
      </c>
      <c r="B110" s="2">
        <f>B11/'Output-Calculation-sheet'!B10*'Output-Calculation-sheet'!B91</f>
        <v>39478509353.007019</v>
      </c>
      <c r="C110" s="2">
        <f>C11/'Output-Calculation-sheet'!C10*'Output-Calculation-sheet'!C91</f>
        <v>29101430235.657585</v>
      </c>
      <c r="D110" s="2">
        <f>D11/'Output-Calculation-sheet'!D10*'Output-Calculation-sheet'!D91</f>
        <v>0</v>
      </c>
      <c r="E110" s="2">
        <f>E11/'Output-Calculation-sheet'!E10*'Output-Calculation-sheet'!E91</f>
        <v>835570608.51718557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14391112940.988787</v>
      </c>
      <c r="I110" s="2">
        <f>I11/'Output-Calculation-sheet'!I10*'Output-Calculation-sheet'!I91</f>
        <v>-1.3855184548986936E-6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671593902.02566063</v>
      </c>
      <c r="M110" s="2">
        <f>M11/'Output-Calculation-sheet'!M10*'Output-Calculation-sheet'!M91</f>
        <v>10185225927.011515</v>
      </c>
      <c r="N110" s="2">
        <f>N11/'Output-Calculation-sheet'!N10*'Output-Calculation-sheet'!N91</f>
        <v>7048869510.261466</v>
      </c>
      <c r="O110" s="2">
        <f>O11/'Output-Calculation-sheet'!O10*'Output-Calculation-sheet'!O91</f>
        <v>4469418409.4575062</v>
      </c>
      <c r="P110" s="2">
        <f>P11/'Output-Calculation-sheet'!P10*'Output-Calculation-sheet'!P91</f>
        <v>0</v>
      </c>
      <c r="Q110" s="2">
        <f>Q11/'Output-Calculation-sheet'!Q10*'Output-Calculation-sheet'!Q91</f>
        <v>1128407109.6753266</v>
      </c>
      <c r="R110" s="2">
        <f>R11/'Output-Calculation-sheet'!R10*'Output-Calculation-sheet'!R91</f>
        <v>0</v>
      </c>
      <c r="S110" s="2">
        <f>S11/'Output-Calculation-sheet'!S10*'Output-Calculation-sheet'!S91</f>
        <v>3450722612.7811785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994301377.2360208</v>
      </c>
      <c r="Y110" s="2">
        <f>Y11/'Output-Calculation-sheet'!Y10*'Output-Calculation-sheet'!Y91</f>
        <v>44214924.865498394</v>
      </c>
      <c r="AA110" s="2">
        <f t="shared" si="9"/>
        <v>111799.37691148474</v>
      </c>
    </row>
    <row r="111" spans="1:27" x14ac:dyDescent="0.25">
      <c r="A111" s="2">
        <v>2035</v>
      </c>
      <c r="B111" s="2">
        <f>B12/'Output-Calculation-sheet'!B11*'Output-Calculation-sheet'!B92</f>
        <v>41727992752.317047</v>
      </c>
      <c r="C111" s="2">
        <f>C12/'Output-Calculation-sheet'!C11*'Output-Calculation-sheet'!C92</f>
        <v>36585022835.063202</v>
      </c>
      <c r="D111" s="2">
        <f>D12/'Output-Calculation-sheet'!D11*'Output-Calculation-sheet'!D92</f>
        <v>-1.0921817085915723E-6</v>
      </c>
      <c r="E111" s="2">
        <f>E12/'Output-Calculation-sheet'!E11*'Output-Calculation-sheet'!E92</f>
        <v>3384483867.5768852</v>
      </c>
      <c r="F111" s="2">
        <f>F12/'Output-Calculation-sheet'!F11*'Output-Calculation-sheet'!F92</f>
        <v>-2.3993346435952035E-7</v>
      </c>
      <c r="G111" s="2">
        <f>G12/'Output-Calculation-sheet'!G11*'Output-Calculation-sheet'!G92</f>
        <v>0</v>
      </c>
      <c r="H111" s="2">
        <f>H12/'Output-Calculation-sheet'!H11*'Output-Calculation-sheet'!H92</f>
        <v>15207283629.523605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1646807871.9054468</v>
      </c>
      <c r="M111" s="2">
        <f>M12/'Output-Calculation-sheet'!M11*'Output-Calculation-sheet'!M92</f>
        <v>10836739747.550049</v>
      </c>
      <c r="N111" s="2">
        <f>N12/'Output-Calculation-sheet'!N11*'Output-Calculation-sheet'!N92</f>
        <v>7629666623.8923912</v>
      </c>
      <c r="O111" s="2">
        <f>O12/'Output-Calculation-sheet'!O11*'Output-Calculation-sheet'!O92</f>
        <v>5528245933.5366364</v>
      </c>
      <c r="P111" s="2">
        <f>P12/'Output-Calculation-sheet'!P11*'Output-Calculation-sheet'!P92</f>
        <v>327846838.03062785</v>
      </c>
      <c r="Q111" s="2">
        <f>Q12/'Output-Calculation-sheet'!Q11*'Output-Calculation-sheet'!Q92</f>
        <v>1449971738.4066136</v>
      </c>
      <c r="R111" s="2">
        <f>R12/'Output-Calculation-sheet'!R11*'Output-Calculation-sheet'!R92</f>
        <v>0</v>
      </c>
      <c r="S111" s="2">
        <f>S12/'Output-Calculation-sheet'!S11*'Output-Calculation-sheet'!S92</f>
        <v>3644879521.6726112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1059282160.0429552</v>
      </c>
      <c r="Y111" s="2">
        <f>Y12/'Output-Calculation-sheet'!Y11*'Output-Calculation-sheet'!Y92</f>
        <v>71731638.235107735</v>
      </c>
      <c r="AA111" s="2">
        <f t="shared" si="9"/>
        <v>129099.95515775317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46410576887.42189</v>
      </c>
      <c r="C118" s="2">
        <f>C8/'Output-Calculation-sheet'!C7*'Output-Calculation-sheet'!C97</f>
        <v>0</v>
      </c>
      <c r="D118" s="2">
        <f>D8/'Output-Calculation-sheet'!D7*'Output-Calculation-sheet'!D97</f>
        <v>20067055215.860836</v>
      </c>
      <c r="E118" s="2">
        <f>E8/'Output-Calculation-sheet'!E7*'Output-Calculation-sheet'!E97</f>
        <v>15921171973.267603</v>
      </c>
      <c r="F118" s="2">
        <f>F8/'Output-Calculation-sheet'!F7*'Output-Calculation-sheet'!F97</f>
        <v>10249029724.917791</v>
      </c>
      <c r="G118" s="2">
        <f>G8/'Output-Calculation-sheet'!G7*'Output-Calculation-sheet'!G97</f>
        <v>7201249561.7560415</v>
      </c>
      <c r="H118" s="2">
        <f>H8/'Output-Calculation-sheet'!H7*'Output-Calculation-sheet'!H97</f>
        <v>0</v>
      </c>
      <c r="I118" s="2">
        <f>I8/'Output-Calculation-sheet'!I7*'Output-Calculation-sheet'!I97</f>
        <v>6560905212.9701405</v>
      </c>
      <c r="J118" s="2">
        <f>J8/'Output-Calculation-sheet'!J7*'Output-Calculation-sheet'!J97</f>
        <v>6385933246.6868792</v>
      </c>
      <c r="K118" s="2">
        <f>K8/'Output-Calculation-sheet'!K7*'Output-Calculation-sheet'!K97</f>
        <v>6324711381.7089853</v>
      </c>
      <c r="L118" s="2">
        <f>L8/'Output-Calculation-sheet'!L7*'Output-Calculation-sheet'!L97</f>
        <v>5073765709.1837015</v>
      </c>
      <c r="M118" s="2">
        <f>M8/'Output-Calculation-sheet'!M7*'Output-Calculation-sheet'!M97</f>
        <v>0</v>
      </c>
      <c r="N118" s="2">
        <f>N8/'Output-Calculation-sheet'!N7*'Output-Calculation-sheet'!N97</f>
        <v>3139056029.7072821</v>
      </c>
      <c r="O118" s="2">
        <f>O8/'Output-Calculation-sheet'!O7*'Output-Calculation-sheet'!O97</f>
        <v>0</v>
      </c>
      <c r="P118" s="2">
        <f>P8/'Output-Calculation-sheet'!P7*'Output-Calculation-sheet'!P97</f>
        <v>4330197440.5602961</v>
      </c>
      <c r="Q118" s="2">
        <f>Q8/'Output-Calculation-sheet'!Q7*'Output-Calculation-sheet'!Q97</f>
        <v>4260213644.1304622</v>
      </c>
      <c r="R118" s="2">
        <f>R8/'Output-Calculation-sheet'!R7*'Output-Calculation-sheet'!R97</f>
        <v>4098521454.0509667</v>
      </c>
      <c r="S118" s="2">
        <f>S8/'Output-Calculation-sheet'!S7*'Output-Calculation-sheet'!S97</f>
        <v>2238113236.9398751</v>
      </c>
      <c r="T118" s="2">
        <f>T8/'Output-Calculation-sheet'!T7*'Output-Calculation-sheet'!T97</f>
        <v>1506581538.8416986</v>
      </c>
      <c r="U118" s="2">
        <f>U8/'Output-Calculation-sheet'!U7*'Output-Calculation-sheet'!U97</f>
        <v>1312180784.9549074</v>
      </c>
      <c r="V118" s="2">
        <f>V8/'Output-Calculation-sheet'!V7*'Output-Calculation-sheet'!V97</f>
        <v>1010405845.0813856</v>
      </c>
      <c r="W118" s="2">
        <f>W8/'Output-Calculation-sheet'!W7*'Output-Calculation-sheet'!W97</f>
        <v>874787189.70202184</v>
      </c>
      <c r="X118" s="2">
        <f>X8/'Output-Calculation-sheet'!X7*'Output-Calculation-sheet'!X97</f>
        <v>0</v>
      </c>
      <c r="Y118" s="2">
        <f>Y8/'Output-Calculation-sheet'!Y7*'Output-Calculation-sheet'!Y97</f>
        <v>510433276.11734676</v>
      </c>
      <c r="AA118" s="2">
        <f t="shared" si="10"/>
        <v>147474.88935386011</v>
      </c>
    </row>
    <row r="119" spans="1:27" x14ac:dyDescent="0.25">
      <c r="A119" s="2">
        <v>2032</v>
      </c>
      <c r="B119" s="2">
        <f>B9/'Output-Calculation-sheet'!B8*'Output-Calculation-sheet'!B98</f>
        <v>58948703359.66362</v>
      </c>
      <c r="C119" s="2">
        <f>C9/'Output-Calculation-sheet'!C8*'Output-Calculation-sheet'!C98</f>
        <v>0</v>
      </c>
      <c r="D119" s="2">
        <f>D9/'Output-Calculation-sheet'!D8*'Output-Calculation-sheet'!D98</f>
        <v>27327662245.92955</v>
      </c>
      <c r="E119" s="2">
        <f>E9/'Output-Calculation-sheet'!E8*'Output-Calculation-sheet'!E98</f>
        <v>21681721778.172344</v>
      </c>
      <c r="F119" s="2">
        <f>F9/'Output-Calculation-sheet'!F8*'Output-Calculation-sheet'!F98</f>
        <v>13957306670.920362</v>
      </c>
      <c r="G119" s="2">
        <f>G9/'Output-Calculation-sheet'!G8*'Output-Calculation-sheet'!G98</f>
        <v>9806786747.0825176</v>
      </c>
      <c r="H119" s="2">
        <f>H9/'Output-Calculation-sheet'!H8*'Output-Calculation-sheet'!H98</f>
        <v>2.0589619282360887E-7</v>
      </c>
      <c r="I119" s="2">
        <f>I9/'Output-Calculation-sheet'!I8*'Output-Calculation-sheet'!I98</f>
        <v>8934755360.8050232</v>
      </c>
      <c r="J119" s="2">
        <f>J9/'Output-Calculation-sheet'!J8*'Output-Calculation-sheet'!J98</f>
        <v>8696472102.9104328</v>
      </c>
      <c r="K119" s="2">
        <f>K9/'Output-Calculation-sheet'!K8*'Output-Calculation-sheet'!K98</f>
        <v>8613100480.9719906</v>
      </c>
      <c r="L119" s="2">
        <f>L9/'Output-Calculation-sheet'!L8*'Output-Calculation-sheet'!L98</f>
        <v>6909542815.9668283</v>
      </c>
      <c r="M119" s="2">
        <f>M9/'Output-Calculation-sheet'!M8*'Output-Calculation-sheet'!M98</f>
        <v>0</v>
      </c>
      <c r="N119" s="2">
        <f>N9/'Output-Calculation-sheet'!N8*'Output-Calculation-sheet'!N98</f>
        <v>3371925555.3670435</v>
      </c>
      <c r="O119" s="2">
        <f>O9/'Output-Calculation-sheet'!O8*'Output-Calculation-sheet'!O98</f>
        <v>0</v>
      </c>
      <c r="P119" s="2">
        <f>P9/'Output-Calculation-sheet'!P8*'Output-Calculation-sheet'!P98</f>
        <v>5896898678.5059109</v>
      </c>
      <c r="Q119" s="2">
        <f>Q9/'Output-Calculation-sheet'!Q8*'Output-Calculation-sheet'!Q98</f>
        <v>5801632478.5069847</v>
      </c>
      <c r="R119" s="2">
        <f>R9/'Output-Calculation-sheet'!R8*'Output-Calculation-sheet'!R98</f>
        <v>5581437712.2406321</v>
      </c>
      <c r="S119" s="2">
        <f>S9/'Output-Calculation-sheet'!S8*'Output-Calculation-sheet'!S98</f>
        <v>2785458286.4417462</v>
      </c>
      <c r="T119" s="2">
        <f>T9/'Output-Calculation-sheet'!T8*'Output-Calculation-sheet'!T98</f>
        <v>2051688428.6075139</v>
      </c>
      <c r="U119" s="2">
        <f>U9/'Output-Calculation-sheet'!U8*'Output-Calculation-sheet'!U98</f>
        <v>1786950869.1285269</v>
      </c>
      <c r="V119" s="2">
        <f>V9/'Output-Calculation-sheet'!V8*'Output-Calculation-sheet'!V98</f>
        <v>1375987908.4717457</v>
      </c>
      <c r="W119" s="2">
        <f>W9/'Output-Calculation-sheet'!W8*'Output-Calculation-sheet'!W98</f>
        <v>1191300392.2221115</v>
      </c>
      <c r="X119" s="2">
        <f>X9/'Output-Calculation-sheet'!X8*'Output-Calculation-sheet'!X98</f>
        <v>0</v>
      </c>
      <c r="Y119" s="2">
        <f>Y9/'Output-Calculation-sheet'!Y8*'Output-Calculation-sheet'!Y98</f>
        <v>695116631.36006677</v>
      </c>
      <c r="AA119" s="2">
        <f t="shared" si="10"/>
        <v>195414.44850327497</v>
      </c>
    </row>
    <row r="120" spans="1:27" x14ac:dyDescent="0.25">
      <c r="A120" s="2">
        <v>2033</v>
      </c>
      <c r="B120" s="2">
        <f>B10/'Output-Calculation-sheet'!B9*'Output-Calculation-sheet'!B99</f>
        <v>66119916582.216049</v>
      </c>
      <c r="C120" s="2">
        <f>C10/'Output-Calculation-sheet'!C9*'Output-Calculation-sheet'!C99</f>
        <v>0</v>
      </c>
      <c r="D120" s="2">
        <f>D10/'Output-Calculation-sheet'!D9*'Output-Calculation-sheet'!D99</f>
        <v>34754874374.379143</v>
      </c>
      <c r="E120" s="2">
        <f>E10/'Output-Calculation-sheet'!E9*'Output-Calculation-sheet'!E99</f>
        <v>27574462410.184101</v>
      </c>
      <c r="F120" s="2">
        <f>F10/'Output-Calculation-sheet'!F9*'Output-Calculation-sheet'!F99</f>
        <v>17750670953.440056</v>
      </c>
      <c r="G120" s="2">
        <f>G10/'Output-Calculation-sheet'!G9*'Output-Calculation-sheet'!G99</f>
        <v>12472108565.902437</v>
      </c>
      <c r="H120" s="2">
        <f>H10/'Output-Calculation-sheet'!H9*'Output-Calculation-sheet'!H99</f>
        <v>0</v>
      </c>
      <c r="I120" s="2">
        <f>I10/'Output-Calculation-sheet'!I9*'Output-Calculation-sheet'!I99</f>
        <v>11363074133.966524</v>
      </c>
      <c r="J120" s="2">
        <f>J10/'Output-Calculation-sheet'!J9*'Output-Calculation-sheet'!J99</f>
        <v>11060029407.430555</v>
      </c>
      <c r="K120" s="2">
        <f>K10/'Output-Calculation-sheet'!K9*'Output-Calculation-sheet'!K99</f>
        <v>10953999902.960951</v>
      </c>
      <c r="L120" s="2">
        <f>L10/'Output-Calculation-sheet'!L9*'Output-Calculation-sheet'!L99</f>
        <v>8787442296.2592049</v>
      </c>
      <c r="M120" s="2">
        <f>M10/'Output-Calculation-sheet'!M9*'Output-Calculation-sheet'!M99</f>
        <v>0</v>
      </c>
      <c r="N120" s="2">
        <f>N10/'Output-Calculation-sheet'!N9*'Output-Calculation-sheet'!N99</f>
        <v>3293250456.2802625</v>
      </c>
      <c r="O120" s="2">
        <f>O10/'Output-Calculation-sheet'!O9*'Output-Calculation-sheet'!O99</f>
        <v>0</v>
      </c>
      <c r="P120" s="2">
        <f>P10/'Output-Calculation-sheet'!P9*'Output-Calculation-sheet'!P99</f>
        <v>7499188529.0052261</v>
      </c>
      <c r="Q120" s="2">
        <f>Q10/'Output-Calculation-sheet'!Q9*'Output-Calculation-sheet'!Q99</f>
        <v>7217447529.610034</v>
      </c>
      <c r="R120" s="2">
        <f>R10/'Output-Calculation-sheet'!R9*'Output-Calculation-sheet'!R99</f>
        <v>7098043261.5821209</v>
      </c>
      <c r="S120" s="2">
        <f>S10/'Output-Calculation-sheet'!S9*'Output-Calculation-sheet'!S99</f>
        <v>2730175751.6898265</v>
      </c>
      <c r="T120" s="2">
        <f>T10/'Output-Calculation-sheet'!T9*'Output-Calculation-sheet'!T99</f>
        <v>2609280974.3653579</v>
      </c>
      <c r="U120" s="2">
        <f>U10/'Output-Calculation-sheet'!U9*'Output-Calculation-sheet'!U99</f>
        <v>2273108494.229311</v>
      </c>
      <c r="V120" s="2">
        <f>V10/'Output-Calculation-sheet'!V9*'Output-Calculation-sheet'!V99</f>
        <v>1749958758.6258235</v>
      </c>
      <c r="W120" s="2">
        <f>W10/'Output-Calculation-sheet'!W9*'Output-Calculation-sheet'!W99</f>
        <v>1515076455.7156243</v>
      </c>
      <c r="X120" s="2">
        <f>X10/'Output-Calculation-sheet'!X9*'Output-Calculation-sheet'!X99</f>
        <v>0</v>
      </c>
      <c r="Y120" s="2">
        <f>Y10/'Output-Calculation-sheet'!Y9*'Output-Calculation-sheet'!Y99</f>
        <v>884039167.03760505</v>
      </c>
      <c r="AA120" s="2">
        <f t="shared" si="10"/>
        <v>237706.14800488017</v>
      </c>
    </row>
    <row r="121" spans="1:27" x14ac:dyDescent="0.25">
      <c r="A121" s="2">
        <v>2034</v>
      </c>
      <c r="B121" s="2">
        <f>B11/'Output-Calculation-sheet'!B10*'Output-Calculation-sheet'!B100</f>
        <v>60932580907.730507</v>
      </c>
      <c r="C121" s="2">
        <f>C11/'Output-Calculation-sheet'!C10*'Output-Calculation-sheet'!C100</f>
        <v>0</v>
      </c>
      <c r="D121" s="2">
        <f>D11/'Output-Calculation-sheet'!D10*'Output-Calculation-sheet'!D100</f>
        <v>42179145466.386909</v>
      </c>
      <c r="E121" s="2">
        <f>E11/'Output-Calculation-sheet'!E10*'Output-Calculation-sheet'!E100</f>
        <v>32634830439.888805</v>
      </c>
      <c r="F121" s="2">
        <f>F11/'Output-Calculation-sheet'!F10*'Output-Calculation-sheet'!F100</f>
        <v>21542702454.390591</v>
      </c>
      <c r="G121" s="2">
        <f>G11/'Output-Calculation-sheet'!G10*'Output-Calculation-sheet'!G100</f>
        <v>15135556964.545786</v>
      </c>
      <c r="H121" s="2">
        <f>H11/'Output-Calculation-sheet'!H10*'Output-Calculation-sheet'!H100</f>
        <v>0</v>
      </c>
      <c r="I121" s="2">
        <f>I11/'Output-Calculation-sheet'!I10*'Output-Calculation-sheet'!I100</f>
        <v>13789950997.055145</v>
      </c>
      <c r="J121" s="2">
        <f>J11/'Output-Calculation-sheet'!J10*'Output-Calculation-sheet'!J100</f>
        <v>13422316738.379662</v>
      </c>
      <c r="K121" s="2">
        <f>K11/'Output-Calculation-sheet'!K10*'Output-Calculation-sheet'!K100</f>
        <v>13293978283.056114</v>
      </c>
      <c r="L121" s="2">
        <f>L11/'Output-Calculation-sheet'!L10*'Output-Calculation-sheet'!L100</f>
        <v>9992704620.4422455</v>
      </c>
      <c r="M121" s="2">
        <f>M11/'Output-Calculation-sheet'!M10*'Output-Calculation-sheet'!M100</f>
        <v>7.1393843954717762E-7</v>
      </c>
      <c r="N121" s="2">
        <f>N11/'Output-Calculation-sheet'!N10*'Output-Calculation-sheet'!N100</f>
        <v>2947899949.6001358</v>
      </c>
      <c r="O121" s="2">
        <f>O11/'Output-Calculation-sheet'!O10*'Output-Calculation-sheet'!O100</f>
        <v>0</v>
      </c>
      <c r="P121" s="2">
        <f>P11/'Output-Calculation-sheet'!P10*'Output-Calculation-sheet'!P100</f>
        <v>9100767278.9340553</v>
      </c>
      <c r="Q121" s="2">
        <f>Q11/'Output-Calculation-sheet'!Q10*'Output-Calculation-sheet'!Q100</f>
        <v>7541858028.6152601</v>
      </c>
      <c r="R121" s="2">
        <f>R11/'Output-Calculation-sheet'!R10*'Output-Calculation-sheet'!R100</f>
        <v>8613942054.1074467</v>
      </c>
      <c r="S121" s="2">
        <f>S11/'Output-Calculation-sheet'!S10*'Output-Calculation-sheet'!S100</f>
        <v>2274328510.8037014</v>
      </c>
      <c r="T121" s="2">
        <f>T11/'Output-Calculation-sheet'!T10*'Output-Calculation-sheet'!T100</f>
        <v>3166482917.1621413</v>
      </c>
      <c r="U121" s="2">
        <f>U11/'Output-Calculation-sheet'!U10*'Output-Calculation-sheet'!U100</f>
        <v>2668508962.2369313</v>
      </c>
      <c r="V121" s="2">
        <f>V11/'Output-Calculation-sheet'!V10*'Output-Calculation-sheet'!V100</f>
        <v>2124383286.6481359</v>
      </c>
      <c r="W121" s="2">
        <f>W11/'Output-Calculation-sheet'!W10*'Output-Calculation-sheet'!W100</f>
        <v>1838778861.6950085</v>
      </c>
      <c r="X121" s="2">
        <f>X11/'Output-Calculation-sheet'!X10*'Output-Calculation-sheet'!X100</f>
        <v>70814020.934508979</v>
      </c>
      <c r="Y121" s="2">
        <f>Y11/'Output-Calculation-sheet'!Y10*'Output-Calculation-sheet'!Y100</f>
        <v>1028651652.5477931</v>
      </c>
      <c r="AA121" s="2">
        <f t="shared" si="10"/>
        <v>264300.1823951609</v>
      </c>
    </row>
    <row r="122" spans="1:27" x14ac:dyDescent="0.25">
      <c r="A122" s="2">
        <v>2035</v>
      </c>
      <c r="B122" s="2">
        <f>B12/'Output-Calculation-sheet'!B11*'Output-Calculation-sheet'!B101</f>
        <v>62513357116.396286</v>
      </c>
      <c r="C122" s="2">
        <f>C12/'Output-Calculation-sheet'!C11*'Output-Calculation-sheet'!C101</f>
        <v>0</v>
      </c>
      <c r="D122" s="2">
        <f>D12/'Output-Calculation-sheet'!D11*'Output-Calculation-sheet'!D101</f>
        <v>43745853284.252693</v>
      </c>
      <c r="E122" s="2">
        <f>E12/'Output-Calculation-sheet'!E11*'Output-Calculation-sheet'!E101</f>
        <v>33972625616.159912</v>
      </c>
      <c r="F122" s="2">
        <f>F12/'Output-Calculation-sheet'!F11*'Output-Calculation-sheet'!F101</f>
        <v>23143965517.817348</v>
      </c>
      <c r="G122" s="2">
        <f>G12/'Output-Calculation-sheet'!G11*'Output-Calculation-sheet'!G101</f>
        <v>15681839208.207575</v>
      </c>
      <c r="H122" s="2">
        <f>H12/'Output-Calculation-sheet'!H11*'Output-Calculation-sheet'!H101</f>
        <v>0</v>
      </c>
      <c r="I122" s="2">
        <f>I12/'Output-Calculation-sheet'!I11*'Output-Calculation-sheet'!I101</f>
        <v>14389317116.184437</v>
      </c>
      <c r="J122" s="2">
        <f>J12/'Output-Calculation-sheet'!J11*'Output-Calculation-sheet'!J101</f>
        <v>14405026212.18573</v>
      </c>
      <c r="K122" s="2">
        <f>K12/'Output-Calculation-sheet'!K11*'Output-Calculation-sheet'!K101</f>
        <v>14142470488.869984</v>
      </c>
      <c r="L122" s="2">
        <f>L12/'Output-Calculation-sheet'!L11*'Output-Calculation-sheet'!L101</f>
        <v>10245300480.795084</v>
      </c>
      <c r="M122" s="2">
        <f>M12/'Output-Calculation-sheet'!M11*'Output-Calculation-sheet'!M101</f>
        <v>0</v>
      </c>
      <c r="N122" s="2">
        <f>N12/'Output-Calculation-sheet'!N11*'Output-Calculation-sheet'!N101</f>
        <v>2983130492.9044046</v>
      </c>
      <c r="O122" s="2">
        <f>O12/'Output-Calculation-sheet'!O11*'Output-Calculation-sheet'!O101</f>
        <v>0</v>
      </c>
      <c r="P122" s="2">
        <f>P12/'Output-Calculation-sheet'!P11*'Output-Calculation-sheet'!P101</f>
        <v>9510240812.1302071</v>
      </c>
      <c r="Q122" s="2">
        <f>Q12/'Output-Calculation-sheet'!Q11*'Output-Calculation-sheet'!Q101</f>
        <v>7688540846.0243111</v>
      </c>
      <c r="R122" s="2">
        <f>R12/'Output-Calculation-sheet'!R11*'Output-Calculation-sheet'!R101</f>
        <v>9419921604.0662098</v>
      </c>
      <c r="S122" s="2">
        <f>S12/'Output-Calculation-sheet'!S11*'Output-Calculation-sheet'!S101</f>
        <v>2253225269.6792555</v>
      </c>
      <c r="T122" s="2">
        <f>T12/'Output-Calculation-sheet'!T11*'Output-Calculation-sheet'!T101</f>
        <v>3515195439.83711</v>
      </c>
      <c r="U122" s="2">
        <f>U12/'Output-Calculation-sheet'!U11*'Output-Calculation-sheet'!U101</f>
        <v>2776271833.3925405</v>
      </c>
      <c r="V122" s="2">
        <f>V12/'Output-Calculation-sheet'!V11*'Output-Calculation-sheet'!V101</f>
        <v>2417488325.9028974</v>
      </c>
      <c r="W122" s="2">
        <f>W12/'Output-Calculation-sheet'!W11*'Output-Calculation-sheet'!W101</f>
        <v>2037394916.3720915</v>
      </c>
      <c r="X122" s="2">
        <f>X12/'Output-Calculation-sheet'!X11*'Output-Calculation-sheet'!X101</f>
        <v>71836044.929728046</v>
      </c>
      <c r="Y122" s="2">
        <f>Y12/'Output-Calculation-sheet'!Y11*'Output-Calculation-sheet'!Y101</f>
        <v>1076240980.8246174</v>
      </c>
      <c r="AA122" s="2">
        <f t="shared" si="10"/>
        <v>275989.24160693254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47777392966.872406</v>
      </c>
      <c r="C129" s="2">
        <f>C8/'Output-Calculation-sheet'!C7*'Output-Calculation-sheet'!C106</f>
        <v>28003208146.274612</v>
      </c>
      <c r="D129" s="2">
        <f>D8/'Output-Calculation-sheet'!D7*'Output-Calculation-sheet'!D106</f>
        <v>20067055215.860836</v>
      </c>
      <c r="E129" s="2">
        <f>E8/'Output-Calculation-sheet'!E7*'Output-Calculation-sheet'!E106</f>
        <v>15921171973.267603</v>
      </c>
      <c r="F129" s="2">
        <f>F8/'Output-Calculation-sheet'!F7*'Output-Calculation-sheet'!F106</f>
        <v>10249029724.917791</v>
      </c>
      <c r="G129" s="2">
        <f>G8/'Output-Calculation-sheet'!G7*'Output-Calculation-sheet'!G106</f>
        <v>7201249561.7560415</v>
      </c>
      <c r="H129" s="2">
        <f>H8/'Output-Calculation-sheet'!H7*'Output-Calculation-sheet'!H106</f>
        <v>7024542514.6867027</v>
      </c>
      <c r="I129" s="2">
        <f>I8/'Output-Calculation-sheet'!I7*'Output-Calculation-sheet'!I106</f>
        <v>6560905212.9701405</v>
      </c>
      <c r="J129" s="2">
        <f>J8/'Output-Calculation-sheet'!J7*'Output-Calculation-sheet'!J106</f>
        <v>6385933246.6868792</v>
      </c>
      <c r="K129" s="2">
        <f>K8/'Output-Calculation-sheet'!K7*'Output-Calculation-sheet'!K106</f>
        <v>6324711381.7089853</v>
      </c>
      <c r="L129" s="2">
        <f>L8/'Output-Calculation-sheet'!L7*'Output-Calculation-sheet'!L106</f>
        <v>5073765709.1837015</v>
      </c>
      <c r="M129" s="2">
        <f>M8/'Output-Calculation-sheet'!M7*'Output-Calculation-sheet'!M106</f>
        <v>4846321983.9806194</v>
      </c>
      <c r="N129" s="2">
        <f>N8/'Output-Calculation-sheet'!N7*'Output-Calculation-sheet'!N106</f>
        <v>4756651952.3148508</v>
      </c>
      <c r="O129" s="2">
        <f>O8/'Output-Calculation-sheet'!O7*'Output-Calculation-sheet'!O106</f>
        <v>6100789294.06989</v>
      </c>
      <c r="P129" s="2">
        <f>P8/'Output-Calculation-sheet'!P7*'Output-Calculation-sheet'!P106</f>
        <v>4330197440.5602961</v>
      </c>
      <c r="Q129" s="2">
        <f>Q8/'Output-Calculation-sheet'!Q7*'Output-Calculation-sheet'!Q106</f>
        <v>4260213644.1304622</v>
      </c>
      <c r="R129" s="2">
        <f>R8/'Output-Calculation-sheet'!R7*'Output-Calculation-sheet'!R106</f>
        <v>4098521454.0509667</v>
      </c>
      <c r="S129" s="2">
        <f>S8/'Output-Calculation-sheet'!S7*'Output-Calculation-sheet'!S106</f>
        <v>2724087316.1132545</v>
      </c>
      <c r="T129" s="2">
        <f>T8/'Output-Calculation-sheet'!T7*'Output-Calculation-sheet'!T106</f>
        <v>1506581538.8416986</v>
      </c>
      <c r="U129" s="2">
        <f>U8/'Output-Calculation-sheet'!U7*'Output-Calculation-sheet'!U106</f>
        <v>1312180784.9549074</v>
      </c>
      <c r="V129" s="2">
        <f>V8/'Output-Calculation-sheet'!V7*'Output-Calculation-sheet'!V106</f>
        <v>1010405845.0813856</v>
      </c>
      <c r="W129" s="2">
        <f>W8/'Output-Calculation-sheet'!W7*'Output-Calculation-sheet'!W106</f>
        <v>874787189.70202184</v>
      </c>
      <c r="X129" s="2">
        <f>X8/'Output-Calculation-sheet'!X7*'Output-Calculation-sheet'!X106</f>
        <v>524872417.0376119</v>
      </c>
      <c r="Y129" s="2">
        <f>Y8/'Output-Calculation-sheet'!Y7*'Output-Calculation-sheet'!Y106</f>
        <v>510433276.11734676</v>
      </c>
      <c r="AA129" s="2">
        <f t="shared" si="11"/>
        <v>197445.00979114103</v>
      </c>
    </row>
    <row r="130" spans="1:27" x14ac:dyDescent="0.25">
      <c r="A130" s="2">
        <v>2032</v>
      </c>
      <c r="B130" s="2">
        <f>B9/'Output-Calculation-sheet'!B8*'Output-Calculation-sheet'!B107</f>
        <v>39038449193.919083</v>
      </c>
      <c r="C130" s="2">
        <f>C9/'Output-Calculation-sheet'!C8*'Output-Calculation-sheet'!C107</f>
        <v>29357967149.489132</v>
      </c>
      <c r="D130" s="2">
        <f>D9/'Output-Calculation-sheet'!D8*'Output-Calculation-sheet'!D107</f>
        <v>16396593929.622889</v>
      </c>
      <c r="E130" s="2">
        <f>E9/'Output-Calculation-sheet'!E8*'Output-Calculation-sheet'!E107</f>
        <v>13009031708.730145</v>
      </c>
      <c r="F130" s="2">
        <f>F9/'Output-Calculation-sheet'!F8*'Output-Calculation-sheet'!F107</f>
        <v>8374384856.7500639</v>
      </c>
      <c r="G130" s="2">
        <f>G9/'Output-Calculation-sheet'!G8*'Output-Calculation-sheet'!G107</f>
        <v>5884072661.2928429</v>
      </c>
      <c r="H130" s="2">
        <f>H9/'Output-Calculation-sheet'!H8*'Output-Calculation-sheet'!H107</f>
        <v>5739685515.4684868</v>
      </c>
      <c r="I130" s="2">
        <f>I9/'Output-Calculation-sheet'!I8*'Output-Calculation-sheet'!I107</f>
        <v>5360852665.0871382</v>
      </c>
      <c r="J130" s="2">
        <f>J9/'Output-Calculation-sheet'!J8*'Output-Calculation-sheet'!J107</f>
        <v>5217882716.0453749</v>
      </c>
      <c r="K130" s="2">
        <f>K9/'Output-Calculation-sheet'!K8*'Output-Calculation-sheet'!K107</f>
        <v>5167860288.5831947</v>
      </c>
      <c r="L130" s="2">
        <f>L9/'Output-Calculation-sheet'!L8*'Output-Calculation-sheet'!L107</f>
        <v>4145725258.6590738</v>
      </c>
      <c r="M130" s="2">
        <f>M9/'Output-Calculation-sheet'!M8*'Output-Calculation-sheet'!M107</f>
        <v>3959883681.0995626</v>
      </c>
      <c r="N130" s="2">
        <f>N9/'Output-Calculation-sheet'!N8*'Output-Calculation-sheet'!N107</f>
        <v>3886612640.7445388</v>
      </c>
      <c r="O130" s="2">
        <f>O9/'Output-Calculation-sheet'!O8*'Output-Calculation-sheet'!O107</f>
        <v>6393080980.5919428</v>
      </c>
      <c r="P130" s="2">
        <f>P9/'Output-Calculation-sheet'!P8*'Output-Calculation-sheet'!P107</f>
        <v>3538161840.261692</v>
      </c>
      <c r="Q130" s="2">
        <f>Q9/'Output-Calculation-sheet'!Q8*'Output-Calculation-sheet'!Q107</f>
        <v>3480980542.7737207</v>
      </c>
      <c r="R130" s="2">
        <f>R9/'Output-Calculation-sheet'!R8*'Output-Calculation-sheet'!R107</f>
        <v>3348862976.3087726</v>
      </c>
      <c r="S130" s="2">
        <f>S9/'Output-Calculation-sheet'!S8*'Output-Calculation-sheet'!S107</f>
        <v>2225825596.4768615</v>
      </c>
      <c r="T130" s="2">
        <f>T9/'Output-Calculation-sheet'!T8*'Output-Calculation-sheet'!T107</f>
        <v>1231013315.3736377</v>
      </c>
      <c r="U130" s="2">
        <f>U9/'Output-Calculation-sheet'!U8*'Output-Calculation-sheet'!U107</f>
        <v>1072170184.6540334</v>
      </c>
      <c r="V130" s="2">
        <f>V9/'Output-Calculation-sheet'!V8*'Output-Calculation-sheet'!V107</f>
        <v>825592485.36190248</v>
      </c>
      <c r="W130" s="2">
        <f>W9/'Output-Calculation-sheet'!W8*'Output-Calculation-sheet'!W107</f>
        <v>714780310.29959357</v>
      </c>
      <c r="X130" s="2">
        <f>X9/'Output-Calculation-sheet'!X8*'Output-Calculation-sheet'!X107</f>
        <v>428868102.0307771</v>
      </c>
      <c r="Y130" s="2">
        <f>Y9/'Output-Calculation-sheet'!Y8*'Output-Calculation-sheet'!Y107</f>
        <v>417070022.07713211</v>
      </c>
      <c r="AA130" s="2">
        <f t="shared" si="11"/>
        <v>169215.40862170159</v>
      </c>
    </row>
    <row r="131" spans="1:27" x14ac:dyDescent="0.25">
      <c r="A131" s="2">
        <v>2033</v>
      </c>
      <c r="B131" s="2">
        <f>B10/'Output-Calculation-sheet'!B9*'Output-Calculation-sheet'!B108</f>
        <v>27582484569.097279</v>
      </c>
      <c r="C131" s="2">
        <f>C10/'Output-Calculation-sheet'!C9*'Output-Calculation-sheet'!C108</f>
        <v>28863064793.746437</v>
      </c>
      <c r="D131" s="2">
        <f>D10/'Output-Calculation-sheet'!D9*'Output-Calculation-sheet'!D108</f>
        <v>11584961143.455177</v>
      </c>
      <c r="E131" s="2">
        <f>E10/'Output-Calculation-sheet'!E9*'Output-Calculation-sheet'!E108</f>
        <v>9191487470.061367</v>
      </c>
      <c r="F131" s="2">
        <f>F10/'Output-Calculation-sheet'!F9*'Output-Calculation-sheet'!F108</f>
        <v>5916890317.8133516</v>
      </c>
      <c r="G131" s="2">
        <f>G10/'Output-Calculation-sheet'!G9*'Output-Calculation-sheet'!G108</f>
        <v>4157369521.9674792</v>
      </c>
      <c r="H131" s="2">
        <f>H10/'Output-Calculation-sheet'!H9*'Output-Calculation-sheet'!H108</f>
        <v>4055354380.6363964</v>
      </c>
      <c r="I131" s="2">
        <f>I10/'Output-Calculation-sheet'!I9*'Output-Calculation-sheet'!I108</f>
        <v>3787692351.9558272</v>
      </c>
      <c r="J131" s="2">
        <f>J10/'Output-Calculation-sheet'!J9*'Output-Calculation-sheet'!J108</f>
        <v>3686677433.0510645</v>
      </c>
      <c r="K131" s="2">
        <f>K10/'Output-Calculation-sheet'!K9*'Output-Calculation-sheet'!K108</f>
        <v>3651333300.9869838</v>
      </c>
      <c r="L131" s="2">
        <f>L10/'Output-Calculation-sheet'!L9*'Output-Calculation-sheet'!L108</f>
        <v>2929148193.2506914</v>
      </c>
      <c r="M131" s="2">
        <f>M10/'Output-Calculation-sheet'!M9*'Output-Calculation-sheet'!M108</f>
        <v>2797841004.8226228</v>
      </c>
      <c r="N131" s="2">
        <f>N10/'Output-Calculation-sheet'!N9*'Output-Calculation-sheet'!N108</f>
        <v>2746072333.7546234</v>
      </c>
      <c r="O131" s="2">
        <f>O10/'Output-Calculation-sheet'!O9*'Output-Calculation-sheet'!O108</f>
        <v>6503419613.1552649</v>
      </c>
      <c r="P131" s="2">
        <f>P10/'Output-Calculation-sheet'!P9*'Output-Calculation-sheet'!P108</f>
        <v>2499876971.1400094</v>
      </c>
      <c r="Q131" s="2">
        <f>Q10/'Output-Calculation-sheet'!Q9*'Output-Calculation-sheet'!Q108</f>
        <v>2459474418.0675268</v>
      </c>
      <c r="R131" s="2">
        <f>R10/'Output-Calculation-sheet'!R9*'Output-Calculation-sheet'!R108</f>
        <v>2366126605.1230021</v>
      </c>
      <c r="S131" s="2">
        <f>S10/'Output-Calculation-sheet'!S9*'Output-Calculation-sheet'!S108</f>
        <v>1572649562.9463677</v>
      </c>
      <c r="T131" s="2">
        <f>T10/'Output-Calculation-sheet'!T9*'Output-Calculation-sheet'!T108</f>
        <v>869767622.25812161</v>
      </c>
      <c r="U131" s="2">
        <f>U10/'Output-Calculation-sheet'!U9*'Output-Calculation-sheet'!U108</f>
        <v>757538029.46285141</v>
      </c>
      <c r="V131" s="2">
        <f>V10/'Output-Calculation-sheet'!V9*'Output-Calculation-sheet'!V108</f>
        <v>583319433.28773201</v>
      </c>
      <c r="W131" s="2">
        <f>W10/'Output-Calculation-sheet'!W9*'Output-Calculation-sheet'!W108</f>
        <v>505025352.82056296</v>
      </c>
      <c r="X131" s="2">
        <f>X10/'Output-Calculation-sheet'!X9*'Output-Calculation-sheet'!X108</f>
        <v>303015152.50303245</v>
      </c>
      <c r="Y131" s="2">
        <f>Y10/'Output-Calculation-sheet'!Y9*'Output-Calculation-sheet'!Y108</f>
        <v>294679263.85630822</v>
      </c>
      <c r="AA131" s="2">
        <f t="shared" si="11"/>
        <v>129665.26883922007</v>
      </c>
    </row>
    <row r="132" spans="1:27" x14ac:dyDescent="0.25">
      <c r="A132" s="2">
        <v>2034</v>
      </c>
      <c r="B132" s="2">
        <f>B11/'Output-Calculation-sheet'!B10*'Output-Calculation-sheet'!B109</f>
        <v>14346256703.326847</v>
      </c>
      <c r="C132" s="2">
        <f>C11/'Output-Calculation-sheet'!C10*'Output-Calculation-sheet'!C109</f>
        <v>26526098614.327564</v>
      </c>
      <c r="D132" s="2">
        <f>D11/'Output-Calculation-sheet'!D10*'Output-Calculation-sheet'!D109</f>
        <v>6025593016.9499779</v>
      </c>
      <c r="E132" s="2">
        <f>E11/'Output-Calculation-sheet'!E10*'Output-Calculation-sheet'!E109</f>
        <v>4780696227.3534918</v>
      </c>
      <c r="F132" s="2">
        <f>F11/'Output-Calculation-sheet'!F10*'Output-Calculation-sheet'!F109</f>
        <v>3077505715.1708045</v>
      </c>
      <c r="G132" s="2">
        <f>G11/'Output-Calculation-sheet'!G10*'Output-Calculation-sheet'!G109</f>
        <v>2162340313.2750478</v>
      </c>
      <c r="H132" s="2">
        <f>H11/'Output-Calculation-sheet'!H10*'Output-Calculation-sheet'!H109</f>
        <v>2562452308.6660352</v>
      </c>
      <c r="I132" s="2">
        <f>I11/'Output-Calculation-sheet'!I10*'Output-Calculation-sheet'!I109</f>
        <v>1970062082.8634655</v>
      </c>
      <c r="J132" s="2">
        <f>J11/'Output-Calculation-sheet'!J10*'Output-Calculation-sheet'!J109</f>
        <v>1917522293.1190376</v>
      </c>
      <c r="K132" s="2">
        <f>K11/'Output-Calculation-sheet'!K10*'Output-Calculation-sheet'!K109</f>
        <v>1899139626.6934006</v>
      </c>
      <c r="L132" s="2">
        <f>L11/'Output-Calculation-sheet'!L10*'Output-Calculation-sheet'!L109</f>
        <v>1523514619.2721989</v>
      </c>
      <c r="M132" s="2">
        <f>M11/'Output-Calculation-sheet'!M10*'Output-Calculation-sheet'!M109</f>
        <v>1455219079.616622</v>
      </c>
      <c r="N132" s="2">
        <f>N11/'Output-Calculation-sheet'!N10*'Output-Calculation-sheet'!N109</f>
        <v>1428293489.8902476</v>
      </c>
      <c r="O132" s="2">
        <f>O11/'Output-Calculation-sheet'!O10*'Output-Calculation-sheet'!O109</f>
        <v>6295470612.3212013</v>
      </c>
      <c r="P132" s="2">
        <f>P11/'Output-Calculation-sheet'!P10*'Output-Calculation-sheet'!P109</f>
        <v>1300240976.6506615</v>
      </c>
      <c r="Q132" s="2">
        <f>Q11/'Output-Calculation-sheet'!Q10*'Output-Calculation-sheet'!Q109</f>
        <v>1601329491.7739594</v>
      </c>
      <c r="R132" s="2">
        <f>R11/'Output-Calculation-sheet'!R10*'Output-Calculation-sheet'!R109</f>
        <v>1230675050.0924315</v>
      </c>
      <c r="S132" s="2">
        <f>S11/'Output-Calculation-sheet'!S10*'Output-Calculation-sheet'!S109</f>
        <v>817969745.43262982</v>
      </c>
      <c r="T132" s="2">
        <f>T11/'Output-Calculation-sheet'!T10*'Output-Calculation-sheet'!T109</f>
        <v>452385548.2814275</v>
      </c>
      <c r="U132" s="2">
        <f>U11/'Output-Calculation-sheet'!U10*'Output-Calculation-sheet'!U109</f>
        <v>497579226.81332713</v>
      </c>
      <c r="V132" s="2">
        <f>V11/'Output-Calculation-sheet'!V10*'Output-Calculation-sheet'!V109</f>
        <v>303397405.6739884</v>
      </c>
      <c r="W132" s="2">
        <f>W11/'Output-Calculation-sheet'!W10*'Output-Calculation-sheet'!W109</f>
        <v>262674913.78749496</v>
      </c>
      <c r="X132" s="2">
        <f>X11/'Output-Calculation-sheet'!X10*'Output-Calculation-sheet'!X109</f>
        <v>208575207.00014967</v>
      </c>
      <c r="Y132" s="2">
        <f>Y11/'Output-Calculation-sheet'!Y10*'Output-Calculation-sheet'!Y109</f>
        <v>153269260.05890682</v>
      </c>
      <c r="AA132" s="2">
        <f t="shared" si="11"/>
        <v>82798.261528410949</v>
      </c>
    </row>
    <row r="133" spans="1:27" x14ac:dyDescent="0.25">
      <c r="A133" s="2">
        <v>2035</v>
      </c>
      <c r="B133" s="2">
        <f>B12/'Output-Calculation-sheet'!B11*'Output-Calculation-sheet'!B110</f>
        <v>15731261632.96677</v>
      </c>
      <c r="C133" s="2">
        <f>C12/'Output-Calculation-sheet'!C11*'Output-Calculation-sheet'!C110</f>
        <v>20279565329.392445</v>
      </c>
      <c r="D133" s="2">
        <f>D12/'Output-Calculation-sheet'!D11*'Output-Calculation-sheet'!D110</f>
        <v>5982006375.7726812</v>
      </c>
      <c r="E133" s="2">
        <f>E12/'Output-Calculation-sheet'!E11*'Output-Calculation-sheet'!E110</f>
        <v>2952607612.9131713</v>
      </c>
      <c r="F133" s="2">
        <f>F12/'Output-Calculation-sheet'!F11*'Output-Calculation-sheet'!F110</f>
        <v>2418343997.4084058</v>
      </c>
      <c r="G133" s="2">
        <f>G12/'Output-Calculation-sheet'!G11*'Output-Calculation-sheet'!G110</f>
        <v>2282320877.9368691</v>
      </c>
      <c r="H133" s="2">
        <f>H12/'Output-Calculation-sheet'!H11*'Output-Calculation-sheet'!H110</f>
        <v>2490324009.6789703</v>
      </c>
      <c r="I133" s="2">
        <f>I12/'Output-Calculation-sheet'!I11*'Output-Calculation-sheet'!I110</f>
        <v>1958884934.6713378</v>
      </c>
      <c r="J133" s="2">
        <f>J12/'Output-Calculation-sheet'!J11*'Output-Calculation-sheet'!J110</f>
        <v>1425343533.1646028</v>
      </c>
      <c r="K133" s="2">
        <f>K12/'Output-Calculation-sheet'!K11*'Output-Calculation-sheet'!K110</f>
        <v>1572290193.4013031</v>
      </c>
      <c r="L133" s="2">
        <f>L12/'Output-Calculation-sheet'!L11*'Output-Calculation-sheet'!L110</f>
        <v>687784777.92081392</v>
      </c>
      <c r="M133" s="2">
        <f>M12/'Output-Calculation-sheet'!M11*'Output-Calculation-sheet'!M110</f>
        <v>1369812111.5509677</v>
      </c>
      <c r="N133" s="2">
        <f>N12/'Output-Calculation-sheet'!N11*'Output-Calculation-sheet'!N110</f>
        <v>1245200564.6806917</v>
      </c>
      <c r="O133" s="2">
        <f>O12/'Output-Calculation-sheet'!O11*'Output-Calculation-sheet'!O110</f>
        <v>5496388790.8743982</v>
      </c>
      <c r="P133" s="2">
        <f>P12/'Output-Calculation-sheet'!P11*'Output-Calculation-sheet'!P110</f>
        <v>1052919585.8953599</v>
      </c>
      <c r="Q133" s="2">
        <f>Q12/'Output-Calculation-sheet'!Q11*'Output-Calculation-sheet'!Q110</f>
        <v>1513255379.6257315</v>
      </c>
      <c r="R133" s="2">
        <f>R12/'Output-Calculation-sheet'!R11*'Output-Calculation-sheet'!R110</f>
        <v>791472551.69708765</v>
      </c>
      <c r="S133" s="2">
        <f>S12/'Output-Calculation-sheet'!S11*'Output-Calculation-sheet'!S110</f>
        <v>920537907.35166526</v>
      </c>
      <c r="T133" s="2">
        <f>T12/'Output-Calculation-sheet'!T11*'Output-Calculation-sheet'!T110</f>
        <v>220379085.75235462</v>
      </c>
      <c r="U133" s="2">
        <f>U12/'Output-Calculation-sheet'!U11*'Output-Calculation-sheet'!U110</f>
        <v>510037265.89031863</v>
      </c>
      <c r="V133" s="2">
        <f>V12/'Output-Calculation-sheet'!V11*'Output-Calculation-sheet'!V110</f>
        <v>76269134.549053952</v>
      </c>
      <c r="W133" s="2">
        <f>W12/'Output-Calculation-sheet'!W11*'Output-Calculation-sheet'!W110</f>
        <v>152787542.47091684</v>
      </c>
      <c r="X133" s="2">
        <f>X12/'Output-Calculation-sheet'!X11*'Output-Calculation-sheet'!X110</f>
        <v>212491570.24375123</v>
      </c>
      <c r="Y133" s="2">
        <f>Y12/'Output-Calculation-sheet'!Y11*'Output-Calculation-sheet'!Y110</f>
        <v>150042693.12811464</v>
      </c>
      <c r="AA133" s="2">
        <f t="shared" si="11"/>
        <v>71492.327458937783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1028.8328216835048</v>
      </c>
      <c r="C19" s="2">
        <f>C8/'Output-Calculation-sheet'!C7*'Output-Calculation-sheet'!C25</f>
        <v>11773.129019137006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4615.9053266276351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3206.6884365690576</v>
      </c>
      <c r="N19" s="2">
        <f>N8/'Output-Calculation-sheet'!N7*'Output-Calculation-sheet'!N25</f>
        <v>1098.0945920444008</v>
      </c>
      <c r="O19" s="2">
        <f>O8/'Output-Calculation-sheet'!O7*'Output-Calculation-sheet'!O25</f>
        <v>1809.945939177989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391.81748515613634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358.69129909427818</v>
      </c>
      <c r="Y19" s="2">
        <f>Y8/'Output-Calculation-sheet'!Y7*'Output-Calculation-sheet'!Y25</f>
        <v>0</v>
      </c>
      <c r="AA19" s="2">
        <f t="shared" si="0"/>
        <v>24.283104919490004</v>
      </c>
    </row>
    <row r="20" spans="1:27" x14ac:dyDescent="0.25">
      <c r="A20" s="2">
        <v>2032</v>
      </c>
      <c r="B20" s="2">
        <f>B9/'Output-Calculation-sheet'!B8*'Output-Calculation-sheet'!B26</f>
        <v>5305.0038161207949</v>
      </c>
      <c r="C20" s="2">
        <f>C9/'Output-Calculation-sheet'!C8*'Output-Calculation-sheet'!C26</f>
        <v>12546.060292743236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5763.9905449795388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4010.4041373591499</v>
      </c>
      <c r="N20" s="2">
        <f>N9/'Output-Calculation-sheet'!N8*'Output-Calculation-sheet'!N26</f>
        <v>1809.8234551467838</v>
      </c>
      <c r="O20" s="2">
        <f>O9/'Output-Calculation-sheet'!O8*'Output-Calculation-sheet'!O26</f>
        <v>1987.745074823709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654.37879099246652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448.66572477312354</v>
      </c>
      <c r="Y20" s="2">
        <f>Y9/'Output-Calculation-sheet'!Y8*'Output-Calculation-sheet'!Y26</f>
        <v>0</v>
      </c>
      <c r="AA20" s="2">
        <f t="shared" si="0"/>
        <v>32.526071836938797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12768.991346651732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6362.7827850124095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4419.0147914739309</v>
      </c>
      <c r="N21" s="2">
        <f>N10/'Output-Calculation-sheet'!N9*'Output-Calculation-sheet'!N27</f>
        <v>2417.1475721581287</v>
      </c>
      <c r="O21" s="2">
        <f>O10/'Output-Calculation-sheet'!O9*'Output-Calculation-sheet'!O27</f>
        <v>1960.1969983545364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1052.3218960213658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519.67590710461434</v>
      </c>
      <c r="Y21" s="2">
        <f>Y10/'Output-Calculation-sheet'!Y9*'Output-Calculation-sheet'!Y27</f>
        <v>0</v>
      </c>
      <c r="AA21" s="2">
        <f t="shared" si="0"/>
        <v>40.670328157519315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12372.607462690092</v>
      </c>
      <c r="D22" s="2">
        <f>D11/'Output-Calculation-sheet'!D10*'Output-Calculation-sheet'!D28</f>
        <v>0</v>
      </c>
      <c r="E22" s="2">
        <f>E11/'Output-Calculation-sheet'!E10*'Output-Calculation-sheet'!E28</f>
        <v>914.17524373063759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6516.819766413787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535.97204254741223</v>
      </c>
      <c r="M22" s="2">
        <f>M11/'Output-Calculation-sheet'!M10*'Output-Calculation-sheet'!M28</f>
        <v>4871.951786349302</v>
      </c>
      <c r="N22" s="2">
        <f>N11/'Output-Calculation-sheet'!N10*'Output-Calculation-sheet'!N28</f>
        <v>2803.8353913918486</v>
      </c>
      <c r="O22" s="2">
        <f>O11/'Output-Calculation-sheet'!O10*'Output-Calculation-sheet'!O28</f>
        <v>1862.9311562757393</v>
      </c>
      <c r="P22" s="2">
        <f>P11/'Output-Calculation-sheet'!P10*'Output-Calculation-sheet'!P28</f>
        <v>0</v>
      </c>
      <c r="Q22" s="2">
        <f>Q11/'Output-Calculation-sheet'!Q10*'Output-Calculation-sheet'!Q28</f>
        <v>809.81197612777919</v>
      </c>
      <c r="R22" s="2">
        <f>R11/'Output-Calculation-sheet'!R10*'Output-Calculation-sheet'!R28</f>
        <v>0</v>
      </c>
      <c r="S22" s="2">
        <f>S11/'Output-Calculation-sheet'!S10*'Output-Calculation-sheet'!S28</f>
        <v>1421.9429161330595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469.22272959108665</v>
      </c>
      <c r="Y22" s="2">
        <f>Y11/'Output-Calculation-sheet'!Y10*'Output-Calculation-sheet'!Y28</f>
        <v>48.96339480460199</v>
      </c>
      <c r="AA22" s="2">
        <f t="shared" si="0"/>
        <v>50.229728424632114</v>
      </c>
    </row>
    <row r="23" spans="1:27" x14ac:dyDescent="0.25">
      <c r="A23" s="2">
        <v>2035</v>
      </c>
      <c r="B23" s="2">
        <f>B12/'Output-Calculation-sheet'!B11*'Output-Calculation-sheet'!B29</f>
        <v>13758.598909769433</v>
      </c>
      <c r="C23" s="2">
        <f>C12/'Output-Calculation-sheet'!C11*'Output-Calculation-sheet'!C29</f>
        <v>11689.847857489047</v>
      </c>
      <c r="D23" s="2">
        <f>D12/'Output-Calculation-sheet'!D11*'Output-Calculation-sheet'!D29</f>
        <v>0</v>
      </c>
      <c r="E23" s="2">
        <f>E12/'Output-Calculation-sheet'!E11*'Output-Calculation-sheet'!E29</f>
        <v>2314.3858744344416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5074.1453702424524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837.51298291652199</v>
      </c>
      <c r="M23" s="2">
        <f>M12/'Output-Calculation-sheet'!M11*'Output-Calculation-sheet'!M29</f>
        <v>3846.391240224305</v>
      </c>
      <c r="N23" s="2">
        <f>N12/'Output-Calculation-sheet'!N11*'Output-Calculation-sheet'!N29</f>
        <v>2265.0315098148631</v>
      </c>
      <c r="O23" s="2">
        <f>O12/'Output-Calculation-sheet'!O11*'Output-Calculation-sheet'!O29</f>
        <v>1751.4692124792216</v>
      </c>
      <c r="P23" s="2">
        <f>P12/'Output-Calculation-sheet'!P11*'Output-Calculation-sheet'!P29</f>
        <v>267.30167005041085</v>
      </c>
      <c r="Q23" s="2">
        <f>Q12/'Output-Calculation-sheet'!Q11*'Output-Calculation-sheet'!Q29</f>
        <v>714.84013393501311</v>
      </c>
      <c r="R23" s="2">
        <f>R12/'Output-Calculation-sheet'!R11*'Output-Calculation-sheet'!R29</f>
        <v>0</v>
      </c>
      <c r="S23" s="2">
        <f>S12/'Output-Calculation-sheet'!S11*'Output-Calculation-sheet'!S29</f>
        <v>1089.0466841227726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360.56840512625291</v>
      </c>
      <c r="Y23" s="2">
        <f>Y12/'Output-Calculation-sheet'!Y11*'Output-Calculation-sheet'!Y29</f>
        <v>50.890870617779903</v>
      </c>
      <c r="AA23" s="2">
        <f t="shared" si="0"/>
        <v>44.020030721222525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17932.221869349964</v>
      </c>
      <c r="C30" s="2">
        <f>C8/'Output-Calculation-sheet'!C7*'Output-Calculation-sheet'!C16</f>
        <v>0</v>
      </c>
      <c r="D30" s="2">
        <f>D8/'Output-Calculation-sheet'!D7*'Output-Calculation-sheet'!D16</f>
        <v>3019.5491050109345</v>
      </c>
      <c r="E30" s="2">
        <f>E8/'Output-Calculation-sheet'!E7*'Output-Calculation-sheet'!E16</f>
        <v>3248.8642389352494</v>
      </c>
      <c r="F30" s="2">
        <f>F8/'Output-Calculation-sheet'!F7*'Output-Calculation-sheet'!F16</f>
        <v>1639.0692966337356</v>
      </c>
      <c r="G30" s="2">
        <f>G8/'Output-Calculation-sheet'!G7*'Output-Calculation-sheet'!G16</f>
        <v>1073.3957143868743</v>
      </c>
      <c r="H30" s="2">
        <f>H8/'Output-Calculation-sheet'!H7*'Output-Calculation-sheet'!H16</f>
        <v>0</v>
      </c>
      <c r="I30" s="2">
        <f>I8/'Output-Calculation-sheet'!I7*'Output-Calculation-sheet'!I16</f>
        <v>1046.4001005822333</v>
      </c>
      <c r="J30" s="2">
        <f>J8/'Output-Calculation-sheet'!J7*'Output-Calculation-sheet'!J16</f>
        <v>931.4972953161722</v>
      </c>
      <c r="K30" s="2">
        <f>K8/'Output-Calculation-sheet'!K7*'Output-Calculation-sheet'!K16</f>
        <v>1243.7269354615728</v>
      </c>
      <c r="L30" s="2">
        <f>L8/'Output-Calculation-sheet'!L7*'Output-Calculation-sheet'!L16</f>
        <v>1050.5449086143713</v>
      </c>
      <c r="M30" s="2">
        <f>M8/'Output-Calculation-sheet'!M7*'Output-Calculation-sheet'!M16</f>
        <v>0</v>
      </c>
      <c r="N30" s="2">
        <f>N8/'Output-Calculation-sheet'!N7*'Output-Calculation-sheet'!N16</f>
        <v>1492.2105355681149</v>
      </c>
      <c r="O30" s="2">
        <f>O8/'Output-Calculation-sheet'!O7*'Output-Calculation-sheet'!O16</f>
        <v>0</v>
      </c>
      <c r="P30" s="2">
        <f>P8/'Output-Calculation-sheet'!P7*'Output-Calculation-sheet'!P16</f>
        <v>1341.1498660308457</v>
      </c>
      <c r="Q30" s="2">
        <f>Q8/'Output-Calculation-sheet'!Q7*'Output-Calculation-sheet'!Q16</f>
        <v>1474.8219247006186</v>
      </c>
      <c r="R30" s="2">
        <f>R8/'Output-Calculation-sheet'!R7*'Output-Calculation-sheet'!R16</f>
        <v>935.78092136516455</v>
      </c>
      <c r="S30" s="2">
        <f>S8/'Output-Calculation-sheet'!S7*'Output-Calculation-sheet'!S16</f>
        <v>941.1212054015366</v>
      </c>
      <c r="T30" s="2">
        <f>T8/'Output-Calculation-sheet'!T7*'Output-Calculation-sheet'!T16</f>
        <v>280.90798145362169</v>
      </c>
      <c r="U30" s="2">
        <f>U8/'Output-Calculation-sheet'!U7*'Output-Calculation-sheet'!U16</f>
        <v>280.40586555995532</v>
      </c>
      <c r="V30" s="2">
        <f>V8/'Output-Calculation-sheet'!V7*'Output-Calculation-sheet'!V16</f>
        <v>218.23455507826759</v>
      </c>
      <c r="W30" s="2">
        <f>W8/'Output-Calculation-sheet'!W7*'Output-Calculation-sheet'!W16</f>
        <v>132.37025941231224</v>
      </c>
      <c r="X30" s="2">
        <f>X8/'Output-Calculation-sheet'!X7*'Output-Calculation-sheet'!X16</f>
        <v>0</v>
      </c>
      <c r="Y30" s="2">
        <f>Y8/'Output-Calculation-sheet'!Y7*'Output-Calculation-sheet'!Y16</f>
        <v>112.03637576889959</v>
      </c>
      <c r="AA30" s="2">
        <f t="shared" si="1"/>
        <v>38.394308954630446</v>
      </c>
    </row>
    <row r="31" spans="1:27" x14ac:dyDescent="0.25">
      <c r="A31" s="2">
        <v>2032</v>
      </c>
      <c r="B31" s="2">
        <f>B9/'Output-Calculation-sheet'!B8*'Output-Calculation-sheet'!B17</f>
        <v>22463.138864358662</v>
      </c>
      <c r="C31" s="2">
        <f>C9/'Output-Calculation-sheet'!C8*'Output-Calculation-sheet'!C17</f>
        <v>0</v>
      </c>
      <c r="D31" s="2">
        <f>D9/'Output-Calculation-sheet'!D8*'Output-Calculation-sheet'!D17</f>
        <v>3767.3633204686225</v>
      </c>
      <c r="E31" s="2">
        <f>E9/'Output-Calculation-sheet'!E8*'Output-Calculation-sheet'!E17</f>
        <v>4428.020855092499</v>
      </c>
      <c r="F31" s="2">
        <f>F9/'Output-Calculation-sheet'!F8*'Output-Calculation-sheet'!F17</f>
        <v>2045.047038747422</v>
      </c>
      <c r="G31" s="2">
        <f>G9/'Output-Calculation-sheet'!G8*'Output-Calculation-sheet'!G17</f>
        <v>1339.2505089036499</v>
      </c>
      <c r="H31" s="2">
        <f>H9/'Output-Calculation-sheet'!H8*'Output-Calculation-sheet'!H17</f>
        <v>0</v>
      </c>
      <c r="I31" s="2">
        <f>I9/'Output-Calculation-sheet'!I8*'Output-Calculation-sheet'!I17</f>
        <v>1305.5748336689855</v>
      </c>
      <c r="J31" s="2">
        <f>J9/'Output-Calculation-sheet'!J8*'Output-Calculation-sheet'!J17</f>
        <v>1162.2132512068101</v>
      </c>
      <c r="K31" s="2">
        <f>K9/'Output-Calculation-sheet'!K8*'Output-Calculation-sheet'!K17</f>
        <v>1654.6830853086519</v>
      </c>
      <c r="L31" s="2">
        <f>L9/'Output-Calculation-sheet'!L8*'Output-Calculation-sheet'!L17</f>
        <v>1411.1537858364495</v>
      </c>
      <c r="M31" s="2">
        <f>M9/'Output-Calculation-sheet'!M8*'Output-Calculation-sheet'!M17</f>
        <v>0</v>
      </c>
      <c r="N31" s="2">
        <f>N9/'Output-Calculation-sheet'!N8*'Output-Calculation-sheet'!N17</f>
        <v>1534.0684923073227</v>
      </c>
      <c r="O31" s="2">
        <f>O9/'Output-Calculation-sheet'!O8*'Output-Calculation-sheet'!O17</f>
        <v>0</v>
      </c>
      <c r="P31" s="2">
        <f>P9/'Output-Calculation-sheet'!P8*'Output-Calculation-sheet'!P17</f>
        <v>1904.0171033598226</v>
      </c>
      <c r="Q31" s="2">
        <f>Q9/'Output-Calculation-sheet'!Q8*'Output-Calculation-sheet'!Q17</f>
        <v>2029.8571674649334</v>
      </c>
      <c r="R31" s="2">
        <f>R9/'Output-Calculation-sheet'!R8*'Output-Calculation-sheet'!R17</f>
        <v>1328.0398356631104</v>
      </c>
      <c r="S31" s="2">
        <f>S9/'Output-Calculation-sheet'!S8*'Output-Calculation-sheet'!S17</f>
        <v>1146.7842516740354</v>
      </c>
      <c r="T31" s="2">
        <f>T9/'Output-Calculation-sheet'!T8*'Output-Calculation-sheet'!T17</f>
        <v>360.37331216322974</v>
      </c>
      <c r="U31" s="2">
        <f>U9/'Output-Calculation-sheet'!U8*'Output-Calculation-sheet'!U17</f>
        <v>414.18382325026244</v>
      </c>
      <c r="V31" s="2">
        <f>V9/'Output-Calculation-sheet'!V8*'Output-Calculation-sheet'!V17</f>
        <v>296.66022002101334</v>
      </c>
      <c r="W31" s="2">
        <f>W9/'Output-Calculation-sheet'!W8*'Output-Calculation-sheet'!W17</f>
        <v>165.15774396921938</v>
      </c>
      <c r="X31" s="2">
        <f>X9/'Output-Calculation-sheet'!X8*'Output-Calculation-sheet'!X17</f>
        <v>0</v>
      </c>
      <c r="Y31" s="2">
        <f>Y9/'Output-Calculation-sheet'!Y8*'Output-Calculation-sheet'!Y17</f>
        <v>159.57816252151929</v>
      </c>
      <c r="AA31" s="2">
        <f t="shared" si="1"/>
        <v>48.915165655986222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1360.3597867974208</v>
      </c>
      <c r="O32" s="2">
        <f>O10/'Output-Calculation-sheet'!O9*'Output-Calculation-sheet'!O18</f>
        <v>0</v>
      </c>
      <c r="P32" s="2">
        <f>P10/'Output-Calculation-sheet'!P9*'Output-Calculation-sheet'!P18</f>
        <v>2189.5558594452723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1572.0273587220743</v>
      </c>
      <c r="S32" s="2">
        <f>S10/'Output-Calculation-sheet'!S9*'Output-Calculation-sheet'!S18</f>
        <v>1028.8874673591445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507.4753729873006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53.623994206361516</v>
      </c>
    </row>
    <row r="33" spans="1:27" x14ac:dyDescent="0.25">
      <c r="A33" s="2">
        <v>2034</v>
      </c>
      <c r="B33" s="2">
        <f>B11/'Output-Calculation-sheet'!B10*'Output-Calculation-sheet'!B19</f>
        <v>17753.623220315309</v>
      </c>
      <c r="C33" s="2">
        <f>C11/'Output-Calculation-sheet'!C10*'Output-Calculation-sheet'!C19</f>
        <v>0</v>
      </c>
      <c r="D33" s="2">
        <f>D11/'Output-Calculation-sheet'!D10*'Output-Calculation-sheet'!D19</f>
        <v>5304.789019434068</v>
      </c>
      <c r="E33" s="2">
        <f>E11/'Output-Calculation-sheet'!E10*'Output-Calculation-sheet'!E19</f>
        <v>6550.6995045856493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1802.721900142215</v>
      </c>
      <c r="H33" s="2">
        <f>H11/'Output-Calculation-sheet'!H10*'Output-Calculation-sheet'!H19</f>
        <v>0</v>
      </c>
      <c r="I33" s="2">
        <f>I11/'Output-Calculation-sheet'!I10*'Output-Calculation-sheet'!I19</f>
        <v>1969.7578847802167</v>
      </c>
      <c r="J33" s="2">
        <f>J11/'Output-Calculation-sheet'!J10*'Output-Calculation-sheet'!J19</f>
        <v>1663.4652869962752</v>
      </c>
      <c r="K33" s="2">
        <f>K11/'Output-Calculation-sheet'!K10*'Output-Calculation-sheet'!K19</f>
        <v>2307.921069535987</v>
      </c>
      <c r="L33" s="2">
        <f>L11/'Output-Calculation-sheet'!L10*'Output-Calculation-sheet'!L19</f>
        <v>1878.8331309568039</v>
      </c>
      <c r="M33" s="2">
        <f>M11/'Output-Calculation-sheet'!M10*'Output-Calculation-sheet'!M19</f>
        <v>0</v>
      </c>
      <c r="N33" s="2">
        <f>N11/'Output-Calculation-sheet'!N10*'Output-Calculation-sheet'!N19</f>
        <v>1061.2705709106674</v>
      </c>
      <c r="O33" s="2">
        <f>O11/'Output-Calculation-sheet'!O10*'Output-Calculation-sheet'!O19</f>
        <v>0</v>
      </c>
      <c r="P33" s="2">
        <f>P11/'Output-Calculation-sheet'!P10*'Output-Calculation-sheet'!P19</f>
        <v>2336.858184936932</v>
      </c>
      <c r="Q33" s="2">
        <f>Q11/'Output-Calculation-sheet'!Q10*'Output-Calculation-sheet'!Q19</f>
        <v>1903.6252323836604</v>
      </c>
      <c r="R33" s="2">
        <f>R11/'Output-Calculation-sheet'!R10*'Output-Calculation-sheet'!R19</f>
        <v>1667.1674791483499</v>
      </c>
      <c r="S33" s="2">
        <f>S11/'Output-Calculation-sheet'!S10*'Output-Calculation-sheet'!S19</f>
        <v>779.26289861008377</v>
      </c>
      <c r="T33" s="2">
        <f>T11/'Output-Calculation-sheet'!T10*'Output-Calculation-sheet'!T19</f>
        <v>489.22676588917909</v>
      </c>
      <c r="U33" s="2">
        <f>U11/'Output-Calculation-sheet'!U10*'Output-Calculation-sheet'!U19</f>
        <v>524.19598437255797</v>
      </c>
      <c r="V33" s="2">
        <f>V11/'Output-Calculation-sheet'!V10*'Output-Calculation-sheet'!V19</f>
        <v>383.63151270223852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61.797936649526363</v>
      </c>
      <c r="Y33" s="2">
        <f>Y11/'Output-Calculation-sheet'!Y10*'Output-Calculation-sheet'!Y19</f>
        <v>215.30497315011476</v>
      </c>
      <c r="AA33" s="2">
        <f t="shared" si="1"/>
        <v>51.903229074915075</v>
      </c>
    </row>
    <row r="34" spans="1:27" x14ac:dyDescent="0.25">
      <c r="A34" s="2">
        <v>2035</v>
      </c>
      <c r="B34" s="2">
        <f>B12/'Output-Calculation-sheet'!B11*'Output-Calculation-sheet'!B20</f>
        <v>12584.895610637099</v>
      </c>
      <c r="C34" s="2">
        <f>C12/'Output-Calculation-sheet'!C11*'Output-Calculation-sheet'!C20</f>
        <v>0</v>
      </c>
      <c r="D34" s="2">
        <f>D12/'Output-Calculation-sheet'!D11*'Output-Calculation-sheet'!D20</f>
        <v>4050.5329479321717</v>
      </c>
      <c r="E34" s="2">
        <f>E12/'Output-Calculation-sheet'!E11*'Output-Calculation-sheet'!E20</f>
        <v>4500.7091109333405</v>
      </c>
      <c r="F34" s="2">
        <f>F12/'Output-Calculation-sheet'!F11*'Output-Calculation-sheet'!F20</f>
        <v>2517.4235185835223</v>
      </c>
      <c r="G34" s="2">
        <f>G12/'Output-Calculation-sheet'!G11*'Output-Calculation-sheet'!G20</f>
        <v>1358.8742231161659</v>
      </c>
      <c r="H34" s="2">
        <f>H12/'Output-Calculation-sheet'!H11*'Output-Calculation-sheet'!H20</f>
        <v>0</v>
      </c>
      <c r="I34" s="2">
        <f>I12/'Output-Calculation-sheet'!I11*'Output-Calculation-sheet'!I20</f>
        <v>1510.746454795024</v>
      </c>
      <c r="J34" s="2">
        <f>J12/'Output-Calculation-sheet'!J11*'Output-Calculation-sheet'!J20</f>
        <v>1400.3131112183589</v>
      </c>
      <c r="K34" s="2">
        <f>K12/'Output-Calculation-sheet'!K11*'Output-Calculation-sheet'!K20</f>
        <v>1862.2753338343909</v>
      </c>
      <c r="L34" s="2">
        <f>L12/'Output-Calculation-sheet'!L11*'Output-Calculation-sheet'!L20</f>
        <v>1486.1737899773311</v>
      </c>
      <c r="M34" s="2">
        <f>M12/'Output-Calculation-sheet'!M11*'Output-Calculation-sheet'!M20</f>
        <v>0</v>
      </c>
      <c r="N34" s="2">
        <f>N12/'Output-Calculation-sheet'!N11*'Output-Calculation-sheet'!N20</f>
        <v>796.97333455922444</v>
      </c>
      <c r="O34" s="2">
        <f>O12/'Output-Calculation-sheet'!O11*'Output-Calculation-sheet'!O20</f>
        <v>0</v>
      </c>
      <c r="P34" s="2">
        <f>P12/'Output-Calculation-sheet'!P11*'Output-Calculation-sheet'!P20</f>
        <v>1697.4896550371679</v>
      </c>
      <c r="Q34" s="2">
        <f>Q12/'Output-Calculation-sheet'!Q11*'Output-Calculation-sheet'!Q20</f>
        <v>1415.6905433077006</v>
      </c>
      <c r="R34" s="2">
        <f>R12/'Output-Calculation-sheet'!R11*'Output-Calculation-sheet'!R20</f>
        <v>1426.0931963421669</v>
      </c>
      <c r="S34" s="2">
        <f>S12/'Output-Calculation-sheet'!S11*'Output-Calculation-sheet'!S20</f>
        <v>544.76294838551689</v>
      </c>
      <c r="T34" s="2">
        <f>T12/'Output-Calculation-sheet'!T11*'Output-Calculation-sheet'!T20</f>
        <v>432.54905869940387</v>
      </c>
      <c r="U34" s="2">
        <f>U12/'Output-Calculation-sheet'!U11*'Output-Calculation-sheet'!U20</f>
        <v>398.14054542889966</v>
      </c>
      <c r="V34" s="2">
        <f>V12/'Output-Calculation-sheet'!V11*'Output-Calculation-sheet'!V20</f>
        <v>391.99836990165653</v>
      </c>
      <c r="W34" s="2">
        <f>W12/'Output-Calculation-sheet'!W11*'Output-Calculation-sheet'!W20</f>
        <v>212.69000573450265</v>
      </c>
      <c r="X34" s="2">
        <f>X12/'Output-Calculation-sheet'!X11*'Output-Calculation-sheet'!X20</f>
        <v>44.904549577062411</v>
      </c>
      <c r="Y34" s="2">
        <f>Y12/'Output-Calculation-sheet'!Y11*'Output-Calculation-sheet'!Y20</f>
        <v>154.36886164921688</v>
      </c>
      <c r="AA34" s="2">
        <f t="shared" si="1"/>
        <v>38.787605169649929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0.97747143858770402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0.18989640430927951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1.1673678428969836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0.97565444245516797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0.18954341084206272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1.1651978532972307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0.89402231487040906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0.17368448454252849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1.0677067994129374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0.75170929392369834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0.2313995319700648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0.14603689311702545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0.13711153150638908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4.3746956236069993E-2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1.3274716390106263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0.5722246984618149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0.1111678647632531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4.7962790327736551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11746.805884782058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6545.8110097302942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4467.8346599531505</v>
      </c>
      <c r="N52" s="2">
        <f>N8/'Output-Calculation-sheet'!N7*'Output-Calculation-sheet'!N43</f>
        <v>142.80209919786734</v>
      </c>
      <c r="O52" s="2">
        <f>O8/'Output-Calculation-sheet'!O7*'Output-Calculation-sheet'!O43</f>
        <v>549.70011773738804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575.80603923949138</v>
      </c>
      <c r="Y52" s="2">
        <f>Y8/'Output-Calculation-sheet'!Y7*'Output-Calculation-sheet'!Y43</f>
        <v>0</v>
      </c>
      <c r="AA52" s="2">
        <f t="shared" si="3"/>
        <v>24.028759810640249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14720.400359849902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11565.602228872129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7903.8815861163494</v>
      </c>
      <c r="N53" s="2">
        <f>N9/'Output-Calculation-sheet'!N8*'Output-Calculation-sheet'!N44</f>
        <v>2815.0988000668631</v>
      </c>
      <c r="O53" s="2">
        <f>O9/'Output-Calculation-sheet'!O8*'Output-Calculation-sheet'!O44</f>
        <v>1097.3565890856262</v>
      </c>
      <c r="P53" s="2">
        <f>P9/'Output-Calculation-sheet'!P8*'Output-Calculation-sheet'!P44</f>
        <v>131.67817999151586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868.13374591249794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988.38628771377842</v>
      </c>
      <c r="Y53" s="2">
        <f>Y9/'Output-Calculation-sheet'!Y8*'Output-Calculation-sheet'!Y44</f>
        <v>0</v>
      </c>
      <c r="AA53" s="2">
        <f t="shared" si="3"/>
        <v>40.090537777608674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19056.791448553457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1691.1384021246195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378.80833115643168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81.295366054957739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23210.672935187875</v>
      </c>
      <c r="D55" s="2">
        <f>D11/'Output-Calculation-sheet'!D10*'Output-Calculation-sheet'!D46</f>
        <v>4614.4853722311809</v>
      </c>
      <c r="E55" s="2">
        <f>E11/'Output-Calculation-sheet'!E10*'Output-Calculation-sheet'!E46</f>
        <v>5756.244869882652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15101.864191730543</v>
      </c>
      <c r="I55" s="2">
        <f>I11/'Output-Calculation-sheet'!I10*'Output-Calculation-sheet'!I46</f>
        <v>1111.9312188642307</v>
      </c>
      <c r="J55" s="2">
        <f>J11/'Output-Calculation-sheet'!J10*'Output-Calculation-sheet'!J46</f>
        <v>820.67222016724713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10670.903386525426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2331.466188359529</v>
      </c>
      <c r="P55" s="2">
        <f>P11/'Output-Calculation-sheet'!P10*'Output-Calculation-sheet'!P46</f>
        <v>2992.8828981663642</v>
      </c>
      <c r="Q55" s="2">
        <f>Q11/'Output-Calculation-sheet'!Q10*'Output-Calculation-sheet'!Q46</f>
        <v>2333.3015010736385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3997.4709680388833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713.76612806219464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1074.0938607388173</v>
      </c>
      <c r="Y55" s="2">
        <f>Y11/'Output-Calculation-sheet'!Y10*'Output-Calculation-sheet'!Y46</f>
        <v>282.41856639726342</v>
      </c>
      <c r="AA55" s="2">
        <f t="shared" si="3"/>
        <v>142.3384183711627</v>
      </c>
    </row>
    <row r="56" spans="1:27" x14ac:dyDescent="0.25">
      <c r="A56" s="2">
        <v>2035</v>
      </c>
      <c r="B56" s="2">
        <f>B12/'Output-Calculation-sheet'!B11*'Output-Calculation-sheet'!B47</f>
        <v>39236.25193531235</v>
      </c>
      <c r="C56" s="2">
        <f>C12/'Output-Calculation-sheet'!C11*'Output-Calculation-sheet'!C47</f>
        <v>29263.771859933164</v>
      </c>
      <c r="D56" s="2">
        <f>D12/'Output-Calculation-sheet'!D11*'Output-Calculation-sheet'!D47</f>
        <v>4001.7999178218083</v>
      </c>
      <c r="E56" s="2">
        <f>E12/'Output-Calculation-sheet'!E11*'Output-Calculation-sheet'!E47</f>
        <v>10071.151162149446</v>
      </c>
      <c r="F56" s="2">
        <f>F12/'Output-Calculation-sheet'!F11*'Output-Calculation-sheet'!F47</f>
        <v>555.61960223347592</v>
      </c>
      <c r="G56" s="2">
        <f>G12/'Output-Calculation-sheet'!G11*'Output-Calculation-sheet'!G47</f>
        <v>1483.3826648567203</v>
      </c>
      <c r="H56" s="2">
        <f>H12/'Output-Calculation-sheet'!H11*'Output-Calculation-sheet'!H47</f>
        <v>11604.174235592793</v>
      </c>
      <c r="I56" s="2">
        <f>I12/'Output-Calculation-sheet'!I11*'Output-Calculation-sheet'!I47</f>
        <v>946.86164965074374</v>
      </c>
      <c r="J56" s="2">
        <f>J12/'Output-Calculation-sheet'!J11*'Output-Calculation-sheet'!J47</f>
        <v>1547.6053892766727</v>
      </c>
      <c r="K56" s="2">
        <f>K12/'Output-Calculation-sheet'!K11*'Output-Calculation-sheet'!K47</f>
        <v>2129.1365099034861</v>
      </c>
      <c r="L56" s="2">
        <f>L12/'Output-Calculation-sheet'!L11*'Output-Calculation-sheet'!L47</f>
        <v>2287.2146684021272</v>
      </c>
      <c r="M56" s="2">
        <f>M12/'Output-Calculation-sheet'!M11*'Output-Calculation-sheet'!M47</f>
        <v>8154.9231445987107</v>
      </c>
      <c r="N56" s="2">
        <f>N12/'Output-Calculation-sheet'!N11*'Output-Calculation-sheet'!N47</f>
        <v>6520.66241972224</v>
      </c>
      <c r="O56" s="2">
        <f>O12/'Output-Calculation-sheet'!O11*'Output-Calculation-sheet'!O47</f>
        <v>3227.7687049681381</v>
      </c>
      <c r="P56" s="2">
        <f>P12/'Output-Calculation-sheet'!P11*'Output-Calculation-sheet'!P47</f>
        <v>2828.5380232139255</v>
      </c>
      <c r="Q56" s="2">
        <f>Q12/'Output-Calculation-sheet'!Q11*'Output-Calculation-sheet'!Q47</f>
        <v>2060.0052529602567</v>
      </c>
      <c r="R56" s="2">
        <f>R12/'Output-Calculation-sheet'!R11*'Output-Calculation-sheet'!R47</f>
        <v>2396.9784032032753</v>
      </c>
      <c r="S56" s="2">
        <f>S12/'Output-Calculation-sheet'!S11*'Output-Calculation-sheet'!S47</f>
        <v>3037.0101583569608</v>
      </c>
      <c r="T56" s="2">
        <f>T12/'Output-Calculation-sheet'!T11*'Output-Calculation-sheet'!T47</f>
        <v>786.02531440289272</v>
      </c>
      <c r="U56" s="2">
        <f>U12/'Output-Calculation-sheet'!U11*'Output-Calculation-sheet'!U47</f>
        <v>549.18354836334049</v>
      </c>
      <c r="V56" s="2">
        <f>V12/'Output-Calculation-sheet'!V11*'Output-Calculation-sheet'!V47</f>
        <v>540.60041359090246</v>
      </c>
      <c r="W56" s="2">
        <f>W12/'Output-Calculation-sheet'!W11*'Output-Calculation-sheet'!W47</f>
        <v>193.09921286559336</v>
      </c>
      <c r="X56" s="2">
        <f>X12/'Output-Calculation-sheet'!X11*'Output-Calculation-sheet'!X47</f>
        <v>823.46585629252866</v>
      </c>
      <c r="Y56" s="2">
        <f>Y12/'Output-Calculation-sheet'!Y11*'Output-Calculation-sheet'!Y47</f>
        <v>251.00444889224158</v>
      </c>
      <c r="AA56" s="2">
        <f t="shared" si="3"/>
        <v>134.49623449656377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6.983776939554506</v>
      </c>
      <c r="C63" s="2">
        <f>C8*'Output-Calculation-sheet'!C52/10^9</f>
        <v>4.3776910239192919</v>
      </c>
      <c r="D63" s="2">
        <f>D8*'Output-Calculation-sheet'!D52/10^9</f>
        <v>2.3948705663268446</v>
      </c>
      <c r="E63" s="2">
        <f>E8*'Output-Calculation-sheet'!E52/10^9</f>
        <v>2.381155706760091</v>
      </c>
      <c r="F63" s="2">
        <f>F8*'Output-Calculation-sheet'!F52/10^9</f>
        <v>1.0084200478652308</v>
      </c>
      <c r="G63" s="2">
        <f>G8*'Output-Calculation-sheet'!G52/10^9</f>
        <v>0.72500757816340378</v>
      </c>
      <c r="H63" s="2">
        <f>H8*'Output-Calculation-sheet'!H52/10^9</f>
        <v>1.2664384241220217</v>
      </c>
      <c r="I63" s="2">
        <f>I8*'Output-Calculation-sheet'!I52/10^9</f>
        <v>0.67442545924040509</v>
      </c>
      <c r="J63" s="2">
        <f>J8*'Output-Calculation-sheet'!J52/10^9</f>
        <v>0.92805605219698195</v>
      </c>
      <c r="K63" s="2">
        <f>K8*'Output-Calculation-sheet'!K52/10^9</f>
        <v>0.81537767404503558</v>
      </c>
      <c r="L63" s="2">
        <f>L8*'Output-Calculation-sheet'!L52/10^9</f>
        <v>1.0967206577861401</v>
      </c>
      <c r="M63" s="2">
        <f>M8*'Output-Calculation-sheet'!M52/10^9</f>
        <v>1.0279509502576123</v>
      </c>
      <c r="N63" s="2">
        <f>N8*'Output-Calculation-sheet'!N52/10^9</f>
        <v>0.8579050350736912</v>
      </c>
      <c r="O63" s="2">
        <f>O8*'Output-Calculation-sheet'!O52/10^9</f>
        <v>0.89884031423322652</v>
      </c>
      <c r="P63" s="2">
        <f>P8*'Output-Calculation-sheet'!P52/10^9</f>
        <v>0.56340501313449864</v>
      </c>
      <c r="Q63" s="2">
        <f>Q8*'Output-Calculation-sheet'!Q52/10^9</f>
        <v>0.63760589394663569</v>
      </c>
      <c r="R63" s="2">
        <f>R8*'Output-Calculation-sheet'!R52/10^9</f>
        <v>0.57244416841114854</v>
      </c>
      <c r="S63" s="2">
        <f>S8*'Output-Calculation-sheet'!S52/10^9</f>
        <v>0.4242039367610857</v>
      </c>
      <c r="T63" s="2">
        <f>T8*'Output-Calculation-sheet'!T52/10^9</f>
        <v>0.2176359838127632</v>
      </c>
      <c r="U63" s="2">
        <f>U8*'Output-Calculation-sheet'!U52/10^9</f>
        <v>0.14946997379761598</v>
      </c>
      <c r="V63" s="2">
        <f>V8*'Output-Calculation-sheet'!V52/10^9</f>
        <v>0.26527408399515107</v>
      </c>
      <c r="W63" s="2">
        <f>W8*'Output-Calculation-sheet'!W52/10^9</f>
        <v>9.6016975714998856E-2</v>
      </c>
      <c r="X63" s="2">
        <f>X8*'Output-Calculation-sheet'!X52/10^9</f>
        <v>0.11052125369017708</v>
      </c>
      <c r="Y63" s="2">
        <f>Y8*'Output-Calculation-sheet'!Y52/10^9</f>
        <v>6.264834518230572E-2</v>
      </c>
      <c r="AA63" s="2">
        <f t="shared" si="4"/>
        <v>28.535862057990862</v>
      </c>
    </row>
    <row r="64" spans="1:27" x14ac:dyDescent="0.25">
      <c r="A64" s="2">
        <v>2032</v>
      </c>
      <c r="B64" s="2">
        <f>B9*'Output-Calculation-sheet'!B53/10^9</f>
        <v>6.6514792060530334</v>
      </c>
      <c r="C64" s="2">
        <f>C9*'Output-Calculation-sheet'!C53/10^9</f>
        <v>4.4379464177813608</v>
      </c>
      <c r="D64" s="2">
        <f>D9*'Output-Calculation-sheet'!D53/10^9</f>
        <v>1.9684372569050952</v>
      </c>
      <c r="E64" s="2">
        <f>E9*'Output-Calculation-sheet'!E53/10^9</f>
        <v>2.0157757221189958</v>
      </c>
      <c r="F64" s="2">
        <f>F9*'Output-Calculation-sheet'!F53/10^9</f>
        <v>0.85024227344933168</v>
      </c>
      <c r="G64" s="2">
        <f>G9*'Output-Calculation-sheet'!G53/10^9</f>
        <v>0.60517579752781792</v>
      </c>
      <c r="H64" s="2">
        <f>H9*'Output-Calculation-sheet'!H53/10^9</f>
        <v>1.24347396088179</v>
      </c>
      <c r="I64" s="2">
        <f>I9*'Output-Calculation-sheet'!I53/10^9</f>
        <v>0.5657405570389854</v>
      </c>
      <c r="J64" s="2">
        <f>J9*'Output-Calculation-sheet'!J53/10^9</f>
        <v>0.7489262789739588</v>
      </c>
      <c r="K64" s="2">
        <f>K9*'Output-Calculation-sheet'!K53/10^9</f>
        <v>0.69489990800642254</v>
      </c>
      <c r="L64" s="2">
        <f>L9*'Output-Calculation-sheet'!L53/10^9</f>
        <v>0.89398297530076909</v>
      </c>
      <c r="M64" s="2">
        <f>M9*'Output-Calculation-sheet'!M53/10^9</f>
        <v>0.97457324278015633</v>
      </c>
      <c r="N64" s="2">
        <f>N9*'Output-Calculation-sheet'!N53/10^9</f>
        <v>0.82042796979109089</v>
      </c>
      <c r="O64" s="2">
        <f>O9*'Output-Calculation-sheet'!O53/10^9</f>
        <v>0.90331704120921086</v>
      </c>
      <c r="P64" s="2">
        <f>P9*'Output-Calculation-sheet'!P53/10^9</f>
        <v>0.52980504994725408</v>
      </c>
      <c r="Q64" s="2">
        <f>Q9*'Output-Calculation-sheet'!Q53/10^9</f>
        <v>0.58552349008272975</v>
      </c>
      <c r="R64" s="2">
        <f>R9*'Output-Calculation-sheet'!R53/10^9</f>
        <v>0.50193121944107122</v>
      </c>
      <c r="S64" s="2">
        <f>S9*'Output-Calculation-sheet'!S53/10^9</f>
        <v>0.41470736547578851</v>
      </c>
      <c r="T64" s="2">
        <f>T9*'Output-Calculation-sheet'!T53/10^9</f>
        <v>0.18043120880979069</v>
      </c>
      <c r="U64" s="2">
        <f>U9*'Output-Calculation-sheet'!U53/10^9</f>
        <v>0.13580674375282095</v>
      </c>
      <c r="V64" s="2">
        <f>V9*'Output-Calculation-sheet'!V53/10^9</f>
        <v>0.21415971810882675</v>
      </c>
      <c r="W64" s="2">
        <f>W9*'Output-Calculation-sheet'!W53/10^9</f>
        <v>7.9577891179349797E-2</v>
      </c>
      <c r="X64" s="2">
        <f>X9*'Output-Calculation-sheet'!X53/10^9</f>
        <v>0.1080165688494375</v>
      </c>
      <c r="Y64" s="2">
        <f>Y9*'Output-Calculation-sheet'!Y53/10^9</f>
        <v>5.5754858372678996E-2</v>
      </c>
      <c r="AA64" s="2">
        <f t="shared" si="4"/>
        <v>26.180112721837762</v>
      </c>
    </row>
    <row r="65" spans="1:27" x14ac:dyDescent="0.25">
      <c r="A65" s="2">
        <v>2033</v>
      </c>
      <c r="B65" s="2">
        <f>B10*'Output-Calculation-sheet'!B54/10^9</f>
        <v>6.0631403004805167</v>
      </c>
      <c r="C65" s="2">
        <f>C10*'Output-Calculation-sheet'!C54/10^9</f>
        <v>4.0992188758825581</v>
      </c>
      <c r="D65" s="2">
        <f>D10*'Output-Calculation-sheet'!D54/10^9</f>
        <v>1.4324153642267747</v>
      </c>
      <c r="E65" s="2">
        <f>E10*'Output-Calculation-sheet'!E54/10^9</f>
        <v>1.6128833197149333</v>
      </c>
      <c r="F65" s="2">
        <f>F10*'Output-Calculation-sheet'!F54/10^9</f>
        <v>0.65480302650402522</v>
      </c>
      <c r="G65" s="2">
        <f>G10*'Output-Calculation-sheet'!G54/10^9</f>
        <v>0.4495815077124134</v>
      </c>
      <c r="H65" s="2">
        <f>H10*'Output-Calculation-sheet'!H54/10^9</f>
        <v>1.1110576560429239</v>
      </c>
      <c r="I65" s="2">
        <f>I10*'Output-Calculation-sheet'!I54/10^9</f>
        <v>0.43776960620414146</v>
      </c>
      <c r="J65" s="2">
        <f>J10*'Output-Calculation-sheet'!J54/10^9</f>
        <v>0.52323231847975704</v>
      </c>
      <c r="K65" s="2">
        <f>K10*'Output-Calculation-sheet'!K54/10^9</f>
        <v>0.55821957351964269</v>
      </c>
      <c r="L65" s="2">
        <f>L10*'Output-Calculation-sheet'!L54/10^9</f>
        <v>0.65937471680702786</v>
      </c>
      <c r="M65" s="2">
        <f>M10*'Output-Calculation-sheet'!M54/10^9</f>
        <v>0.83889768275869736</v>
      </c>
      <c r="N65" s="2">
        <f>N10*'Output-Calculation-sheet'!N54/10^9</f>
        <v>0.72444571201102337</v>
      </c>
      <c r="O65" s="2">
        <f>O10*'Output-Calculation-sheet'!O54/10^9</f>
        <v>0.82917652447366597</v>
      </c>
      <c r="P65" s="2">
        <f>P10*'Output-Calculation-sheet'!P54/10^9</f>
        <v>0.47231709331493327</v>
      </c>
      <c r="Q65" s="2">
        <f>Q10*'Output-Calculation-sheet'!Q54/10^9</f>
        <v>0.51539969349693104</v>
      </c>
      <c r="R65" s="2">
        <f>R10*'Output-Calculation-sheet'!R54/10^9</f>
        <v>0.41582403572904086</v>
      </c>
      <c r="S65" s="2">
        <f>S10*'Output-Calculation-sheet'!S54/10^9</f>
        <v>0.37770937531973081</v>
      </c>
      <c r="T65" s="2">
        <f>T10*'Output-Calculation-sheet'!T54/10^9</f>
        <v>0.13902830681540387</v>
      </c>
      <c r="U65" s="2">
        <f>U10*'Output-Calculation-sheet'!U54/10^9</f>
        <v>0.1200494680218451</v>
      </c>
      <c r="V65" s="2">
        <f>V10*'Output-Calculation-sheet'!V54/10^9</f>
        <v>0.15385580716178604</v>
      </c>
      <c r="W65" s="2">
        <f>W10*'Output-Calculation-sheet'!W54/10^9</f>
        <v>5.8578692562215387E-2</v>
      </c>
      <c r="X65" s="2">
        <f>X10*'Output-Calculation-sheet'!X54/10^9</f>
        <v>9.6485348002593785E-2</v>
      </c>
      <c r="Y65" s="2">
        <f>Y10*'Output-Calculation-sheet'!Y54/10^9</f>
        <v>4.821340384996535E-2</v>
      </c>
      <c r="AA65" s="2">
        <f t="shared" si="4"/>
        <v>22.391677409092551</v>
      </c>
    </row>
    <row r="66" spans="1:27" x14ac:dyDescent="0.25">
      <c r="A66" s="2">
        <v>2034</v>
      </c>
      <c r="B66" s="2">
        <f>B11*'Output-Calculation-sheet'!B55/10^9</f>
        <v>5.2295452655117449</v>
      </c>
      <c r="C66" s="2">
        <f>C11*'Output-Calculation-sheet'!C55/10^9</f>
        <v>3.4494582412751322</v>
      </c>
      <c r="D66" s="2">
        <f>D11*'Output-Calculation-sheet'!D55/10^9</f>
        <v>1.093860591881854</v>
      </c>
      <c r="E66" s="2">
        <f>E11*'Output-Calculation-sheet'!E55/10^9</f>
        <v>1.3245925299886898</v>
      </c>
      <c r="F66" s="2">
        <f>F11*'Output-Calculation-sheet'!F55/10^9</f>
        <v>0.50905773247745134</v>
      </c>
      <c r="G66" s="2">
        <f>G11*'Output-Calculation-sheet'!G55/10^9</f>
        <v>0.36386501263752258</v>
      </c>
      <c r="H66" s="2">
        <f>H11*'Output-Calculation-sheet'!H55/10^9</f>
        <v>0.93024173218923867</v>
      </c>
      <c r="I66" s="2">
        <f>I11*'Output-Calculation-sheet'!I55/10^9</f>
        <v>0.35581896959616643</v>
      </c>
      <c r="J66" s="2">
        <f>J11*'Output-Calculation-sheet'!J55/10^9</f>
        <v>0.36590476510517667</v>
      </c>
      <c r="K66" s="2">
        <f>K11*'Output-Calculation-sheet'!K55/10^9</f>
        <v>0.43764253150202403</v>
      </c>
      <c r="L66" s="2">
        <f>L11*'Output-Calculation-sheet'!L55/10^9</f>
        <v>0.46346674989143399</v>
      </c>
      <c r="M66" s="2">
        <f>M11*'Output-Calculation-sheet'!M55/10^9</f>
        <v>0.67393937738315146</v>
      </c>
      <c r="N66" s="2">
        <f>N11*'Output-Calculation-sheet'!N55/10^9</f>
        <v>0.58884329493932153</v>
      </c>
      <c r="O66" s="2">
        <f>O11*'Output-Calculation-sheet'!O55/10^9</f>
        <v>0.69490900541417311</v>
      </c>
      <c r="P66" s="2">
        <f>P11*'Output-Calculation-sheet'!P55/10^9</f>
        <v>0.40477508551805608</v>
      </c>
      <c r="Q66" s="2">
        <f>Q11*'Output-Calculation-sheet'!Q55/10^9</f>
        <v>0.44085510320650639</v>
      </c>
      <c r="R66" s="2">
        <f>R11*'Output-Calculation-sheet'!R55/10^9</f>
        <v>0.32783483928557466</v>
      </c>
      <c r="S66" s="2">
        <f>S11*'Output-Calculation-sheet'!S55/10^9</f>
        <v>0.32258152548495139</v>
      </c>
      <c r="T66" s="2">
        <f>T11*'Output-Calculation-sheet'!T55/10^9</f>
        <v>0.10276191322655089</v>
      </c>
      <c r="U66" s="2">
        <f>U11*'Output-Calculation-sheet'!U55/10^9</f>
        <v>0.10449531324257505</v>
      </c>
      <c r="V66" s="2">
        <f>V11*'Output-Calculation-sheet'!V55/10^9</f>
        <v>9.748768961744099E-2</v>
      </c>
      <c r="W66" s="2">
        <f>W11*'Output-Calculation-sheet'!W55/10^9</f>
        <v>4.4140231278537105E-2</v>
      </c>
      <c r="X66" s="2">
        <f>X11*'Output-Calculation-sheet'!X55/10^9</f>
        <v>8.3019901444382038E-2</v>
      </c>
      <c r="Y66" s="2">
        <f>Y11*'Output-Calculation-sheet'!Y55/10^9</f>
        <v>4.3314828607934709E-2</v>
      </c>
      <c r="AA66" s="2">
        <f t="shared" si="4"/>
        <v>18.452412230705594</v>
      </c>
    </row>
    <row r="67" spans="1:27" x14ac:dyDescent="0.25">
      <c r="A67" s="2">
        <v>2035</v>
      </c>
      <c r="B67" s="2">
        <f>B12*'Output-Calculation-sheet'!B56/10^9</f>
        <v>4.1359847315402218</v>
      </c>
      <c r="C67" s="2">
        <f>C12*'Output-Calculation-sheet'!C56/10^9</f>
        <v>2.6084630102571498</v>
      </c>
      <c r="D67" s="2">
        <f>D12*'Output-Calculation-sheet'!D56/10^9</f>
        <v>0.86137697766563348</v>
      </c>
      <c r="E67" s="2">
        <f>E12*'Output-Calculation-sheet'!E56/10^9</f>
        <v>1.1687749391520463</v>
      </c>
      <c r="F67" s="2">
        <f>F12*'Output-Calculation-sheet'!F56/10^9</f>
        <v>0.42686021136757557</v>
      </c>
      <c r="G67" s="2">
        <f>G12*'Output-Calculation-sheet'!G56/10^9</f>
        <v>0.2990279748452368</v>
      </c>
      <c r="H67" s="2">
        <f>H12*'Output-Calculation-sheet'!H56/10^9</f>
        <v>0.72169905025562764</v>
      </c>
      <c r="I67" s="2">
        <f>I12*'Output-Calculation-sheet'!I56/10^9</f>
        <v>0.2904597207879267</v>
      </c>
      <c r="J67" s="2">
        <f>J12*'Output-Calculation-sheet'!J56/10^9</f>
        <v>0.28774336941217893</v>
      </c>
      <c r="K67" s="2">
        <f>K12*'Output-Calculation-sheet'!K56/10^9</f>
        <v>0.346548318464794</v>
      </c>
      <c r="L67" s="2">
        <f>L12*'Output-Calculation-sheet'!L56/10^9</f>
        <v>0.3481326624649882</v>
      </c>
      <c r="M67" s="2">
        <f>M12*'Output-Calculation-sheet'!M56/10^9</f>
        <v>0.52805169218318004</v>
      </c>
      <c r="N67" s="2">
        <f>N12*'Output-Calculation-sheet'!N56/10^9</f>
        <v>0.45343338151342261</v>
      </c>
      <c r="O67" s="2">
        <f>O12*'Output-Calculation-sheet'!O56/10^9</f>
        <v>0.52451762097011767</v>
      </c>
      <c r="P67" s="2">
        <f>P12*'Output-Calculation-sheet'!P56/10^9</f>
        <v>0.33563779826854062</v>
      </c>
      <c r="Q67" s="2">
        <f>Q12*'Output-Calculation-sheet'!Q56/10^9</f>
        <v>0.34515906833500332</v>
      </c>
      <c r="R67" s="2">
        <f>R12*'Output-Calculation-sheet'!R56/10^9</f>
        <v>0.26278020386444362</v>
      </c>
      <c r="S67" s="2">
        <f>S12*'Output-Calculation-sheet'!S56/10^9</f>
        <v>0.25041419234824513</v>
      </c>
      <c r="T67" s="2">
        <f>T12*'Output-Calculation-sheet'!T56/10^9</f>
        <v>7.9689377777158232E-2</v>
      </c>
      <c r="U67" s="2">
        <f>U12*'Output-Calculation-sheet'!U56/10^9</f>
        <v>8.3216635376456474E-2</v>
      </c>
      <c r="V67" s="2">
        <f>V12*'Output-Calculation-sheet'!V56/10^9</f>
        <v>6.3924826853419173E-2</v>
      </c>
      <c r="W67" s="2">
        <f>W12*'Output-Calculation-sheet'!W56/10^9</f>
        <v>3.856834812706611E-2</v>
      </c>
      <c r="X67" s="2">
        <f>X12*'Output-Calculation-sheet'!X56/10^9</f>
        <v>6.5577561729075445E-2</v>
      </c>
      <c r="Y67" s="2">
        <f>Y12*'Output-Calculation-sheet'!Y56/10^9</f>
        <v>3.725935470835022E-2</v>
      </c>
      <c r="AA67" s="2">
        <f t="shared" si="4"/>
        <v>14.563301028267858</v>
      </c>
    </row>
    <row r="68" spans="1:27" x14ac:dyDescent="0.25">
      <c r="B68" s="2">
        <f>SUM(B60:B67)</f>
        <v>46.697983642369749</v>
      </c>
      <c r="C68" s="2">
        <f t="shared" ref="C68:Y68" si="5">SUM(C60:C67)</f>
        <v>28.286162997868882</v>
      </c>
      <c r="D68" s="2">
        <f t="shared" si="5"/>
        <v>14.678022137525902</v>
      </c>
      <c r="E68" s="2">
        <f t="shared" si="5"/>
        <v>15.332033184816549</v>
      </c>
      <c r="F68" s="2">
        <f t="shared" si="5"/>
        <v>6.2789244933382529</v>
      </c>
      <c r="G68" s="2">
        <f t="shared" si="5"/>
        <v>4.5019018541773681</v>
      </c>
      <c r="H68" s="2">
        <f t="shared" si="5"/>
        <v>8.1775598599175687</v>
      </c>
      <c r="I68" s="2">
        <f t="shared" si="5"/>
        <v>4.2284172582959938</v>
      </c>
      <c r="J68" s="2">
        <f t="shared" si="5"/>
        <v>5.5948710654129927</v>
      </c>
      <c r="K68" s="2">
        <f t="shared" si="5"/>
        <v>5.1599364907152339</v>
      </c>
      <c r="L68" s="2">
        <f t="shared" si="5"/>
        <v>6.7127631443197826</v>
      </c>
      <c r="M68" s="2">
        <f t="shared" si="5"/>
        <v>6.5351183158617037</v>
      </c>
      <c r="N68" s="2">
        <f t="shared" si="5"/>
        <v>5.6080223168922316</v>
      </c>
      <c r="O68" s="2">
        <f t="shared" si="5"/>
        <v>5.7933601119969493</v>
      </c>
      <c r="P68" s="2">
        <f t="shared" si="5"/>
        <v>3.770152030726118</v>
      </c>
      <c r="Q68" s="2">
        <f t="shared" si="5"/>
        <v>4.1960148084554056</v>
      </c>
      <c r="R68" s="2">
        <f t="shared" si="5"/>
        <v>3.684488255481658</v>
      </c>
      <c r="S68" s="2">
        <f t="shared" si="5"/>
        <v>2.8373933080804385</v>
      </c>
      <c r="T68" s="2">
        <f t="shared" si="5"/>
        <v>1.3475052073434068</v>
      </c>
      <c r="U68" s="2">
        <f t="shared" si="5"/>
        <v>1.0035462909793926</v>
      </c>
      <c r="V68" s="2">
        <f t="shared" si="5"/>
        <v>1.5895871801794983</v>
      </c>
      <c r="W68" s="2">
        <f t="shared" si="5"/>
        <v>0.59192234667808397</v>
      </c>
      <c r="X68" s="2">
        <f t="shared" si="5"/>
        <v>0.71719584658651514</v>
      </c>
      <c r="Y68" s="2">
        <f t="shared" si="5"/>
        <v>0.42053664438519484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2692.8480702004763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1409.0650030421441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945.23762145228341</v>
      </c>
      <c r="N74" s="2">
        <f>N8/'Output-Calculation-sheet'!N7*'Output-Calculation-sheet'!N61</f>
        <v>39.252727017013783</v>
      </c>
      <c r="O74" s="2">
        <f>O8/'Output-Calculation-sheet'!O7*'Output-Calculation-sheet'!O61</f>
        <v>152.73334483436699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118.08805584666234</v>
      </c>
      <c r="Y74" s="2">
        <f>Y8/'Output-Calculation-sheet'!Y7*'Output-Calculation-sheet'!Y61</f>
        <v>0</v>
      </c>
      <c r="AA74" s="2">
        <f t="shared" si="6"/>
        <v>5.3572248223929471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3248.6725422066424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2201.9958211699095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1493.8517479447655</v>
      </c>
      <c r="N75" s="2">
        <f>N9/'Output-Calculation-sheet'!N8*'Output-Calculation-sheet'!N62</f>
        <v>577.27342482383779</v>
      </c>
      <c r="O75" s="2">
        <f>O9/'Output-Calculation-sheet'!O8*'Output-Calculation-sheet'!O62</f>
        <v>282.1702829298813</v>
      </c>
      <c r="P75" s="2">
        <f>P9/'Output-Calculation-sheet'!P8*'Output-Calculation-sheet'!P62</f>
        <v>38.647545827509902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190.94857074800075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180.42126595625174</v>
      </c>
      <c r="Y75" s="2">
        <f>Y9/'Output-Calculation-sheet'!Y8*'Output-Calculation-sheet'!Y62</f>
        <v>0</v>
      </c>
      <c r="AA75" s="2">
        <f t="shared" si="6"/>
        <v>8.2139812016067975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4011.0232733650828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2770.9091353004142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1887.0053464063787</v>
      </c>
      <c r="N76" s="2">
        <f>N10/'Output-Calculation-sheet'!N9*'Output-Calculation-sheet'!N63</f>
        <v>1079.7426220833077</v>
      </c>
      <c r="O76" s="2">
        <f>O10/'Output-Calculation-sheet'!O9*'Output-Calculation-sheet'!O63</f>
        <v>398.80395327940573</v>
      </c>
      <c r="P76" s="2">
        <f>P10/'Output-Calculation-sheet'!P9*'Output-Calculation-sheet'!P63</f>
        <v>370.14204177588107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285.02748347593069</v>
      </c>
      <c r="S76" s="2">
        <f>S10/'Output-Calculation-sheet'!S9*'Output-Calculation-sheet'!S63</f>
        <v>478.78671562723059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101.29243496007042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222.20539533305373</v>
      </c>
      <c r="Y76" s="2">
        <f>Y10/'Output-Calculation-sheet'!Y9*'Output-Calculation-sheet'!Y63</f>
        <v>4.2152792446929306</v>
      </c>
      <c r="AA76" s="2">
        <f t="shared" si="6"/>
        <v>16.118243259995651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4527.6637682435803</v>
      </c>
      <c r="D77" s="2">
        <f>D11/'Output-Calculation-sheet'!D10*'Output-Calculation-sheet'!D64</f>
        <v>1059.5792993958687</v>
      </c>
      <c r="E77" s="2">
        <f>E11/'Output-Calculation-sheet'!E10*'Output-Calculation-sheet'!E64</f>
        <v>1321.1510402972601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561.57086820144718</v>
      </c>
      <c r="H77" s="2">
        <f>H11/'Output-Calculation-sheet'!H10*'Output-Calculation-sheet'!H64</f>
        <v>2809.8601588670263</v>
      </c>
      <c r="I77" s="2">
        <f>I11/'Output-Calculation-sheet'!I10*'Output-Calculation-sheet'!I64</f>
        <v>330.01741650053458</v>
      </c>
      <c r="J77" s="2">
        <f>J11/'Output-Calculation-sheet'!J10*'Output-Calculation-sheet'!J64</f>
        <v>231.13113982528469</v>
      </c>
      <c r="K77" s="2">
        <f>K11/'Output-Calculation-sheet'!K10*'Output-Calculation-sheet'!K64</f>
        <v>502.60140853616809</v>
      </c>
      <c r="L77" s="2">
        <f>L11/'Output-Calculation-sheet'!L10*'Output-Calculation-sheet'!L64</f>
        <v>206.87725500469779</v>
      </c>
      <c r="M77" s="2">
        <f>M11/'Output-Calculation-sheet'!M10*'Output-Calculation-sheet'!M64</f>
        <v>2006.9958000306081</v>
      </c>
      <c r="N77" s="2">
        <f>N11/'Output-Calculation-sheet'!N10*'Output-Calculation-sheet'!N64</f>
        <v>1413.0506724519528</v>
      </c>
      <c r="O77" s="2">
        <f>O11/'Output-Calculation-sheet'!O10*'Output-Calculation-sheet'!O64</f>
        <v>514.60070468456399</v>
      </c>
      <c r="P77" s="2">
        <f>P11/'Output-Calculation-sheet'!P10*'Output-Calculation-sheet'!P64</f>
        <v>626.52706229241983</v>
      </c>
      <c r="Q77" s="2">
        <f>Q11/'Output-Calculation-sheet'!Q10*'Output-Calculation-sheet'!Q64</f>
        <v>441.15033895814429</v>
      </c>
      <c r="R77" s="2">
        <f>R11/'Output-Calculation-sheet'!R10*'Output-Calculation-sheet'!R64</f>
        <v>533.72450658499156</v>
      </c>
      <c r="S77" s="2">
        <f>S11/'Output-Calculation-sheet'!S10*'Output-Calculation-sheet'!S64</f>
        <v>710.57407168092755</v>
      </c>
      <c r="T77" s="2">
        <f>T11/'Output-Calculation-sheet'!T10*'Output-Calculation-sheet'!T64</f>
        <v>147.10604227051599</v>
      </c>
      <c r="U77" s="2">
        <f>U11/'Output-Calculation-sheet'!U10*'Output-Calculation-sheet'!U64</f>
        <v>156.13058433515297</v>
      </c>
      <c r="V77" s="2">
        <f>V11/'Output-Calculation-sheet'!V10*'Output-Calculation-sheet'!V64</f>
        <v>77.807529823100737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200.90458334695148</v>
      </c>
      <c r="Y77" s="2">
        <f>Y11/'Output-Calculation-sheet'!Y10*'Output-Calculation-sheet'!Y64</f>
        <v>48.858411986726573</v>
      </c>
      <c r="AA77" s="2">
        <f t="shared" si="6"/>
        <v>27.187083732346149</v>
      </c>
    </row>
    <row r="78" spans="1:27" x14ac:dyDescent="0.25">
      <c r="A78" s="2">
        <v>2035</v>
      </c>
      <c r="B78" s="2">
        <f>B12/'Output-Calculation-sheet'!B11*'Output-Calculation-sheet'!B65</f>
        <v>6796.0149578522141</v>
      </c>
      <c r="C78" s="2">
        <f>C12/'Output-Calculation-sheet'!C11*'Output-Calculation-sheet'!C65</f>
        <v>5266.7260075531512</v>
      </c>
      <c r="D78" s="2">
        <f>D12/'Output-Calculation-sheet'!D11*'Output-Calculation-sheet'!D65</f>
        <v>907.83054357964295</v>
      </c>
      <c r="E78" s="2">
        <f>E12/'Output-Calculation-sheet'!E11*'Output-Calculation-sheet'!E65</f>
        <v>1573.1138115277436</v>
      </c>
      <c r="F78" s="2">
        <f>F12/'Output-Calculation-sheet'!F11*'Output-Calculation-sheet'!F65</f>
        <v>201.31209428123302</v>
      </c>
      <c r="G78" s="2">
        <f>G12/'Output-Calculation-sheet'!G11*'Output-Calculation-sheet'!G65</f>
        <v>398.66307876805234</v>
      </c>
      <c r="H78" s="2">
        <f>H12/'Output-Calculation-sheet'!H11*'Output-Calculation-sheet'!H65</f>
        <v>2161.7757664511923</v>
      </c>
      <c r="I78" s="2">
        <f>I12/'Output-Calculation-sheet'!I11*'Output-Calculation-sheet'!I65</f>
        <v>264.03093636624681</v>
      </c>
      <c r="J78" s="2">
        <f>J12/'Output-Calculation-sheet'!J11*'Output-Calculation-sheet'!J65</f>
        <v>382.15914364927454</v>
      </c>
      <c r="K78" s="2">
        <f>K12/'Output-Calculation-sheet'!K11*'Output-Calculation-sheet'!K65</f>
        <v>478.94291279398476</v>
      </c>
      <c r="L78" s="2">
        <f>L12/'Output-Calculation-sheet'!L11*'Output-Calculation-sheet'!L65</f>
        <v>406.28332322984255</v>
      </c>
      <c r="M78" s="2">
        <f>M12/'Output-Calculation-sheet'!M11*'Output-Calculation-sheet'!M65</f>
        <v>1575.19729940252</v>
      </c>
      <c r="N78" s="2">
        <f>N12/'Output-Calculation-sheet'!N11*'Output-Calculation-sheet'!N65</f>
        <v>1117.2904261485608</v>
      </c>
      <c r="O78" s="2">
        <f>O12/'Output-Calculation-sheet'!O11*'Output-Calculation-sheet'!O65</f>
        <v>627.24029800894436</v>
      </c>
      <c r="P78" s="2">
        <f>P12/'Output-Calculation-sheet'!P11*'Output-Calculation-sheet'!P65</f>
        <v>548.60122451604423</v>
      </c>
      <c r="Q78" s="2">
        <f>Q12/'Output-Calculation-sheet'!Q11*'Output-Calculation-sheet'!Q65</f>
        <v>377.65847413047834</v>
      </c>
      <c r="R78" s="2">
        <f>R12/'Output-Calculation-sheet'!R11*'Output-Calculation-sheet'!R65</f>
        <v>511.22828019228638</v>
      </c>
      <c r="S78" s="2">
        <f>S12/'Output-Calculation-sheet'!S11*'Output-Calculation-sheet'!S65</f>
        <v>532.72273059794793</v>
      </c>
      <c r="T78" s="2">
        <f>T12/'Output-Calculation-sheet'!T11*'Output-Calculation-sheet'!T65</f>
        <v>176.3484742770832</v>
      </c>
      <c r="U78" s="2">
        <f>U12/'Output-Calculation-sheet'!U11*'Output-Calculation-sheet'!U65</f>
        <v>120.64803048379962</v>
      </c>
      <c r="V78" s="2">
        <f>V12/'Output-Calculation-sheet'!V11*'Output-Calculation-sheet'!V65</f>
        <v>99.019975756066955</v>
      </c>
      <c r="W78" s="2">
        <f>W12/'Output-Calculation-sheet'!W11*'Output-Calculation-sheet'!W65</f>
        <v>47.685753092303301</v>
      </c>
      <c r="X78" s="2">
        <f>X12/'Output-Calculation-sheet'!X11*'Output-Calculation-sheet'!X65</f>
        <v>154.20622860421943</v>
      </c>
      <c r="Y78" s="2">
        <f>Y12/'Output-Calculation-sheet'!Y11*'Output-Calculation-sheet'!Y65</f>
        <v>42.19125902366271</v>
      </c>
      <c r="AA78" s="2">
        <f t="shared" si="6"/>
        <v>24.766891030286494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257.22932594413265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66.630317301501577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0.32385964324563421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427.91861511191576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83.133074930729265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0.51105169004264506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470.53806045811007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91.412886601330783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0.56195094705944082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395.63647048615701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20.298204558777613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76.861522693171281</v>
      </c>
      <c r="P88" s="2">
        <f>P11/'Output-Calculation-sheet'!P10*'Output-Calculation-sheet'!P73</f>
        <v>0</v>
      </c>
      <c r="Q88" s="2">
        <f>Q11/'Output-Calculation-sheet'!Q10*'Output-Calculation-sheet'!Q73</f>
        <v>12.027327325121847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3.8374523014096487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1.5322308997700675</v>
      </c>
      <c r="Y88" s="2">
        <f>Y11/'Output-Calculation-sheet'!Y10*'Output-Calculation-sheet'!Y73</f>
        <v>0</v>
      </c>
      <c r="AA88" s="2">
        <f t="shared" si="7"/>
        <v>0.51019320826440751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250.97574493939248</v>
      </c>
      <c r="D89" s="2">
        <f>D12/'Output-Calculation-sheet'!D11*'Output-Calculation-sheet'!D74</f>
        <v>44.464443531353425</v>
      </c>
      <c r="E89" s="2">
        <f>E12/'Output-Calculation-sheet'!E11*'Output-Calculation-sheet'!E74</f>
        <v>70.674744997539975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15.950351235018498</v>
      </c>
      <c r="H89" s="2">
        <f>H12/'Output-Calculation-sheet'!H11*'Output-Calculation-sheet'!H74</f>
        <v>30.903260281205839</v>
      </c>
      <c r="I89" s="2">
        <f>I12/'Output-Calculation-sheet'!I11*'Output-Calculation-sheet'!I74</f>
        <v>14.346388631071875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14.100241787440304</v>
      </c>
      <c r="L89" s="2">
        <f>L12/'Output-Calculation-sheet'!L11*'Output-Calculation-sheet'!L74</f>
        <v>11.211836609814348</v>
      </c>
      <c r="M89" s="2">
        <f>M12/'Output-Calculation-sheet'!M11*'Output-Calculation-sheet'!M74</f>
        <v>21.264467130635492</v>
      </c>
      <c r="N89" s="2">
        <f>N12/'Output-Calculation-sheet'!N11*'Output-Calculation-sheet'!N74</f>
        <v>10.449779518785641</v>
      </c>
      <c r="O89" s="2">
        <f>O12/'Output-Calculation-sheet'!O11*'Output-Calculation-sheet'!O74</f>
        <v>48.757835422479431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9.1555789020455851</v>
      </c>
      <c r="R89" s="2">
        <f>R12/'Output-Calculation-sheet'!R11*'Output-Calculation-sheet'!R74</f>
        <v>9.0794636484972546</v>
      </c>
      <c r="S89" s="2">
        <f>S12/'Output-Calculation-sheet'!S11*'Output-Calculation-sheet'!S74</f>
        <v>11.980316206536335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2.9211890870390453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4.6655289308358565</v>
      </c>
      <c r="Y89" s="2">
        <f>Y12/'Output-Calculation-sheet'!Y11*'Output-Calculation-sheet'!Y74</f>
        <v>2.2511609766120322</v>
      </c>
      <c r="AA89" s="2">
        <f t="shared" si="7"/>
        <v>0.84796102158859976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7972169907.7552967</v>
      </c>
      <c r="C96" s="2">
        <f>C8/'Output-Calculation-sheet'!C7*'Output-Calculation-sheet'!C79</f>
        <v>1925145432.0580397</v>
      </c>
      <c r="D96" s="2">
        <f>D8/'Output-Calculation-sheet'!D7*'Output-Calculation-sheet'!D79</f>
        <v>1562931680.8322926</v>
      </c>
      <c r="E96" s="2">
        <f>E8/'Output-Calculation-sheet'!E7*'Output-Calculation-sheet'!E79</f>
        <v>5855736437.1957588</v>
      </c>
      <c r="F96" s="2">
        <f>F8/'Output-Calculation-sheet'!F7*'Output-Calculation-sheet'!F79</f>
        <v>1708207922.8801925</v>
      </c>
      <c r="G96" s="2">
        <f>G8/'Output-Calculation-sheet'!G7*'Output-Calculation-sheet'!G79</f>
        <v>1096423480.0465441</v>
      </c>
      <c r="H96" s="2">
        <f>H8/'Output-Calculation-sheet'!H7*'Output-Calculation-sheet'!H79</f>
        <v>1350755552.0330484</v>
      </c>
      <c r="I96" s="2">
        <f>I8/'Output-Calculation-sheet'!I7*'Output-Calculation-sheet'!I79</f>
        <v>788435114.35841477</v>
      </c>
      <c r="J96" s="2">
        <f>J8/'Output-Calculation-sheet'!J7*'Output-Calculation-sheet'!J79</f>
        <v>597479347.39107811</v>
      </c>
      <c r="K96" s="2">
        <f>K8/'Output-Calculation-sheet'!K7*'Output-Calculation-sheet'!K79</f>
        <v>749316515.24359906</v>
      </c>
      <c r="L96" s="2">
        <f>L8/'Output-Calculation-sheet'!L7*'Output-Calculation-sheet'!L79</f>
        <v>680250092.53315902</v>
      </c>
      <c r="M96" s="2">
        <f>M8/'Output-Calculation-sheet'!M7*'Output-Calculation-sheet'!M79</f>
        <v>1042237217.8285881</v>
      </c>
      <c r="N96" s="2">
        <f>N8/'Output-Calculation-sheet'!N7*'Output-Calculation-sheet'!N79</f>
        <v>677524559.64428163</v>
      </c>
      <c r="O96" s="2">
        <f>O8/'Output-Calculation-sheet'!O7*'Output-Calculation-sheet'!O79</f>
        <v>254221812.35952887</v>
      </c>
      <c r="P96" s="2">
        <f>P8/'Output-Calculation-sheet'!P7*'Output-Calculation-sheet'!P79</f>
        <v>1290351767.9807854</v>
      </c>
      <c r="Q96" s="2">
        <f>Q8/'Output-Calculation-sheet'!Q7*'Output-Calculation-sheet'!Q79</f>
        <v>547842365.23950016</v>
      </c>
      <c r="R96" s="2">
        <f>R8/'Output-Calculation-sheet'!R7*'Output-Calculation-sheet'!R79</f>
        <v>727140208.43061793</v>
      </c>
      <c r="S96" s="2">
        <f>S8/'Output-Calculation-sheet'!S7*'Output-Calculation-sheet'!S79</f>
        <v>410078562.05755299</v>
      </c>
      <c r="T96" s="2">
        <f>T8/'Output-Calculation-sheet'!T7*'Output-Calculation-sheet'!T79</f>
        <v>247392909.63174278</v>
      </c>
      <c r="U96" s="2">
        <f>U8/'Output-Calculation-sheet'!U7*'Output-Calculation-sheet'!U79</f>
        <v>194728884.76303911</v>
      </c>
      <c r="V96" s="2">
        <f>V8/'Output-Calculation-sheet'!V7*'Output-Calculation-sheet'!V79</f>
        <v>89374164.724881679</v>
      </c>
      <c r="W96" s="2">
        <f>W8/'Output-Calculation-sheet'!W7*'Output-Calculation-sheet'!W79</f>
        <v>275172777.26413453</v>
      </c>
      <c r="X96" s="2">
        <f>X8/'Output-Calculation-sheet'!X7*'Output-Calculation-sheet'!X79</f>
        <v>124109014.53275155</v>
      </c>
      <c r="Y96" s="2">
        <f>Y8/'Output-Calculation-sheet'!Y7*'Output-Calculation-sheet'!Y79</f>
        <v>170796734.2234816</v>
      </c>
      <c r="AA96" s="2">
        <f t="shared" si="8"/>
        <v>30.337822461008301</v>
      </c>
    </row>
    <row r="97" spans="1:27" x14ac:dyDescent="0.25">
      <c r="A97" s="2">
        <v>2032</v>
      </c>
      <c r="B97" s="2">
        <f>B9/'Output-Calculation-sheet'!B8*'Output-Calculation-sheet'!B80</f>
        <v>9121020006.0832176</v>
      </c>
      <c r="C97" s="2">
        <f>C9/'Output-Calculation-sheet'!C8*'Output-Calculation-sheet'!C80</f>
        <v>2154219333.8241043</v>
      </c>
      <c r="D97" s="2">
        <f>D9/'Output-Calculation-sheet'!D8*'Output-Calculation-sheet'!D80</f>
        <v>1645590181.4506171</v>
      </c>
      <c r="E97" s="2">
        <f>E9/'Output-Calculation-sheet'!E8*'Output-Calculation-sheet'!E80</f>
        <v>6927692943.9964924</v>
      </c>
      <c r="F97" s="2">
        <f>F9/'Output-Calculation-sheet'!F8*'Output-Calculation-sheet'!F80</f>
        <v>1899812624.1968277</v>
      </c>
      <c r="G97" s="2">
        <f>G9/'Output-Calculation-sheet'!G8*'Output-Calculation-sheet'!G80</f>
        <v>1164100909.6546376</v>
      </c>
      <c r="H97" s="2">
        <f>H9/'Output-Calculation-sheet'!H8*'Output-Calculation-sheet'!H80</f>
        <v>1524223867.9558609</v>
      </c>
      <c r="I97" s="2">
        <f>I9/'Output-Calculation-sheet'!I8*'Output-Calculation-sheet'!I80</f>
        <v>877952722.28102207</v>
      </c>
      <c r="J97" s="2">
        <f>J9/'Output-Calculation-sheet'!J8*'Output-Calculation-sheet'!J80</f>
        <v>656074694.01427066</v>
      </c>
      <c r="K97" s="2">
        <f>K9/'Output-Calculation-sheet'!K8*'Output-Calculation-sheet'!K80</f>
        <v>809162074.48850882</v>
      </c>
      <c r="L97" s="2">
        <f>L9/'Output-Calculation-sheet'!L8*'Output-Calculation-sheet'!L80</f>
        <v>780491019.39091218</v>
      </c>
      <c r="M97" s="2">
        <f>M9/'Output-Calculation-sheet'!M8*'Output-Calculation-sheet'!M80</f>
        <v>1202510321.9200108</v>
      </c>
      <c r="N97" s="2">
        <f>N9/'Output-Calculation-sheet'!N8*'Output-Calculation-sheet'!N80</f>
        <v>755544545.12075555</v>
      </c>
      <c r="O97" s="2">
        <f>O9/'Output-Calculation-sheet'!O8*'Output-Calculation-sheet'!O80</f>
        <v>280849630.9015317</v>
      </c>
      <c r="P97" s="2">
        <f>P9/'Output-Calculation-sheet'!P8*'Output-Calculation-sheet'!P80</f>
        <v>1416456092.0529115</v>
      </c>
      <c r="Q97" s="2">
        <f>Q9/'Output-Calculation-sheet'!Q8*'Output-Calculation-sheet'!Q80</f>
        <v>612667596.51527929</v>
      </c>
      <c r="R97" s="2">
        <f>R9/'Output-Calculation-sheet'!R8*'Output-Calculation-sheet'!R80</f>
        <v>820977299.84747565</v>
      </c>
      <c r="S97" s="2">
        <f>S9/'Output-Calculation-sheet'!S8*'Output-Calculation-sheet'!S80</f>
        <v>456925549.41979814</v>
      </c>
      <c r="T97" s="2">
        <f>T9/'Output-Calculation-sheet'!T8*'Output-Calculation-sheet'!T80</f>
        <v>266431351.5565877</v>
      </c>
      <c r="U97" s="2">
        <f>U9/'Output-Calculation-sheet'!U8*'Output-Calculation-sheet'!U80</f>
        <v>212005208.19457355</v>
      </c>
      <c r="V97" s="2">
        <f>V9/'Output-Calculation-sheet'!V8*'Output-Calculation-sheet'!V80</f>
        <v>97789530.408099636</v>
      </c>
      <c r="W97" s="2">
        <f>W9/'Output-Calculation-sheet'!W8*'Output-Calculation-sheet'!W80</f>
        <v>302606254.03064257</v>
      </c>
      <c r="X97" s="2">
        <f>X9/'Output-Calculation-sheet'!X8*'Output-Calculation-sheet'!X80</f>
        <v>146562194.4575282</v>
      </c>
      <c r="Y97" s="2">
        <f>Y9/'Output-Calculation-sheet'!Y8*'Output-Calculation-sheet'!Y80</f>
        <v>192392910.72065943</v>
      </c>
      <c r="AA97" s="2">
        <f t="shared" si="8"/>
        <v>34.324058862482318</v>
      </c>
    </row>
    <row r="98" spans="1:27" x14ac:dyDescent="0.25">
      <c r="A98" s="2">
        <v>2033</v>
      </c>
      <c r="B98" s="2">
        <f>B10/'Output-Calculation-sheet'!B9*'Output-Calculation-sheet'!B81</f>
        <v>9148950970.0403214</v>
      </c>
      <c r="C98" s="2">
        <f>C10/'Output-Calculation-sheet'!C9*'Output-Calculation-sheet'!C81</f>
        <v>2118538015.7249825</v>
      </c>
      <c r="D98" s="2">
        <f>D10/'Output-Calculation-sheet'!D9*'Output-Calculation-sheet'!D81</f>
        <v>1524070009.220221</v>
      </c>
      <c r="E98" s="2">
        <f>E10/'Output-Calculation-sheet'!E9*'Output-Calculation-sheet'!E81</f>
        <v>7194193163.4451857</v>
      </c>
      <c r="F98" s="2">
        <f>F10/'Output-Calculation-sheet'!F9*'Output-Calculation-sheet'!F81</f>
        <v>1853587854.9830515</v>
      </c>
      <c r="G98" s="2">
        <f>G10/'Output-Calculation-sheet'!G9*'Output-Calculation-sheet'!G81</f>
        <v>1082904020.6733854</v>
      </c>
      <c r="H98" s="2">
        <f>H10/'Output-Calculation-sheet'!H9*'Output-Calculation-sheet'!H81</f>
        <v>1507568663.6045389</v>
      </c>
      <c r="I98" s="2">
        <f>I10/'Output-Calculation-sheet'!I9*'Output-Calculation-sheet'!I81</f>
        <v>859152599.89115167</v>
      </c>
      <c r="J98" s="2">
        <f>J10/'Output-Calculation-sheet'!J9*'Output-Calculation-sheet'!J81</f>
        <v>633791497.63943779</v>
      </c>
      <c r="K98" s="2">
        <f>K10/'Output-Calculation-sheet'!K9*'Output-Calculation-sheet'!K81</f>
        <v>767489609.79131138</v>
      </c>
      <c r="L98" s="2">
        <f>L10/'Output-Calculation-sheet'!L9*'Output-Calculation-sheet'!L81</f>
        <v>786599919.93752551</v>
      </c>
      <c r="M98" s="2">
        <f>M10/'Output-Calculation-sheet'!M9*'Output-Calculation-sheet'!M81</f>
        <v>1218949107.9055221</v>
      </c>
      <c r="N98" s="2">
        <f>N10/'Output-Calculation-sheet'!N9*'Output-Calculation-sheet'!N81</f>
        <v>740773968.54619133</v>
      </c>
      <c r="O98" s="2">
        <f>O10/'Output-Calculation-sheet'!O9*'Output-Calculation-sheet'!O81</f>
        <v>273219710.82800949</v>
      </c>
      <c r="P98" s="2">
        <f>P10/'Output-Calculation-sheet'!P9*'Output-Calculation-sheet'!P81</f>
        <v>1355445647.5238335</v>
      </c>
      <c r="Q98" s="2">
        <f>Q10/'Output-Calculation-sheet'!Q9*'Output-Calculation-sheet'!Q81</f>
        <v>602269721.27991879</v>
      </c>
      <c r="R98" s="2">
        <f>R10/'Output-Calculation-sheet'!R9*'Output-Calculation-sheet'!R81</f>
        <v>812928228.98021901</v>
      </c>
      <c r="S98" s="2">
        <f>S10/'Output-Calculation-sheet'!S9*'Output-Calculation-sheet'!S81</f>
        <v>446460306.38970971</v>
      </c>
      <c r="T98" s="2">
        <f>T10/'Output-Calculation-sheet'!T9*'Output-Calculation-sheet'!T81</f>
        <v>251542728.45679152</v>
      </c>
      <c r="U98" s="2">
        <f>U10/'Output-Calculation-sheet'!U9*'Output-Calculation-sheet'!U81</f>
        <v>202121947.88364449</v>
      </c>
      <c r="V98" s="2">
        <f>V10/'Output-Calculation-sheet'!V9*'Output-Calculation-sheet'!V81</f>
        <v>93875155.361003757</v>
      </c>
      <c r="W98" s="2">
        <f>W10/'Output-Calculation-sheet'!W9*'Output-Calculation-sheet'!W81</f>
        <v>290306918.71164101</v>
      </c>
      <c r="X98" s="2">
        <f>X10/'Output-Calculation-sheet'!X9*'Output-Calculation-sheet'!X81</f>
        <v>152189666.32651353</v>
      </c>
      <c r="Y98" s="2">
        <f>Y10/'Output-Calculation-sheet'!Y9*'Output-Calculation-sheet'!Y81</f>
        <v>189472669.42223674</v>
      </c>
      <c r="AA98" s="2">
        <f t="shared" si="8"/>
        <v>34.106402102566349</v>
      </c>
    </row>
    <row r="99" spans="1:27" x14ac:dyDescent="0.25">
      <c r="A99" s="2">
        <v>2034</v>
      </c>
      <c r="B99" s="2">
        <f>B11/'Output-Calculation-sheet'!B10*'Output-Calculation-sheet'!B82</f>
        <v>8143683444.3483219</v>
      </c>
      <c r="C99" s="2">
        <f>C11/'Output-Calculation-sheet'!C10*'Output-Calculation-sheet'!C82</f>
        <v>1853769848.5275905</v>
      </c>
      <c r="D99" s="2">
        <f>D11/'Output-Calculation-sheet'!D10*'Output-Calculation-sheet'!D82</f>
        <v>1257465955.5193148</v>
      </c>
      <c r="E99" s="2">
        <f>E11/'Output-Calculation-sheet'!E10*'Output-Calculation-sheet'!E82</f>
        <v>6636690375.5289602</v>
      </c>
      <c r="F99" s="2">
        <f>F11/'Output-Calculation-sheet'!F10*'Output-Calculation-sheet'!F82</f>
        <v>1606451955.7682967</v>
      </c>
      <c r="G99" s="2">
        <f>G11/'Output-Calculation-sheet'!G10*'Output-Calculation-sheet'!G82</f>
        <v>894087411.93899429</v>
      </c>
      <c r="H99" s="2">
        <f>H11/'Output-Calculation-sheet'!H10*'Output-Calculation-sheet'!H82</f>
        <v>1323016268.9724748</v>
      </c>
      <c r="I99" s="2">
        <f>I11/'Output-Calculation-sheet'!I10*'Output-Calculation-sheet'!I82</f>
        <v>748108831.75520194</v>
      </c>
      <c r="J99" s="2">
        <f>J11/'Output-Calculation-sheet'!J10*'Output-Calculation-sheet'!J82</f>
        <v>545367652.02580571</v>
      </c>
      <c r="K99" s="2">
        <f>K11/'Output-Calculation-sheet'!K10*'Output-Calculation-sheet'!K82</f>
        <v>647545068.00113022</v>
      </c>
      <c r="L99" s="2">
        <f>L11/'Output-Calculation-sheet'!L10*'Output-Calculation-sheet'!L82</f>
        <v>704908986.96016562</v>
      </c>
      <c r="M99" s="2">
        <f>M11/'Output-Calculation-sheet'!M10*'Output-Calculation-sheet'!M82</f>
        <v>1098847030.9337485</v>
      </c>
      <c r="N99" s="2">
        <f>N11/'Output-Calculation-sheet'!N10*'Output-Calculation-sheet'!N82</f>
        <v>646529848.03495395</v>
      </c>
      <c r="O99" s="2">
        <f>O11/'Output-Calculation-sheet'!O10*'Output-Calculation-sheet'!O82</f>
        <v>236952160.92702964</v>
      </c>
      <c r="P99" s="2">
        <f>P11/'Output-Calculation-sheet'!P10*'Output-Calculation-sheet'!P82</f>
        <v>1145336971.8359611</v>
      </c>
      <c r="Q99" s="2">
        <f>Q11/'Output-Calculation-sheet'!Q10*'Output-Calculation-sheet'!Q82</f>
        <v>526842520.4108991</v>
      </c>
      <c r="R99" s="2">
        <f>R11/'Output-Calculation-sheet'!R10*'Output-Calculation-sheet'!R82</f>
        <v>714648144.95936704</v>
      </c>
      <c r="S99" s="2">
        <f>S11/'Output-Calculation-sheet'!S10*'Output-Calculation-sheet'!S82</f>
        <v>387279157.97339654</v>
      </c>
      <c r="T99" s="2">
        <f>T11/'Output-Calculation-sheet'!T10*'Output-Calculation-sheet'!T82</f>
        <v>210889796.01570597</v>
      </c>
      <c r="U99" s="2">
        <f>U11/'Output-Calculation-sheet'!U10*'Output-Calculation-sheet'!U82</f>
        <v>170912297.10209087</v>
      </c>
      <c r="V99" s="2">
        <f>V11/'Output-Calculation-sheet'!V10*'Output-Calculation-sheet'!V82</f>
        <v>80059198.954832554</v>
      </c>
      <c r="W99" s="2">
        <f>W11/'Output-Calculation-sheet'!W10*'Output-Calculation-sheet'!W82</f>
        <v>246099901.14060998</v>
      </c>
      <c r="X99" s="2">
        <f>X11/'Output-Calculation-sheet'!X10*'Output-Calculation-sheet'!X82</f>
        <v>140656421.64099756</v>
      </c>
      <c r="Y99" s="2">
        <f>Y11/'Output-Calculation-sheet'!Y10*'Output-Calculation-sheet'!Y82</f>
        <v>165183662.22328401</v>
      </c>
      <c r="AA99" s="2">
        <f t="shared" si="8"/>
        <v>30.131332911499136</v>
      </c>
    </row>
    <row r="100" spans="1:27" x14ac:dyDescent="0.25">
      <c r="A100" s="2">
        <v>2035</v>
      </c>
      <c r="B100" s="2">
        <f>B12/'Output-Calculation-sheet'!B11*'Output-Calculation-sheet'!B83</f>
        <v>6394882977.5544109</v>
      </c>
      <c r="C100" s="2">
        <f>C12/'Output-Calculation-sheet'!C11*'Output-Calculation-sheet'!C83</f>
        <v>1435031122.220418</v>
      </c>
      <c r="D100" s="2">
        <f>D12/'Output-Calculation-sheet'!D11*'Output-Calculation-sheet'!D83</f>
        <v>919257016.27833009</v>
      </c>
      <c r="E100" s="2">
        <f>E12/'Output-Calculation-sheet'!E11*'Output-Calculation-sheet'!E83</f>
        <v>5405752226.6855879</v>
      </c>
      <c r="F100" s="2">
        <f>F12/'Output-Calculation-sheet'!F11*'Output-Calculation-sheet'!F83</f>
        <v>1229873546.2009575</v>
      </c>
      <c r="G100" s="2">
        <f>G12/'Output-Calculation-sheet'!G11*'Output-Calculation-sheet'!G83</f>
        <v>651792760.31511068</v>
      </c>
      <c r="H100" s="2">
        <f>H12/'Output-Calculation-sheet'!H11*'Output-Calculation-sheet'!H83</f>
        <v>1024229845.8260332</v>
      </c>
      <c r="I100" s="2">
        <f>I12/'Output-Calculation-sheet'!I11*'Output-Calculation-sheet'!I83</f>
        <v>576385674.34185088</v>
      </c>
      <c r="J100" s="2">
        <f>J12/'Output-Calculation-sheet'!J11*'Output-Calculation-sheet'!J83</f>
        <v>415643361.02309787</v>
      </c>
      <c r="K100" s="2">
        <f>K12/'Output-Calculation-sheet'!K11*'Output-Calculation-sheet'!K83</f>
        <v>483353891.43234974</v>
      </c>
      <c r="L100" s="2">
        <f>L12/'Output-Calculation-sheet'!L11*'Output-Calculation-sheet'!L83</f>
        <v>558441175.99222279</v>
      </c>
      <c r="M100" s="2">
        <f>M12/'Output-Calculation-sheet'!M11*'Output-Calculation-sheet'!M83</f>
        <v>875763469.51625907</v>
      </c>
      <c r="N100" s="2">
        <f>N12/'Output-Calculation-sheet'!N11*'Output-Calculation-sheet'!N83</f>
        <v>499468843.14396363</v>
      </c>
      <c r="O100" s="2">
        <f>O12/'Output-Calculation-sheet'!O11*'Output-Calculation-sheet'!O83</f>
        <v>182140842.67659345</v>
      </c>
      <c r="P100" s="2">
        <f>P12/'Output-Calculation-sheet'!P11*'Output-Calculation-sheet'!P83</f>
        <v>850328519.20018208</v>
      </c>
      <c r="Q100" s="2">
        <f>Q12/'Output-Calculation-sheet'!Q11*'Output-Calculation-sheet'!Q83</f>
        <v>407733177.48686278</v>
      </c>
      <c r="R100" s="2">
        <f>R12/'Output-Calculation-sheet'!R11*'Output-Calculation-sheet'!R83</f>
        <v>554546492.05390334</v>
      </c>
      <c r="S100" s="2">
        <f>S12/'Output-Calculation-sheet'!S11*'Output-Calculation-sheet'!S83</f>
        <v>296543495.72126305</v>
      </c>
      <c r="T100" s="2">
        <f>T12/'Output-Calculation-sheet'!T11*'Output-Calculation-sheet'!T83</f>
        <v>156190451.99931619</v>
      </c>
      <c r="U100" s="2">
        <f>U12/'Output-Calculation-sheet'!U11*'Output-Calculation-sheet'!U83</f>
        <v>127507186.94340338</v>
      </c>
      <c r="V100" s="2">
        <f>V12/'Output-Calculation-sheet'!V11*'Output-Calculation-sheet'!V83</f>
        <v>60319811.223179929</v>
      </c>
      <c r="W100" s="2">
        <f>W12/'Output-Calculation-sheet'!W11*'Output-Calculation-sheet'!W83</f>
        <v>183412751.69415432</v>
      </c>
      <c r="X100" s="2">
        <f>X12/'Output-Calculation-sheet'!X11*'Output-Calculation-sheet'!X83</f>
        <v>115020579.41617468</v>
      </c>
      <c r="Y100" s="2">
        <f>Y12/'Output-Calculation-sheet'!Y11*'Output-Calculation-sheet'!Y83</f>
        <v>126787637.36376627</v>
      </c>
      <c r="AA100" s="2">
        <f t="shared" si="8"/>
        <v>23.530406856309391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1323625552.1394947</v>
      </c>
      <c r="C107" s="2">
        <f>C8/'Output-Calculation-sheet'!C7*'Output-Calculation-sheet'!C88</f>
        <v>17068554814.7533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6801292957.6640987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4692323373.4933329</v>
      </c>
      <c r="N107" s="2">
        <f>N8/'Output-Calculation-sheet'!N7*'Output-Calculation-sheet'!N88</f>
        <v>1566445492.8256299</v>
      </c>
      <c r="O107" s="2">
        <f>O8/'Output-Calculation-sheet'!O7*'Output-Calculation-sheet'!O88</f>
        <v>2689201272.046536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470618210.88110441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508179711.95967543</v>
      </c>
      <c r="Y107" s="2">
        <f>Y8/'Output-Calculation-sheet'!Y7*'Output-Calculation-sheet'!Y88</f>
        <v>0</v>
      </c>
      <c r="AA107" s="2">
        <f t="shared" si="9"/>
        <v>35120.241385763176</v>
      </c>
    </row>
    <row r="108" spans="1:27" x14ac:dyDescent="0.25">
      <c r="A108" s="2">
        <v>2032</v>
      </c>
      <c r="B108" s="2">
        <f>B9/'Output-Calculation-sheet'!B8*'Output-Calculation-sheet'!B89</f>
        <v>5425767485.5882463</v>
      </c>
      <c r="C108" s="2">
        <f>C9/'Output-Calculation-sheet'!C8*'Output-Calculation-sheet'!C89</f>
        <v>18431070955.675972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8485885214.4058552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5854522923.9334202</v>
      </c>
      <c r="N108" s="2">
        <f>N9/'Output-Calculation-sheet'!N8*'Output-Calculation-sheet'!N89</f>
        <v>2755016039.4745502</v>
      </c>
      <c r="O108" s="2">
        <f>O9/'Output-Calculation-sheet'!O8*'Output-Calculation-sheet'!O89</f>
        <v>2949573137.1727648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819853764.30084777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634062332.40865564</v>
      </c>
      <c r="Y108" s="2">
        <f>Y9/'Output-Calculation-sheet'!Y8*'Output-Calculation-sheet'!Y89</f>
        <v>0</v>
      </c>
      <c r="AA108" s="2">
        <f t="shared" si="9"/>
        <v>45355.751852960311</v>
      </c>
    </row>
    <row r="109" spans="1:27" x14ac:dyDescent="0.25">
      <c r="A109" s="2">
        <v>2033</v>
      </c>
      <c r="B109" s="2">
        <f>B10/'Output-Calculation-sheet'!B9*'Output-Calculation-sheet'!B90</f>
        <v>12751299460.934301</v>
      </c>
      <c r="C109" s="2">
        <f>C10/'Output-Calculation-sheet'!C9*'Output-Calculation-sheet'!C90</f>
        <v>18808653202.370872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9331334655.028841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6437810011.8803644</v>
      </c>
      <c r="N109" s="2">
        <f>N10/'Output-Calculation-sheet'!N9*'Output-Calculation-sheet'!N90</f>
        <v>3792398615.4098048</v>
      </c>
      <c r="O109" s="2">
        <f>O10/'Output-Calculation-sheet'!O9*'Output-Calculation-sheet'!O90</f>
        <v>2938284414.0265756</v>
      </c>
      <c r="P109" s="2">
        <f>P10/'Output-Calculation-sheet'!P9*'Output-Calculation-sheet'!P90</f>
        <v>0</v>
      </c>
      <c r="Q109" s="2">
        <f>Q10/'Output-Calculation-sheet'!Q9*'Output-Calculation-sheet'!Q90</f>
        <v>123429915.99021985</v>
      </c>
      <c r="R109" s="2">
        <f>R10/'Output-Calculation-sheet'!R9*'Output-Calculation-sheet'!R90</f>
        <v>-2.5431606647869833E-7</v>
      </c>
      <c r="S109" s="2">
        <f>S10/'Output-Calculation-sheet'!S9*'Output-Calculation-sheet'!S90</f>
        <v>1524407712.7180252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697234302.15277374</v>
      </c>
      <c r="Y109" s="2">
        <f>Y10/'Output-Calculation-sheet'!Y9*'Output-Calculation-sheet'!Y90</f>
        <v>0</v>
      </c>
      <c r="AA109" s="2">
        <f t="shared" si="9"/>
        <v>56404.852290511772</v>
      </c>
    </row>
    <row r="110" spans="1:27" x14ac:dyDescent="0.25">
      <c r="A110" s="2">
        <v>2034</v>
      </c>
      <c r="B110" s="2">
        <f>B11/'Output-Calculation-sheet'!B10*'Output-Calculation-sheet'!B91</f>
        <v>24478557543.895649</v>
      </c>
      <c r="C110" s="2">
        <f>C11/'Output-Calculation-sheet'!C10*'Output-Calculation-sheet'!C91</f>
        <v>18044273867.167919</v>
      </c>
      <c r="D110" s="2">
        <f>D11/'Output-Calculation-sheet'!D10*'Output-Calculation-sheet'!D91</f>
        <v>0</v>
      </c>
      <c r="E110" s="2">
        <f>E11/'Output-Calculation-sheet'!E10*'Output-Calculation-sheet'!E91</f>
        <v>518093604.79356378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8923175976.4977856</v>
      </c>
      <c r="I110" s="2">
        <f>I11/'Output-Calculation-sheet'!I10*'Output-Calculation-sheet'!I91</f>
        <v>-8.5908748284042712E-7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416420230.81128228</v>
      </c>
      <c r="M110" s="2">
        <f>M11/'Output-Calculation-sheet'!M10*'Output-Calculation-sheet'!M91</f>
        <v>6315325554.0267487</v>
      </c>
      <c r="N110" s="2">
        <f>N11/'Output-Calculation-sheet'!N10*'Output-Calculation-sheet'!N91</f>
        <v>4370635081.0635214</v>
      </c>
      <c r="O110" s="2">
        <f>O11/'Output-Calculation-sheet'!O10*'Output-Calculation-sheet'!O91</f>
        <v>2771252448.9053164</v>
      </c>
      <c r="P110" s="2">
        <f>P11/'Output-Calculation-sheet'!P10*'Output-Calculation-sheet'!P91</f>
        <v>0</v>
      </c>
      <c r="Q110" s="2">
        <f>Q11/'Output-Calculation-sheet'!Q10*'Output-Calculation-sheet'!Q91</f>
        <v>699666193.57740629</v>
      </c>
      <c r="R110" s="2">
        <f>R11/'Output-Calculation-sheet'!R10*'Output-Calculation-sheet'!R91</f>
        <v>0</v>
      </c>
      <c r="S110" s="2">
        <f>S11/'Output-Calculation-sheet'!S10*'Output-Calculation-sheet'!S91</f>
        <v>2139612498.7822561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616514247.30890346</v>
      </c>
      <c r="Y110" s="2">
        <f>Y11/'Output-Calculation-sheet'!Y10*'Output-Calculation-sheet'!Y91</f>
        <v>27415360.923111606</v>
      </c>
      <c r="AA110" s="2">
        <f t="shared" si="9"/>
        <v>69320.942607753459</v>
      </c>
    </row>
    <row r="111" spans="1:27" x14ac:dyDescent="0.25">
      <c r="A111" s="2">
        <v>2035</v>
      </c>
      <c r="B111" s="2">
        <f>B12/'Output-Calculation-sheet'!B11*'Output-Calculation-sheet'!B92</f>
        <v>19208133574.455029</v>
      </c>
      <c r="C111" s="2">
        <f>C12/'Output-Calculation-sheet'!C11*'Output-Calculation-sheet'!C92</f>
        <v>16840733500.207973</v>
      </c>
      <c r="D111" s="2">
        <f>D12/'Output-Calculation-sheet'!D11*'Output-Calculation-sheet'!D92</f>
        <v>-5.0275057012030698E-7</v>
      </c>
      <c r="E111" s="2">
        <f>E12/'Output-Calculation-sheet'!E11*'Output-Calculation-sheet'!E92</f>
        <v>1557937823.5344217</v>
      </c>
      <c r="F111" s="2">
        <f>F12/'Output-Calculation-sheet'!F11*'Output-Calculation-sheet'!F92</f>
        <v>-1.1044562003628857E-7</v>
      </c>
      <c r="G111" s="2">
        <f>G12/'Output-Calculation-sheet'!G11*'Output-Calculation-sheet'!G92</f>
        <v>0</v>
      </c>
      <c r="H111" s="2">
        <f>H12/'Output-Calculation-sheet'!H11*'Output-Calculation-sheet'!H92</f>
        <v>7000181796.2905216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758054808.98113382</v>
      </c>
      <c r="M111" s="2">
        <f>M12/'Output-Calculation-sheet'!M11*'Output-Calculation-sheet'!M92</f>
        <v>4988343096.637188</v>
      </c>
      <c r="N111" s="2">
        <f>N12/'Output-Calculation-sheet'!N11*'Output-Calculation-sheet'!N92</f>
        <v>3512070578.3804736</v>
      </c>
      <c r="O111" s="2">
        <f>O12/'Output-Calculation-sheet'!O11*'Output-Calculation-sheet'!O92</f>
        <v>2544749443.2358775</v>
      </c>
      <c r="P111" s="2">
        <f>P12/'Output-Calculation-sheet'!P11*'Output-Calculation-sheet'!P92</f>
        <v>150913701.8459951</v>
      </c>
      <c r="Q111" s="2">
        <f>Q12/'Output-Calculation-sheet'!Q11*'Output-Calculation-sheet'!Q92</f>
        <v>667447653.08540952</v>
      </c>
      <c r="R111" s="2">
        <f>R12/'Output-Calculation-sheet'!R11*'Output-Calculation-sheet'!R92</f>
        <v>0</v>
      </c>
      <c r="S111" s="2">
        <f>S12/'Output-Calculation-sheet'!S11*'Output-Calculation-sheet'!S92</f>
        <v>1677802551.6503115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487606325.660429</v>
      </c>
      <c r="Y111" s="2">
        <f>Y12/'Output-Calculation-sheet'!Y11*'Output-Calculation-sheet'!Y92</f>
        <v>33019342.600847423</v>
      </c>
      <c r="AA111" s="2">
        <f t="shared" si="9"/>
        <v>59426.994196565603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44944060496.353615</v>
      </c>
      <c r="C118" s="2">
        <f>C8/'Output-Calculation-sheet'!C7*'Output-Calculation-sheet'!C97</f>
        <v>0</v>
      </c>
      <c r="D118" s="2">
        <f>D8/'Output-Calculation-sheet'!D7*'Output-Calculation-sheet'!D97</f>
        <v>19432961279.344662</v>
      </c>
      <c r="E118" s="2">
        <f>E8/'Output-Calculation-sheet'!E7*'Output-Calculation-sheet'!E97</f>
        <v>15418082780.464624</v>
      </c>
      <c r="F118" s="2">
        <f>F8/'Output-Calculation-sheet'!F7*'Output-Calculation-sheet'!F97</f>
        <v>9925173158.3295975</v>
      </c>
      <c r="G118" s="2">
        <f>G8/'Output-Calculation-sheet'!G7*'Output-Calculation-sheet'!G97</f>
        <v>6973699050.0676041</v>
      </c>
      <c r="H118" s="2">
        <f>H8/'Output-Calculation-sheet'!H7*'Output-Calculation-sheet'!H97</f>
        <v>0</v>
      </c>
      <c r="I118" s="2">
        <f>I8/'Output-Calculation-sheet'!I7*'Output-Calculation-sheet'!I97</f>
        <v>6353588784.6825705</v>
      </c>
      <c r="J118" s="2">
        <f>J8/'Output-Calculation-sheet'!J7*'Output-Calculation-sheet'!J97</f>
        <v>6184145714.4773359</v>
      </c>
      <c r="K118" s="2">
        <f>K8/'Output-Calculation-sheet'!K7*'Output-Calculation-sheet'!K97</f>
        <v>6124858384.1357956</v>
      </c>
      <c r="L118" s="2">
        <f>L8/'Output-Calculation-sheet'!L7*'Output-Calculation-sheet'!L97</f>
        <v>4913441035.8876333</v>
      </c>
      <c r="M118" s="2">
        <f>M8/'Output-Calculation-sheet'!M7*'Output-Calculation-sheet'!M97</f>
        <v>0</v>
      </c>
      <c r="N118" s="2">
        <f>N8/'Output-Calculation-sheet'!N7*'Output-Calculation-sheet'!N97</f>
        <v>3039865771.1760416</v>
      </c>
      <c r="O118" s="2">
        <f>O8/'Output-Calculation-sheet'!O7*'Output-Calculation-sheet'!O97</f>
        <v>0</v>
      </c>
      <c r="P118" s="2">
        <f>P8/'Output-Calculation-sheet'!P7*'Output-Calculation-sheet'!P97</f>
        <v>4193368597.8904996</v>
      </c>
      <c r="Q118" s="2">
        <f>Q8/'Output-Calculation-sheet'!Q7*'Output-Calculation-sheet'!Q97</f>
        <v>4125596202.2114587</v>
      </c>
      <c r="R118" s="2">
        <f>R8/'Output-Calculation-sheet'!R7*'Output-Calculation-sheet'!R97</f>
        <v>3969013283.8316984</v>
      </c>
      <c r="S118" s="2">
        <f>S8/'Output-Calculation-sheet'!S7*'Output-Calculation-sheet'!S97</f>
        <v>2167391647.8719158</v>
      </c>
      <c r="T118" s="2">
        <f>T8/'Output-Calculation-sheet'!T7*'Output-Calculation-sheet'!T97</f>
        <v>1458975439.7718334</v>
      </c>
      <c r="U118" s="2">
        <f>U8/'Output-Calculation-sheet'!U7*'Output-Calculation-sheet'!U97</f>
        <v>1270717507.4384687</v>
      </c>
      <c r="V118" s="2">
        <f>V8/'Output-Calculation-sheet'!V7*'Output-Calculation-sheet'!V97</f>
        <v>978478279.58187962</v>
      </c>
      <c r="W118" s="2">
        <f>W8/'Output-Calculation-sheet'!W7*'Output-Calculation-sheet'!W97</f>
        <v>847145004.69952846</v>
      </c>
      <c r="X118" s="2">
        <f>X8/'Output-Calculation-sheet'!X7*'Output-Calculation-sheet'!X97</f>
        <v>0</v>
      </c>
      <c r="Y118" s="2">
        <f>Y8/'Output-Calculation-sheet'!Y7*'Output-Calculation-sheet'!Y97</f>
        <v>494304220.71283102</v>
      </c>
      <c r="AA118" s="2">
        <f t="shared" si="10"/>
        <v>142814.86663892955</v>
      </c>
    </row>
    <row r="119" spans="1:27" x14ac:dyDescent="0.25">
      <c r="A119" s="2">
        <v>2032</v>
      </c>
      <c r="B119" s="2">
        <f>B9/'Output-Calculation-sheet'!B8*'Output-Calculation-sheet'!B98</f>
        <v>52301332982.930748</v>
      </c>
      <c r="C119" s="2">
        <f>C9/'Output-Calculation-sheet'!C8*'Output-Calculation-sheet'!C98</f>
        <v>0</v>
      </c>
      <c r="D119" s="2">
        <f>D9/'Output-Calculation-sheet'!D8*'Output-Calculation-sheet'!D98</f>
        <v>24246049214.161762</v>
      </c>
      <c r="E119" s="2">
        <f>E9/'Output-Calculation-sheet'!E8*'Output-Calculation-sheet'!E98</f>
        <v>19236775123.698402</v>
      </c>
      <c r="F119" s="2">
        <f>F9/'Output-Calculation-sheet'!F8*'Output-Calculation-sheet'!F98</f>
        <v>12383406286.086159</v>
      </c>
      <c r="G119" s="2">
        <f>G9/'Output-Calculation-sheet'!G8*'Output-Calculation-sheet'!G98</f>
        <v>8700921138.5422726</v>
      </c>
      <c r="H119" s="2">
        <f>H9/'Output-Calculation-sheet'!H8*'Output-Calculation-sheet'!H98</f>
        <v>1.8267823933433392E-7</v>
      </c>
      <c r="I119" s="2">
        <f>I9/'Output-Calculation-sheet'!I8*'Output-Calculation-sheet'!I98</f>
        <v>7927224665.0677748</v>
      </c>
      <c r="J119" s="2">
        <f>J9/'Output-Calculation-sheet'!J8*'Output-Calculation-sheet'!J98</f>
        <v>7715811498.9568119</v>
      </c>
      <c r="K119" s="2">
        <f>K9/'Output-Calculation-sheet'!K8*'Output-Calculation-sheet'!K98</f>
        <v>7641841306.0294943</v>
      </c>
      <c r="L119" s="2">
        <f>L9/'Output-Calculation-sheet'!L8*'Output-Calculation-sheet'!L98</f>
        <v>6130385894.5432835</v>
      </c>
      <c r="M119" s="2">
        <f>M9/'Output-Calculation-sheet'!M8*'Output-Calculation-sheet'!M98</f>
        <v>0</v>
      </c>
      <c r="N119" s="2">
        <f>N9/'Output-Calculation-sheet'!N8*'Output-Calculation-sheet'!N98</f>
        <v>2991689235.1118169</v>
      </c>
      <c r="O119" s="2">
        <f>O9/'Output-Calculation-sheet'!O8*'Output-Calculation-sheet'!O98</f>
        <v>0</v>
      </c>
      <c r="P119" s="2">
        <f>P9/'Output-Calculation-sheet'!P8*'Output-Calculation-sheet'!P98</f>
        <v>5231932914.1034021</v>
      </c>
      <c r="Q119" s="2">
        <f>Q9/'Output-Calculation-sheet'!Q8*'Output-Calculation-sheet'!Q98</f>
        <v>5147409439.2143593</v>
      </c>
      <c r="R119" s="2">
        <f>R9/'Output-Calculation-sheet'!R8*'Output-Calculation-sheet'!R98</f>
        <v>4952045009.884511</v>
      </c>
      <c r="S119" s="2">
        <f>S9/'Output-Calculation-sheet'!S8*'Output-Calculation-sheet'!S98</f>
        <v>2471355145.1742191</v>
      </c>
      <c r="T119" s="2">
        <f>T9/'Output-Calculation-sheet'!T8*'Output-Calculation-sheet'!T98</f>
        <v>1820329092.3486714</v>
      </c>
      <c r="U119" s="2">
        <f>U9/'Output-Calculation-sheet'!U8*'Output-Calculation-sheet'!U98</f>
        <v>1585444752.8761032</v>
      </c>
      <c r="V119" s="2">
        <f>V9/'Output-Calculation-sheet'!V8*'Output-Calculation-sheet'!V98</f>
        <v>1220824168.8096375</v>
      </c>
      <c r="W119" s="2">
        <f>W9/'Output-Calculation-sheet'!W8*'Output-Calculation-sheet'!W98</f>
        <v>1056963002.4964846</v>
      </c>
      <c r="X119" s="2">
        <f>X9/'Output-Calculation-sheet'!X8*'Output-Calculation-sheet'!X98</f>
        <v>0</v>
      </c>
      <c r="Y119" s="2">
        <f>Y9/'Output-Calculation-sheet'!Y8*'Output-Calculation-sheet'!Y98</f>
        <v>616731570.44557989</v>
      </c>
      <c r="AA119" s="2">
        <f t="shared" si="10"/>
        <v>173378.47244048148</v>
      </c>
    </row>
    <row r="120" spans="1:27" x14ac:dyDescent="0.25">
      <c r="A120" s="2">
        <v>2033</v>
      </c>
      <c r="B120" s="2">
        <f>B10/'Output-Calculation-sheet'!B9*'Output-Calculation-sheet'!B99</f>
        <v>50721391268.335777</v>
      </c>
      <c r="C120" s="2">
        <f>C10/'Output-Calculation-sheet'!C9*'Output-Calculation-sheet'!C99</f>
        <v>0</v>
      </c>
      <c r="D120" s="2">
        <f>D10/'Output-Calculation-sheet'!D9*'Output-Calculation-sheet'!D99</f>
        <v>26660886352.341187</v>
      </c>
      <c r="E120" s="2">
        <f>E10/'Output-Calculation-sheet'!E9*'Output-Calculation-sheet'!E99</f>
        <v>21152705103.338615</v>
      </c>
      <c r="F120" s="2">
        <f>F10/'Output-Calculation-sheet'!F9*'Output-Calculation-sheet'!F99</f>
        <v>13616755332.493502</v>
      </c>
      <c r="G120" s="2">
        <f>G10/'Output-Calculation-sheet'!G9*'Output-Calculation-sheet'!G99</f>
        <v>9567505998.3733845</v>
      </c>
      <c r="H120" s="2">
        <f>H10/'Output-Calculation-sheet'!H9*'Output-Calculation-sheet'!H99</f>
        <v>0</v>
      </c>
      <c r="I120" s="2">
        <f>I10/'Output-Calculation-sheet'!I9*'Output-Calculation-sheet'!I99</f>
        <v>8716752212.5253258</v>
      </c>
      <c r="J120" s="2">
        <f>J10/'Output-Calculation-sheet'!J9*'Output-Calculation-sheet'!J99</f>
        <v>8484282921.2592983</v>
      </c>
      <c r="K120" s="2">
        <f>K10/'Output-Calculation-sheet'!K9*'Output-Calculation-sheet'!K99</f>
        <v>8402946400.2807322</v>
      </c>
      <c r="L120" s="2">
        <f>L10/'Output-Calculation-sheet'!L9*'Output-Calculation-sheet'!L99</f>
        <v>6740953739.7445393</v>
      </c>
      <c r="M120" s="2">
        <f>M10/'Output-Calculation-sheet'!M9*'Output-Calculation-sheet'!M99</f>
        <v>0</v>
      </c>
      <c r="N120" s="2">
        <f>N10/'Output-Calculation-sheet'!N9*'Output-Calculation-sheet'!N99</f>
        <v>2526292433.0812607</v>
      </c>
      <c r="O120" s="2">
        <f>O10/'Output-Calculation-sheet'!O9*'Output-Calculation-sheet'!O99</f>
        <v>0</v>
      </c>
      <c r="P120" s="2">
        <f>P10/'Output-Calculation-sheet'!P9*'Output-Calculation-sheet'!P99</f>
        <v>5752718624.5270538</v>
      </c>
      <c r="Q120" s="2">
        <f>Q10/'Output-Calculation-sheet'!Q9*'Output-Calculation-sheet'!Q99</f>
        <v>5536591681.1591463</v>
      </c>
      <c r="R120" s="2">
        <f>R10/'Output-Calculation-sheet'!R9*'Output-Calculation-sheet'!R99</f>
        <v>5444995216.57162</v>
      </c>
      <c r="S120" s="2">
        <f>S10/'Output-Calculation-sheet'!S9*'Output-Calculation-sheet'!S99</f>
        <v>2094350986.674237</v>
      </c>
      <c r="T120" s="2">
        <f>T10/'Output-Calculation-sheet'!T9*'Output-Calculation-sheet'!T99</f>
        <v>2001611134.2978659</v>
      </c>
      <c r="U120" s="2">
        <f>U10/'Output-Calculation-sheet'!U9*'Output-Calculation-sheet'!U99</f>
        <v>1743729140.7925472</v>
      </c>
      <c r="V120" s="2">
        <f>V10/'Output-Calculation-sheet'!V9*'Output-Calculation-sheet'!V99</f>
        <v>1342414623.1240861</v>
      </c>
      <c r="W120" s="2">
        <f>W10/'Output-Calculation-sheet'!W9*'Output-Calculation-sheet'!W99</f>
        <v>1162233555.0929096</v>
      </c>
      <c r="X120" s="2">
        <f>X10/'Output-Calculation-sheet'!X9*'Output-Calculation-sheet'!X99</f>
        <v>0</v>
      </c>
      <c r="Y120" s="2">
        <f>Y10/'Output-Calculation-sheet'!Y9*'Output-Calculation-sheet'!Y99</f>
        <v>678157184.78852904</v>
      </c>
      <c r="AA120" s="2">
        <f t="shared" si="10"/>
        <v>182347.27390880164</v>
      </c>
    </row>
    <row r="121" spans="1:27" x14ac:dyDescent="0.25">
      <c r="A121" s="2">
        <v>2034</v>
      </c>
      <c r="B121" s="2">
        <f>B11/'Output-Calculation-sheet'!B10*'Output-Calculation-sheet'!B100</f>
        <v>37781104517.168152</v>
      </c>
      <c r="C121" s="2">
        <f>C11/'Output-Calculation-sheet'!C10*'Output-Calculation-sheet'!C100</f>
        <v>0</v>
      </c>
      <c r="D121" s="2">
        <f>D11/'Output-Calculation-sheet'!D10*'Output-Calculation-sheet'!D100</f>
        <v>26153080660.140339</v>
      </c>
      <c r="E121" s="2">
        <f>E11/'Output-Calculation-sheet'!E10*'Output-Calculation-sheet'!E100</f>
        <v>20235150413.480545</v>
      </c>
      <c r="F121" s="2">
        <f>F11/'Output-Calculation-sheet'!F10*'Output-Calculation-sheet'!F100</f>
        <v>13357502355.662163</v>
      </c>
      <c r="G121" s="2">
        <f>G11/'Output-Calculation-sheet'!G10*'Output-Calculation-sheet'!G100</f>
        <v>9384766755.063015</v>
      </c>
      <c r="H121" s="2">
        <f>H11/'Output-Calculation-sheet'!H10*'Output-Calculation-sheet'!H100</f>
        <v>0</v>
      </c>
      <c r="I121" s="2">
        <f>I11/'Output-Calculation-sheet'!I10*'Output-Calculation-sheet'!I100</f>
        <v>8550426916.8461962</v>
      </c>
      <c r="J121" s="2">
        <f>J11/'Output-Calculation-sheet'!J10*'Output-Calculation-sheet'!J100</f>
        <v>8322476153.1629248</v>
      </c>
      <c r="K121" s="2">
        <f>K11/'Output-Calculation-sheet'!K10*'Output-Calculation-sheet'!K100</f>
        <v>8242900193.6037283</v>
      </c>
      <c r="L121" s="2">
        <f>L11/'Output-Calculation-sheet'!L10*'Output-Calculation-sheet'!L100</f>
        <v>6195953167.4165421</v>
      </c>
      <c r="M121" s="2">
        <f>M11/'Output-Calculation-sheet'!M10*'Output-Calculation-sheet'!M100</f>
        <v>4.4267586242902347E-7</v>
      </c>
      <c r="N121" s="2">
        <f>N11/'Output-Calculation-sheet'!N10*'Output-Calculation-sheet'!N100</f>
        <v>1827838480.543786</v>
      </c>
      <c r="O121" s="2">
        <f>O11/'Output-Calculation-sheet'!O10*'Output-Calculation-sheet'!O100</f>
        <v>0</v>
      </c>
      <c r="P121" s="2">
        <f>P11/'Output-Calculation-sheet'!P10*'Output-Calculation-sheet'!P100</f>
        <v>5642909501.4455395</v>
      </c>
      <c r="Q121" s="2">
        <f>Q11/'Output-Calculation-sheet'!Q10*'Output-Calculation-sheet'!Q100</f>
        <v>4676311460.7641153</v>
      </c>
      <c r="R121" s="2">
        <f>R11/'Output-Calculation-sheet'!R10*'Output-Calculation-sheet'!R100</f>
        <v>5341054657.5054817</v>
      </c>
      <c r="S121" s="2">
        <f>S11/'Output-Calculation-sheet'!S10*'Output-Calculation-sheet'!S100</f>
        <v>1410192082.6752398</v>
      </c>
      <c r="T121" s="2">
        <f>T11/'Output-Calculation-sheet'!T10*'Output-Calculation-sheet'!T100</f>
        <v>1963370339.1998043</v>
      </c>
      <c r="U121" s="2">
        <f>U11/'Output-Calculation-sheet'!U10*'Output-Calculation-sheet'!U100</f>
        <v>1654602751.1938612</v>
      </c>
      <c r="V121" s="2">
        <f>V11/'Output-Calculation-sheet'!V10*'Output-Calculation-sheet'!V100</f>
        <v>1317218896.5525279</v>
      </c>
      <c r="W121" s="2">
        <f>W11/'Output-Calculation-sheet'!W10*'Output-Calculation-sheet'!W100</f>
        <v>1140130539.7330513</v>
      </c>
      <c r="X121" s="2">
        <f>X11/'Output-Calculation-sheet'!X10*'Output-Calculation-sheet'!X100</f>
        <v>43908068.333080985</v>
      </c>
      <c r="Y121" s="2">
        <f>Y11/'Output-Calculation-sheet'!Y10*'Output-Calculation-sheet'!Y100</f>
        <v>637813055.30971336</v>
      </c>
      <c r="AA121" s="2">
        <f t="shared" si="10"/>
        <v>163878.71096579981</v>
      </c>
    </row>
    <row r="122" spans="1:27" x14ac:dyDescent="0.25">
      <c r="A122" s="2">
        <v>2035</v>
      </c>
      <c r="B122" s="2">
        <f>B12/'Output-Calculation-sheet'!B11*'Output-Calculation-sheet'!B101</f>
        <v>28776004654.876987</v>
      </c>
      <c r="C122" s="2">
        <f>C12/'Output-Calculation-sheet'!C11*'Output-Calculation-sheet'!C101</f>
        <v>0</v>
      </c>
      <c r="D122" s="2">
        <f>D12/'Output-Calculation-sheet'!D11*'Output-Calculation-sheet'!D101</f>
        <v>20136990489.814041</v>
      </c>
      <c r="E122" s="2">
        <f>E12/'Output-Calculation-sheet'!E11*'Output-Calculation-sheet'!E101</f>
        <v>15638200825.605671</v>
      </c>
      <c r="F122" s="2">
        <f>F12/'Output-Calculation-sheet'!F11*'Output-Calculation-sheet'!F101</f>
        <v>10653576934.493977</v>
      </c>
      <c r="G122" s="2">
        <f>G12/'Output-Calculation-sheet'!G11*'Output-Calculation-sheet'!G101</f>
        <v>7218628127.9405928</v>
      </c>
      <c r="H122" s="2">
        <f>H12/'Output-Calculation-sheet'!H11*'Output-Calculation-sheet'!H101</f>
        <v>0</v>
      </c>
      <c r="I122" s="2">
        <f>I12/'Output-Calculation-sheet'!I11*'Output-Calculation-sheet'!I101</f>
        <v>6623657333.6615925</v>
      </c>
      <c r="J122" s="2">
        <f>J12/'Output-Calculation-sheet'!J11*'Output-Calculation-sheet'!J101</f>
        <v>6630888508.5737867</v>
      </c>
      <c r="K122" s="2">
        <f>K12/'Output-Calculation-sheet'!K11*'Output-Calculation-sheet'!K101</f>
        <v>6510029462.3665743</v>
      </c>
      <c r="L122" s="2">
        <f>L12/'Output-Calculation-sheet'!L11*'Output-Calculation-sheet'!L101</f>
        <v>4716093134.7365799</v>
      </c>
      <c r="M122" s="2">
        <f>M12/'Output-Calculation-sheet'!M11*'Output-Calculation-sheet'!M101</f>
        <v>0</v>
      </c>
      <c r="N122" s="2">
        <f>N12/'Output-Calculation-sheet'!N11*'Output-Calculation-sheet'!N101</f>
        <v>1373187761.9384391</v>
      </c>
      <c r="O122" s="2">
        <f>O12/'Output-Calculation-sheet'!O11*'Output-Calculation-sheet'!O101</f>
        <v>0</v>
      </c>
      <c r="P122" s="2">
        <f>P12/'Output-Calculation-sheet'!P11*'Output-Calculation-sheet'!P101</f>
        <v>4377732160.0135479</v>
      </c>
      <c r="Q122" s="2">
        <f>Q12/'Output-Calculation-sheet'!Q11*'Output-Calculation-sheet'!Q101</f>
        <v>3539171424.7958393</v>
      </c>
      <c r="R122" s="2">
        <f>R12/'Output-Calculation-sheet'!R11*'Output-Calculation-sheet'!R101</f>
        <v>4336156630.0538464</v>
      </c>
      <c r="S122" s="2">
        <f>S12/'Output-Calculation-sheet'!S11*'Output-Calculation-sheet'!S101</f>
        <v>1037199469.6757451</v>
      </c>
      <c r="T122" s="2">
        <f>T12/'Output-Calculation-sheet'!T11*'Output-Calculation-sheet'!T101</f>
        <v>1618106673.6059847</v>
      </c>
      <c r="U122" s="2">
        <f>U12/'Output-Calculation-sheet'!U11*'Output-Calculation-sheet'!U101</f>
        <v>1277967059.9381983</v>
      </c>
      <c r="V122" s="2">
        <f>V12/'Output-Calculation-sheet'!V11*'Output-Calculation-sheet'!V101</f>
        <v>1112812661.6167052</v>
      </c>
      <c r="W122" s="2">
        <f>W12/'Output-Calculation-sheet'!W11*'Output-Calculation-sheet'!W101</f>
        <v>937848938.23865306</v>
      </c>
      <c r="X122" s="2">
        <f>X12/'Output-Calculation-sheet'!X11*'Output-Calculation-sheet'!X101</f>
        <v>33067402.850192215</v>
      </c>
      <c r="Y122" s="2">
        <f>Y12/'Output-Calculation-sheet'!Y11*'Output-Calculation-sheet'!Y101</f>
        <v>495412771.00691229</v>
      </c>
      <c r="AA122" s="2">
        <f t="shared" si="10"/>
        <v>127042.73242580386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46267686891.07016</v>
      </c>
      <c r="C129" s="2">
        <f>C8/'Output-Calculation-sheet'!C7*'Output-Calculation-sheet'!C106</f>
        <v>27118341667.484131</v>
      </c>
      <c r="D129" s="2">
        <f>D8/'Output-Calculation-sheet'!D7*'Output-Calculation-sheet'!D106</f>
        <v>19432961279.344662</v>
      </c>
      <c r="E129" s="2">
        <f>E8/'Output-Calculation-sheet'!E7*'Output-Calculation-sheet'!E106</f>
        <v>15418082780.464624</v>
      </c>
      <c r="F129" s="2">
        <f>F8/'Output-Calculation-sheet'!F7*'Output-Calculation-sheet'!F106</f>
        <v>9925173158.3295975</v>
      </c>
      <c r="G129" s="2">
        <f>G8/'Output-Calculation-sheet'!G7*'Output-Calculation-sheet'!G106</f>
        <v>6973699050.0676041</v>
      </c>
      <c r="H129" s="2">
        <f>H8/'Output-Calculation-sheet'!H7*'Output-Calculation-sheet'!H106</f>
        <v>6802575725.4668121</v>
      </c>
      <c r="I129" s="2">
        <f>I8/'Output-Calculation-sheet'!I7*'Output-Calculation-sheet'!I106</f>
        <v>6353588784.6825705</v>
      </c>
      <c r="J129" s="2">
        <f>J8/'Output-Calculation-sheet'!J7*'Output-Calculation-sheet'!J106</f>
        <v>6184145714.4773359</v>
      </c>
      <c r="K129" s="2">
        <f>K8/'Output-Calculation-sheet'!K7*'Output-Calculation-sheet'!K106</f>
        <v>6124858384.1357956</v>
      </c>
      <c r="L129" s="2">
        <f>L8/'Output-Calculation-sheet'!L7*'Output-Calculation-sheet'!L106</f>
        <v>4913441035.8876333</v>
      </c>
      <c r="M129" s="2">
        <f>M8/'Output-Calculation-sheet'!M7*'Output-Calculation-sheet'!M106</f>
        <v>4693184248.9522018</v>
      </c>
      <c r="N129" s="2">
        <f>N8/'Output-Calculation-sheet'!N7*'Output-Calculation-sheet'!N106</f>
        <v>4606347678.5369673</v>
      </c>
      <c r="O129" s="2">
        <f>O8/'Output-Calculation-sheet'!O7*'Output-Calculation-sheet'!O106</f>
        <v>5908011955.4061251</v>
      </c>
      <c r="P129" s="2">
        <f>P8/'Output-Calculation-sheet'!P7*'Output-Calculation-sheet'!P106</f>
        <v>4193368597.8904996</v>
      </c>
      <c r="Q129" s="2">
        <f>Q8/'Output-Calculation-sheet'!Q7*'Output-Calculation-sheet'!Q106</f>
        <v>4125596202.2114587</v>
      </c>
      <c r="R129" s="2">
        <f>R8/'Output-Calculation-sheet'!R7*'Output-Calculation-sheet'!R106</f>
        <v>3969013283.8316984</v>
      </c>
      <c r="S129" s="2">
        <f>S8/'Output-Calculation-sheet'!S7*'Output-Calculation-sheet'!S106</f>
        <v>2638009551.7822547</v>
      </c>
      <c r="T129" s="2">
        <f>T8/'Output-Calculation-sheet'!T7*'Output-Calculation-sheet'!T106</f>
        <v>1458975439.7718334</v>
      </c>
      <c r="U129" s="2">
        <f>U8/'Output-Calculation-sheet'!U7*'Output-Calculation-sheet'!U106</f>
        <v>1270717507.4384687</v>
      </c>
      <c r="V129" s="2">
        <f>V8/'Output-Calculation-sheet'!V7*'Output-Calculation-sheet'!V106</f>
        <v>978478279.58187962</v>
      </c>
      <c r="W129" s="2">
        <f>W8/'Output-Calculation-sheet'!W7*'Output-Calculation-sheet'!W106</f>
        <v>847145004.69952846</v>
      </c>
      <c r="X129" s="2">
        <f>X8/'Output-Calculation-sheet'!X7*'Output-Calculation-sheet'!X106</f>
        <v>508287102.77460629</v>
      </c>
      <c r="Y129" s="2">
        <f>Y8/'Output-Calculation-sheet'!Y7*'Output-Calculation-sheet'!Y106</f>
        <v>494304220.71283102</v>
      </c>
      <c r="AA129" s="2">
        <f t="shared" si="11"/>
        <v>191205.99354500126</v>
      </c>
    </row>
    <row r="130" spans="1:27" x14ac:dyDescent="0.25">
      <c r="A130" s="2">
        <v>2032</v>
      </c>
      <c r="B130" s="2">
        <f>B9/'Output-Calculation-sheet'!B8*'Output-Calculation-sheet'!B107</f>
        <v>34636265330.061325</v>
      </c>
      <c r="C130" s="2">
        <f>C9/'Output-Calculation-sheet'!C8*'Output-Calculation-sheet'!C107</f>
        <v>26047406101.862312</v>
      </c>
      <c r="D130" s="2">
        <f>D9/'Output-Calculation-sheet'!D8*'Output-Calculation-sheet'!D107</f>
        <v>14547626495.986788</v>
      </c>
      <c r="E130" s="2">
        <f>E9/'Output-Calculation-sheet'!E8*'Output-Calculation-sheet'!E107</f>
        <v>11542063869.200644</v>
      </c>
      <c r="F130" s="2">
        <f>F9/'Output-Calculation-sheet'!F8*'Output-Calculation-sheet'!F107</f>
        <v>7430044529.5256348</v>
      </c>
      <c r="G130" s="2">
        <f>G9/'Output-Calculation-sheet'!G8*'Output-Calculation-sheet'!G107</f>
        <v>5220553227.0386581</v>
      </c>
      <c r="H130" s="2">
        <f>H9/'Output-Calculation-sheet'!H8*'Output-Calculation-sheet'!H107</f>
        <v>5092447946.3145037</v>
      </c>
      <c r="I130" s="2">
        <f>I9/'Output-Calculation-sheet'!I8*'Output-Calculation-sheet'!I107</f>
        <v>4756334309.8231306</v>
      </c>
      <c r="J130" s="2">
        <f>J9/'Output-Calculation-sheet'!J8*'Output-Calculation-sheet'!J107</f>
        <v>4629486415.2093468</v>
      </c>
      <c r="K130" s="2">
        <f>K9/'Output-Calculation-sheet'!K8*'Output-Calculation-sheet'!K107</f>
        <v>4585104783.6176968</v>
      </c>
      <c r="L130" s="2">
        <f>L9/'Output-Calculation-sheet'!L8*'Output-Calculation-sheet'!L107</f>
        <v>3678231154.3979011</v>
      </c>
      <c r="M130" s="2">
        <f>M9/'Output-Calculation-sheet'!M8*'Output-Calculation-sheet'!M107</f>
        <v>3513346064.8869414</v>
      </c>
      <c r="N130" s="2">
        <f>N9/'Output-Calculation-sheet'!N8*'Output-Calculation-sheet'!N107</f>
        <v>3448337458.0608912</v>
      </c>
      <c r="O130" s="2">
        <f>O9/'Output-Calculation-sheet'!O8*'Output-Calculation-sheet'!O107</f>
        <v>5672163051.8776636</v>
      </c>
      <c r="P130" s="2">
        <f>P9/'Output-Calculation-sheet'!P8*'Output-Calculation-sheet'!P107</f>
        <v>3139179829.38449</v>
      </c>
      <c r="Q130" s="2">
        <f>Q9/'Output-Calculation-sheet'!Q8*'Output-Calculation-sheet'!Q107</f>
        <v>3088446600.1552153</v>
      </c>
      <c r="R130" s="2">
        <f>R9/'Output-Calculation-sheet'!R8*'Output-Calculation-sheet'!R107</f>
        <v>2971227315.544013</v>
      </c>
      <c r="S130" s="2">
        <f>S9/'Output-Calculation-sheet'!S8*'Output-Calculation-sheet'!S107</f>
        <v>1974829623.8679316</v>
      </c>
      <c r="T130" s="2">
        <f>T9/'Output-Calculation-sheet'!T8*'Output-Calculation-sheet'!T107</f>
        <v>1092197684.5012929</v>
      </c>
      <c r="U130" s="2">
        <f>U9/'Output-Calculation-sheet'!U8*'Output-Calculation-sheet'!U107</f>
        <v>951266552.88454735</v>
      </c>
      <c r="V130" s="2">
        <f>V9/'Output-Calculation-sheet'!V8*'Output-Calculation-sheet'!V107</f>
        <v>732494270.85218</v>
      </c>
      <c r="W130" s="2">
        <f>W9/'Output-Calculation-sheet'!W8*'Output-Calculation-sheet'!W107</f>
        <v>634177868.0106144</v>
      </c>
      <c r="X130" s="2">
        <f>X9/'Output-Calculation-sheet'!X8*'Output-Calculation-sheet'!X107</f>
        <v>380506646.14647746</v>
      </c>
      <c r="Y130" s="2">
        <f>Y9/'Output-Calculation-sheet'!Y8*'Output-Calculation-sheet'!Y107</f>
        <v>370038980.65008837</v>
      </c>
      <c r="AA130" s="2">
        <f t="shared" si="11"/>
        <v>150133.77610986025</v>
      </c>
    </row>
    <row r="131" spans="1:27" x14ac:dyDescent="0.25">
      <c r="A131" s="2">
        <v>2033</v>
      </c>
      <c r="B131" s="2">
        <f>B10/'Output-Calculation-sheet'!B9*'Output-Calculation-sheet'!B108</f>
        <v>21158858998.898148</v>
      </c>
      <c r="C131" s="2">
        <f>C10/'Output-Calculation-sheet'!C9*'Output-Calculation-sheet'!C108</f>
        <v>22141207646.361404</v>
      </c>
      <c r="D131" s="2">
        <f>D10/'Output-Calculation-sheet'!D9*'Output-Calculation-sheet'!D108</f>
        <v>8886964433.099453</v>
      </c>
      <c r="E131" s="2">
        <f>E10/'Output-Calculation-sheet'!E9*'Output-Calculation-sheet'!E108</f>
        <v>7050901701.1128721</v>
      </c>
      <c r="F131" s="2">
        <f>F10/'Output-Calculation-sheet'!F9*'Output-Calculation-sheet'!F108</f>
        <v>4538918444.1645002</v>
      </c>
      <c r="G131" s="2">
        <f>G10/'Output-Calculation-sheet'!G9*'Output-Calculation-sheet'!G108</f>
        <v>3189168666.1244612</v>
      </c>
      <c r="H131" s="2">
        <f>H10/'Output-Calculation-sheet'!H9*'Output-Calculation-sheet'!H108</f>
        <v>3110911611.8779631</v>
      </c>
      <c r="I131" s="2">
        <f>I10/'Output-Calculation-sheet'!I9*'Output-Calculation-sheet'!I108</f>
        <v>2905584817.9836826</v>
      </c>
      <c r="J131" s="2">
        <f>J10/'Output-Calculation-sheet'!J9*'Output-Calculation-sheet'!J108</f>
        <v>2828095046.511621</v>
      </c>
      <c r="K131" s="2">
        <f>K10/'Output-Calculation-sheet'!K9*'Output-Calculation-sheet'!K108</f>
        <v>2800982133.4269104</v>
      </c>
      <c r="L131" s="2">
        <f>L10/'Output-Calculation-sheet'!L9*'Output-Calculation-sheet'!L108</f>
        <v>2246985163.8132195</v>
      </c>
      <c r="M131" s="2">
        <f>M10/'Output-Calculation-sheet'!M9*'Output-Calculation-sheet'!M108</f>
        <v>2146257824.3840518</v>
      </c>
      <c r="N131" s="2">
        <f>N10/'Output-Calculation-sheet'!N9*'Output-Calculation-sheet'!N108</f>
        <v>2106545447.8958457</v>
      </c>
      <c r="O131" s="2">
        <f>O10/'Output-Calculation-sheet'!O9*'Output-Calculation-sheet'!O108</f>
        <v>4988852192.0751877</v>
      </c>
      <c r="P131" s="2">
        <f>P10/'Output-Calculation-sheet'!P9*'Output-Calculation-sheet'!P108</f>
        <v>1917685994.3286526</v>
      </c>
      <c r="Q131" s="2">
        <f>Q10/'Output-Calculation-sheet'!Q9*'Output-Calculation-sheet'!Q108</f>
        <v>1886692705.0361457</v>
      </c>
      <c r="R131" s="2">
        <f>R10/'Output-Calculation-sheet'!R9*'Output-Calculation-sheet'!R108</f>
        <v>1815084463.6900551</v>
      </c>
      <c r="S131" s="2">
        <f>S10/'Output-Calculation-sheet'!S9*'Output-Calculation-sheet'!S108</f>
        <v>1206398585.0767772</v>
      </c>
      <c r="T131" s="2">
        <f>T10/'Output-Calculation-sheet'!T9*'Output-Calculation-sheet'!T108</f>
        <v>667209309.41025829</v>
      </c>
      <c r="U131" s="2">
        <f>U10/'Output-Calculation-sheet'!U9*'Output-Calculation-sheet'!U108</f>
        <v>581116625.35527039</v>
      </c>
      <c r="V131" s="2">
        <f>V10/'Output-Calculation-sheet'!V9*'Output-Calculation-sheet'!V108</f>
        <v>447471423.73390043</v>
      </c>
      <c r="W131" s="2">
        <f>W10/'Output-Calculation-sheet'!W9*'Output-Calculation-sheet'!W108</f>
        <v>387411083.45152992</v>
      </c>
      <c r="X131" s="2">
        <f>X10/'Output-Calculation-sheet'!X9*'Output-Calculation-sheet'!X108</f>
        <v>232446604.66608274</v>
      </c>
      <c r="Y131" s="2">
        <f>Y10/'Output-Calculation-sheet'!Y9*'Output-Calculation-sheet'!Y108</f>
        <v>226052043.21659812</v>
      </c>
      <c r="AA131" s="2">
        <f t="shared" si="11"/>
        <v>99467.802965694587</v>
      </c>
    </row>
    <row r="132" spans="1:27" x14ac:dyDescent="0.25">
      <c r="A132" s="2">
        <v>2034</v>
      </c>
      <c r="B132" s="2">
        <f>B11/'Output-Calculation-sheet'!B10*'Output-Calculation-sheet'!B109</f>
        <v>8895362971.0726738</v>
      </c>
      <c r="C132" s="2">
        <f>C11/'Output-Calculation-sheet'!C10*'Output-Calculation-sheet'!C109</f>
        <v>16447445508.638741</v>
      </c>
      <c r="D132" s="2">
        <f>D11/'Output-Calculation-sheet'!D10*'Output-Calculation-sheet'!D109</f>
        <v>3736154880.6875391</v>
      </c>
      <c r="E132" s="2">
        <f>E11/'Output-Calculation-sheet'!E10*'Output-Calculation-sheet'!E109</f>
        <v>2964259533.0728641</v>
      </c>
      <c r="F132" s="2">
        <f>F11/'Output-Calculation-sheet'!F10*'Output-Calculation-sheet'!F109</f>
        <v>1908200232.8625984</v>
      </c>
      <c r="G132" s="2">
        <f>G11/'Output-Calculation-sheet'!G10*'Output-Calculation-sheet'!G109</f>
        <v>1340754062.284698</v>
      </c>
      <c r="H132" s="2">
        <f>H11/'Output-Calculation-sheet'!H10*'Output-Calculation-sheet'!H109</f>
        <v>1588842570.7844543</v>
      </c>
      <c r="I132" s="2">
        <f>I11/'Output-Calculation-sheet'!I10*'Output-Calculation-sheet'!I109</f>
        <v>1221532394.4784932</v>
      </c>
      <c r="J132" s="2">
        <f>J11/'Output-Calculation-sheet'!J10*'Output-Calculation-sheet'!J109</f>
        <v>1188955220.5253642</v>
      </c>
      <c r="K132" s="2">
        <f>K11/'Output-Calculation-sheet'!K10*'Output-Calculation-sheet'!K109</f>
        <v>1177557091.1307969</v>
      </c>
      <c r="L132" s="2">
        <f>L11/'Output-Calculation-sheet'!L10*'Output-Calculation-sheet'!L109</f>
        <v>944651682.34575713</v>
      </c>
      <c r="M132" s="2">
        <f>M11/'Output-Calculation-sheet'!M10*'Output-Calculation-sheet'!M109</f>
        <v>902305192.44914436</v>
      </c>
      <c r="N132" s="2">
        <f>N11/'Output-Calculation-sheet'!N10*'Output-Calculation-sheet'!N109</f>
        <v>885610043.40927362</v>
      </c>
      <c r="O132" s="2">
        <f>O11/'Output-Calculation-sheet'!O10*'Output-Calculation-sheet'!O109</f>
        <v>3903491853.5461535</v>
      </c>
      <c r="P132" s="2">
        <f>P11/'Output-Calculation-sheet'!P10*'Output-Calculation-sheet'!P109</f>
        <v>806211381.57157922</v>
      </c>
      <c r="Q132" s="2">
        <f>Q11/'Output-Calculation-sheet'!Q10*'Output-Calculation-sheet'!Q109</f>
        <v>992900612.34645796</v>
      </c>
      <c r="R132" s="2">
        <f>R11/'Output-Calculation-sheet'!R10*'Output-Calculation-sheet'!R109</f>
        <v>763077191.24226916</v>
      </c>
      <c r="S132" s="2">
        <f>S11/'Output-Calculation-sheet'!S10*'Output-Calculation-sheet'!S109</f>
        <v>507180230.73516077</v>
      </c>
      <c r="T132" s="2">
        <f>T11/'Output-Calculation-sheet'!T10*'Output-Calculation-sheet'!T109</f>
        <v>280500602.91322112</v>
      </c>
      <c r="U132" s="2">
        <f>U11/'Output-Calculation-sheet'!U10*'Output-Calculation-sheet'!U109</f>
        <v>308522837.76184171</v>
      </c>
      <c r="V132" s="2">
        <f>V11/'Output-Calculation-sheet'!V10*'Output-Calculation-sheet'!V109</f>
        <v>188120852.96968526</v>
      </c>
      <c r="W132" s="2">
        <f>W11/'Output-Calculation-sheet'!W10*'Output-Calculation-sheet'!W109</f>
        <v>162870966.96054122</v>
      </c>
      <c r="X132" s="2">
        <f>X11/'Output-Calculation-sheet'!X10*'Output-Calculation-sheet'!X109</f>
        <v>129326570.08728276</v>
      </c>
      <c r="Y132" s="2">
        <f>Y11/'Output-Calculation-sheet'!Y10*'Output-Calculation-sheet'!Y109</f>
        <v>95034246.823113322</v>
      </c>
      <c r="AA132" s="2">
        <f t="shared" si="11"/>
        <v>51338.868730699702</v>
      </c>
    </row>
    <row r="133" spans="1:27" x14ac:dyDescent="0.25">
      <c r="A133" s="2">
        <v>2035</v>
      </c>
      <c r="B133" s="2">
        <f>B12/'Output-Calculation-sheet'!B11*'Output-Calculation-sheet'!B110</f>
        <v>7241378144.74545</v>
      </c>
      <c r="C133" s="2">
        <f>C12/'Output-Calculation-sheet'!C11*'Output-Calculation-sheet'!C110</f>
        <v>9335042833.0207043</v>
      </c>
      <c r="D133" s="2">
        <f>D12/'Output-Calculation-sheet'!D11*'Output-Calculation-sheet'!D110</f>
        <v>2753623405.5423856</v>
      </c>
      <c r="E133" s="2">
        <f>E12/'Output-Calculation-sheet'!E11*'Output-Calculation-sheet'!E110</f>
        <v>1359137540.0782917</v>
      </c>
      <c r="F133" s="2">
        <f>F12/'Output-Calculation-sheet'!F11*'Output-Calculation-sheet'!F110</f>
        <v>1113206542.3545403</v>
      </c>
      <c r="G133" s="2">
        <f>G12/'Output-Calculation-sheet'!G11*'Output-Calculation-sheet'!G110</f>
        <v>1050592693.0967594</v>
      </c>
      <c r="H133" s="2">
        <f>H12/'Output-Calculation-sheet'!H11*'Output-Calculation-sheet'!H110</f>
        <v>1146340215.919683</v>
      </c>
      <c r="I133" s="2">
        <f>I12/'Output-Calculation-sheet'!I11*'Output-Calculation-sheet'!I110</f>
        <v>901709404.17605758</v>
      </c>
      <c r="J133" s="2">
        <f>J12/'Output-Calculation-sheet'!J11*'Output-Calculation-sheet'!J110</f>
        <v>656110854.33749056</v>
      </c>
      <c r="K133" s="2">
        <f>K12/'Output-Calculation-sheet'!K11*'Output-Calculation-sheet'!K110</f>
        <v>723753002.73653781</v>
      </c>
      <c r="L133" s="2">
        <f>L12/'Output-Calculation-sheet'!L11*'Output-Calculation-sheet'!L110</f>
        <v>316599505.83283925</v>
      </c>
      <c r="M133" s="2">
        <f>M12/'Output-Calculation-sheet'!M11*'Output-Calculation-sheet'!M110</f>
        <v>630548758.16225934</v>
      </c>
      <c r="N133" s="2">
        <f>N12/'Output-Calculation-sheet'!N11*'Output-Calculation-sheet'!N110</f>
        <v>573187857.73718882</v>
      </c>
      <c r="O133" s="2">
        <f>O12/'Output-Calculation-sheet'!O11*'Output-Calculation-sheet'!O110</f>
        <v>2530085036.6542125</v>
      </c>
      <c r="P133" s="2">
        <f>P12/'Output-Calculation-sheet'!P11*'Output-Calculation-sheet'!P110</f>
        <v>484677520.17415017</v>
      </c>
      <c r="Q133" s="2">
        <f>Q12/'Output-Calculation-sheet'!Q11*'Output-Calculation-sheet'!Q110</f>
        <v>696578233.14541495</v>
      </c>
      <c r="R133" s="2">
        <f>R12/'Output-Calculation-sheet'!R11*'Output-Calculation-sheet'!R110</f>
        <v>364328823.18951827</v>
      </c>
      <c r="S133" s="2">
        <f>S12/'Output-Calculation-sheet'!S11*'Output-Calculation-sheet'!S110</f>
        <v>423739890.62242305</v>
      </c>
      <c r="T133" s="2">
        <f>T12/'Output-Calculation-sheet'!T11*'Output-Calculation-sheet'!T110</f>
        <v>101444393.48601194</v>
      </c>
      <c r="U133" s="2">
        <f>U12/'Output-Calculation-sheet'!U11*'Output-Calculation-sheet'!U110</f>
        <v>234779180.23332381</v>
      </c>
      <c r="V133" s="2">
        <f>V12/'Output-Calculation-sheet'!V11*'Output-Calculation-sheet'!V110</f>
        <v>35108032.459696114</v>
      </c>
      <c r="W133" s="2">
        <f>W12/'Output-Calculation-sheet'!W11*'Output-Calculation-sheet'!W110</f>
        <v>70330809.864587381</v>
      </c>
      <c r="X133" s="2">
        <f>X12/'Output-Calculation-sheet'!X11*'Output-Calculation-sheet'!X110</f>
        <v>97813630.502536625</v>
      </c>
      <c r="Y133" s="2">
        <f>Y12/'Output-Calculation-sheet'!Y11*'Output-Calculation-sheet'!Y110</f>
        <v>69067307.133189604</v>
      </c>
      <c r="AA133" s="2">
        <f t="shared" si="11"/>
        <v>32909.183615205249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1047.2129563981619</v>
      </c>
      <c r="C19" s="2">
        <f>C8/'Output-Calculation-sheet'!C7*'Output-Calculation-sheet'!C25</f>
        <v>11983.456385084262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4698.3686383974618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3263.9760388012919</v>
      </c>
      <c r="N19" s="2">
        <f>N8/'Output-Calculation-sheet'!N7*'Output-Calculation-sheet'!N25</f>
        <v>1117.7120907340188</v>
      </c>
      <c r="O19" s="2">
        <f>O8/'Output-Calculation-sheet'!O7*'Output-Calculation-sheet'!O25</f>
        <v>1842.2806873384357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398.8173183738827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365.09933182746823</v>
      </c>
      <c r="Y19" s="2">
        <f>Y8/'Output-Calculation-sheet'!Y7*'Output-Calculation-sheet'!Y25</f>
        <v>0</v>
      </c>
      <c r="AA19" s="2">
        <f t="shared" si="0"/>
        <v>24.716923446954983</v>
      </c>
    </row>
    <row r="20" spans="1:27" x14ac:dyDescent="0.25">
      <c r="A20" s="2">
        <v>2032</v>
      </c>
      <c r="B20" s="2">
        <f>B9/'Output-Calculation-sheet'!B8*'Output-Calculation-sheet'!B26</f>
        <v>5625.6617218925157</v>
      </c>
      <c r="C20" s="2">
        <f>C9/'Output-Calculation-sheet'!C8*'Output-Calculation-sheet'!C26</f>
        <v>13304.39969429687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6112.3916397015892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4252.8107098249493</v>
      </c>
      <c r="N20" s="2">
        <f>N9/'Output-Calculation-sheet'!N8*'Output-Calculation-sheet'!N26</f>
        <v>1919.21719340959</v>
      </c>
      <c r="O20" s="2">
        <f>O9/'Output-Calculation-sheet'!O8*'Output-Calculation-sheet'!O26</f>
        <v>2107.8931830991714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693.93234080584079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475.78506656513412</v>
      </c>
      <c r="Y20" s="2">
        <f>Y9/'Output-Calculation-sheet'!Y8*'Output-Calculation-sheet'!Y26</f>
        <v>0</v>
      </c>
      <c r="AA20" s="2">
        <f t="shared" si="0"/>
        <v>34.492091549595656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14378.61099982664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7164.8555518895282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4976.0621621648179</v>
      </c>
      <c r="N21" s="2">
        <f>N10/'Output-Calculation-sheet'!N9*'Output-Calculation-sheet'!N27</f>
        <v>2721.8457375139965</v>
      </c>
      <c r="O21" s="2">
        <f>O10/'Output-Calculation-sheet'!O9*'Output-Calculation-sheet'!O27</f>
        <v>2207.2933841997087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1184.9743475203188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585.18464860567474</v>
      </c>
      <c r="Y21" s="2">
        <f>Y10/'Output-Calculation-sheet'!Y9*'Output-Calculation-sheet'!Y27</f>
        <v>0</v>
      </c>
      <c r="AA21" s="2">
        <f t="shared" si="0"/>
        <v>45.797104245481961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15132.334182207229</v>
      </c>
      <c r="D22" s="2">
        <f>D11/'Output-Calculation-sheet'!D10*'Output-Calculation-sheet'!D28</f>
        <v>0</v>
      </c>
      <c r="E22" s="2">
        <f>E11/'Output-Calculation-sheet'!E10*'Output-Calculation-sheet'!E28</f>
        <v>1118.0832602140117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7970.4051719059353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655.52132681854448</v>
      </c>
      <c r="M22" s="2">
        <f>M11/'Output-Calculation-sheet'!M10*'Output-Calculation-sheet'!M28</f>
        <v>5958.6471786933917</v>
      </c>
      <c r="N22" s="2">
        <f>N11/'Output-Calculation-sheet'!N10*'Output-Calculation-sheet'!N28</f>
        <v>3429.2346429308195</v>
      </c>
      <c r="O22" s="2">
        <f>O11/'Output-Calculation-sheet'!O10*'Output-Calculation-sheet'!O28</f>
        <v>2278.460453887295</v>
      </c>
      <c r="P22" s="2">
        <f>P11/'Output-Calculation-sheet'!P10*'Output-Calculation-sheet'!P28</f>
        <v>0</v>
      </c>
      <c r="Q22" s="2">
        <f>Q11/'Output-Calculation-sheet'!Q10*'Output-Calculation-sheet'!Q28</f>
        <v>990.44162554032857</v>
      </c>
      <c r="R22" s="2">
        <f>R11/'Output-Calculation-sheet'!R10*'Output-Calculation-sheet'!R28</f>
        <v>0</v>
      </c>
      <c r="S22" s="2">
        <f>S11/'Output-Calculation-sheet'!S10*'Output-Calculation-sheet'!S28</f>
        <v>1739.1091942287612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573.88348991684404</v>
      </c>
      <c r="Y22" s="2">
        <f>Y11/'Output-Calculation-sheet'!Y10*'Output-Calculation-sheet'!Y28</f>
        <v>59.884745807452546</v>
      </c>
      <c r="AA22" s="2">
        <f t="shared" si="0"/>
        <v>61.433536842991757</v>
      </c>
    </row>
    <row r="23" spans="1:27" x14ac:dyDescent="0.25">
      <c r="A23" s="2">
        <v>2035</v>
      </c>
      <c r="B23" s="2">
        <f>B12/'Output-Calculation-sheet'!B11*'Output-Calculation-sheet'!B29</f>
        <v>18918.232317280261</v>
      </c>
      <c r="C23" s="2">
        <f>C12/'Output-Calculation-sheet'!C11*'Output-Calculation-sheet'!C29</f>
        <v>16073.675740675026</v>
      </c>
      <c r="D23" s="2">
        <f>D12/'Output-Calculation-sheet'!D11*'Output-Calculation-sheet'!D29</f>
        <v>0</v>
      </c>
      <c r="E23" s="2">
        <f>E12/'Output-Calculation-sheet'!E11*'Output-Calculation-sheet'!E29</f>
        <v>3182.3072924448188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6977.0084552531989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1151.5900189737167</v>
      </c>
      <c r="M23" s="2">
        <f>M12/'Output-Calculation-sheet'!M11*'Output-Calculation-sheet'!M29</f>
        <v>5288.8323544373598</v>
      </c>
      <c r="N23" s="2">
        <f>N12/'Output-Calculation-sheet'!N11*'Output-Calculation-sheet'!N29</f>
        <v>3114.4444713924527</v>
      </c>
      <c r="O23" s="2">
        <f>O12/'Output-Calculation-sheet'!O11*'Output-Calculation-sheet'!O29</f>
        <v>2408.2903844749912</v>
      </c>
      <c r="P23" s="2">
        <f>P12/'Output-Calculation-sheet'!P11*'Output-Calculation-sheet'!P29</f>
        <v>367.54288179881331</v>
      </c>
      <c r="Q23" s="2">
        <f>Q12/'Output-Calculation-sheet'!Q11*'Output-Calculation-sheet'!Q29</f>
        <v>982.91343560395592</v>
      </c>
      <c r="R23" s="2">
        <f>R12/'Output-Calculation-sheet'!R11*'Output-Calculation-sheet'!R29</f>
        <v>0</v>
      </c>
      <c r="S23" s="2">
        <f>S12/'Output-Calculation-sheet'!S11*'Output-Calculation-sheet'!S29</f>
        <v>1497.4517616011826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495.78571911171389</v>
      </c>
      <c r="Y23" s="2">
        <f>Y12/'Output-Calculation-sheet'!Y11*'Output-Calculation-sheet'!Y29</f>
        <v>69.975534535874218</v>
      </c>
      <c r="AA23" s="2">
        <f t="shared" si="0"/>
        <v>60.528050367583361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18252.581646706643</v>
      </c>
      <c r="C30" s="2">
        <f>C8/'Output-Calculation-sheet'!C7*'Output-Calculation-sheet'!C16</f>
        <v>0</v>
      </c>
      <c r="D30" s="2">
        <f>D8/'Output-Calculation-sheet'!D7*'Output-Calculation-sheet'!D16</f>
        <v>3073.493456472047</v>
      </c>
      <c r="E30" s="2">
        <f>E8/'Output-Calculation-sheet'!E7*'Output-Calculation-sheet'!E16</f>
        <v>3306.9053133670977</v>
      </c>
      <c r="F30" s="2">
        <f>F8/'Output-Calculation-sheet'!F7*'Output-Calculation-sheet'!F16</f>
        <v>1668.3513275369583</v>
      </c>
      <c r="G30" s="2">
        <f>G8/'Output-Calculation-sheet'!G7*'Output-Calculation-sheet'!G16</f>
        <v>1092.5719667543706</v>
      </c>
      <c r="H30" s="2">
        <f>H8/'Output-Calculation-sheet'!H7*'Output-Calculation-sheet'!H16</f>
        <v>0</v>
      </c>
      <c r="I30" s="2">
        <f>I8/'Output-Calculation-sheet'!I7*'Output-Calculation-sheet'!I16</f>
        <v>1065.0940753551811</v>
      </c>
      <c r="J30" s="2">
        <f>J8/'Output-Calculation-sheet'!J7*'Output-Calculation-sheet'!J16</f>
        <v>948.13852741278652</v>
      </c>
      <c r="K30" s="2">
        <f>K8/'Output-Calculation-sheet'!K7*'Output-Calculation-sheet'!K16</f>
        <v>1265.9461611124664</v>
      </c>
      <c r="L30" s="2">
        <f>L8/'Output-Calculation-sheet'!L7*'Output-Calculation-sheet'!L16</f>
        <v>1069.3129305292755</v>
      </c>
      <c r="M30" s="2">
        <f>M8/'Output-Calculation-sheet'!M7*'Output-Calculation-sheet'!M16</f>
        <v>0</v>
      </c>
      <c r="N30" s="2">
        <f>N8/'Output-Calculation-sheet'!N7*'Output-Calculation-sheet'!N16</f>
        <v>1518.8689295154354</v>
      </c>
      <c r="O30" s="2">
        <f>O8/'Output-Calculation-sheet'!O7*'Output-Calculation-sheet'!O16</f>
        <v>0</v>
      </c>
      <c r="P30" s="2">
        <f>P8/'Output-Calculation-sheet'!P7*'Output-Calculation-sheet'!P16</f>
        <v>1365.1095557789381</v>
      </c>
      <c r="Q30" s="2">
        <f>Q8/'Output-Calculation-sheet'!Q7*'Output-Calculation-sheet'!Q16</f>
        <v>1501.1696705003399</v>
      </c>
      <c r="R30" s="2">
        <f>R8/'Output-Calculation-sheet'!R7*'Output-Calculation-sheet'!R16</f>
        <v>952.49868059251207</v>
      </c>
      <c r="S30" s="2">
        <f>S8/'Output-Calculation-sheet'!S7*'Output-Calculation-sheet'!S16</f>
        <v>957.93436899190056</v>
      </c>
      <c r="T30" s="2">
        <f>T8/'Output-Calculation-sheet'!T7*'Output-Calculation-sheet'!T16</f>
        <v>285.92641246857642</v>
      </c>
      <c r="U30" s="2">
        <f>U8/'Output-Calculation-sheet'!U7*'Output-Calculation-sheet'!U16</f>
        <v>285.4153262567267</v>
      </c>
      <c r="V30" s="2">
        <f>V8/'Output-Calculation-sheet'!V7*'Output-Calculation-sheet'!V16</f>
        <v>222.13332311637134</v>
      </c>
      <c r="W30" s="2">
        <f>W8/'Output-Calculation-sheet'!W7*'Output-Calculation-sheet'!W16</f>
        <v>134.73505877420587</v>
      </c>
      <c r="X30" s="2">
        <f>X8/'Output-Calculation-sheet'!X7*'Output-Calculation-sheet'!X16</f>
        <v>0</v>
      </c>
      <c r="Y30" s="2">
        <f>Y8/'Output-Calculation-sheet'!Y7*'Output-Calculation-sheet'!Y16</f>
        <v>114.03790958097676</v>
      </c>
      <c r="AA30" s="2">
        <f t="shared" si="1"/>
        <v>39.080224640822806</v>
      </c>
    </row>
    <row r="31" spans="1:27" x14ac:dyDescent="0.25">
      <c r="A31" s="2">
        <v>2032</v>
      </c>
      <c r="B31" s="2">
        <f>B9/'Output-Calculation-sheet'!B8*'Output-Calculation-sheet'!B17</f>
        <v>23820.910378757246</v>
      </c>
      <c r="C31" s="2">
        <f>C9/'Output-Calculation-sheet'!C8*'Output-Calculation-sheet'!C17</f>
        <v>0</v>
      </c>
      <c r="D31" s="2">
        <f>D9/'Output-Calculation-sheet'!D8*'Output-Calculation-sheet'!D17</f>
        <v>3995.0794304837932</v>
      </c>
      <c r="E31" s="2">
        <f>E9/'Output-Calculation-sheet'!E8*'Output-Calculation-sheet'!E17</f>
        <v>4695.6700299701397</v>
      </c>
      <c r="F31" s="2">
        <f>F9/'Output-Calculation-sheet'!F8*'Output-Calculation-sheet'!F17</f>
        <v>2168.658731288846</v>
      </c>
      <c r="G31" s="2">
        <f>G9/'Output-Calculation-sheet'!G8*'Output-Calculation-sheet'!G17</f>
        <v>1420.2007359673466</v>
      </c>
      <c r="H31" s="2">
        <f>H9/'Output-Calculation-sheet'!H8*'Output-Calculation-sheet'!H17</f>
        <v>0</v>
      </c>
      <c r="I31" s="2">
        <f>I9/'Output-Calculation-sheet'!I8*'Output-Calculation-sheet'!I17</f>
        <v>1384.4895539035672</v>
      </c>
      <c r="J31" s="2">
        <f>J9/'Output-Calculation-sheet'!J8*'Output-Calculation-sheet'!J17</f>
        <v>1232.4625630093094</v>
      </c>
      <c r="K31" s="2">
        <f>K9/'Output-Calculation-sheet'!K8*'Output-Calculation-sheet'!K17</f>
        <v>1754.6994531081657</v>
      </c>
      <c r="L31" s="2">
        <f>L9/'Output-Calculation-sheet'!L8*'Output-Calculation-sheet'!L17</f>
        <v>1496.4501651365181</v>
      </c>
      <c r="M31" s="2">
        <f>M9/'Output-Calculation-sheet'!M8*'Output-Calculation-sheet'!M17</f>
        <v>0</v>
      </c>
      <c r="N31" s="2">
        <f>N9/'Output-Calculation-sheet'!N8*'Output-Calculation-sheet'!N17</f>
        <v>1626.7943803752692</v>
      </c>
      <c r="O31" s="2">
        <f>O9/'Output-Calculation-sheet'!O8*'Output-Calculation-sheet'!O17</f>
        <v>0</v>
      </c>
      <c r="P31" s="2">
        <f>P9/'Output-Calculation-sheet'!P8*'Output-Calculation-sheet'!P17</f>
        <v>2019.1043225361034</v>
      </c>
      <c r="Q31" s="2">
        <f>Q9/'Output-Calculation-sheet'!Q8*'Output-Calculation-sheet'!Q17</f>
        <v>2152.5507169694793</v>
      </c>
      <c r="R31" s="2">
        <f>R9/'Output-Calculation-sheet'!R8*'Output-Calculation-sheet'!R17</f>
        <v>1408.312440027898</v>
      </c>
      <c r="S31" s="2">
        <f>S9/'Output-Calculation-sheet'!S8*'Output-Calculation-sheet'!S17</f>
        <v>1216.1009664700446</v>
      </c>
      <c r="T31" s="2">
        <f>T9/'Output-Calculation-sheet'!T8*'Output-Calculation-sheet'!T17</f>
        <v>382.15586983512566</v>
      </c>
      <c r="U31" s="2">
        <f>U9/'Output-Calculation-sheet'!U8*'Output-Calculation-sheet'!U17</f>
        <v>439.21892632867451</v>
      </c>
      <c r="V31" s="2">
        <f>V9/'Output-Calculation-sheet'!V8*'Output-Calculation-sheet'!V17</f>
        <v>314.59167646759425</v>
      </c>
      <c r="W31" s="2">
        <f>W9/'Output-Calculation-sheet'!W8*'Output-Calculation-sheet'!W17</f>
        <v>175.1406088527884</v>
      </c>
      <c r="X31" s="2">
        <f>X9/'Output-Calculation-sheet'!X8*'Output-Calculation-sheet'!X17</f>
        <v>0</v>
      </c>
      <c r="Y31" s="2">
        <f>Y9/'Output-Calculation-sheet'!Y8*'Output-Calculation-sheet'!Y17</f>
        <v>169.22377281223285</v>
      </c>
      <c r="AA31" s="2">
        <f t="shared" si="1"/>
        <v>51.871814722300151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1531.8425444227616</v>
      </c>
      <c r="O32" s="2">
        <f>O10/'Output-Calculation-sheet'!O9*'Output-Calculation-sheet'!O18</f>
        <v>0</v>
      </c>
      <c r="P32" s="2">
        <f>P10/'Output-Calculation-sheet'!P9*'Output-Calculation-sheet'!P18</f>
        <v>2465.5645156819714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1770.1922774093439</v>
      </c>
      <c r="S32" s="2">
        <f>S10/'Output-Calculation-sheet'!S9*'Output-Calculation-sheet'!S18</f>
        <v>1158.5858470828412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571.44615279966354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60.383669470683003</v>
      </c>
    </row>
    <row r="33" spans="1:27" x14ac:dyDescent="0.25">
      <c r="A33" s="2">
        <v>2034</v>
      </c>
      <c r="B33" s="2">
        <f>B11/'Output-Calculation-sheet'!B10*'Output-Calculation-sheet'!B19</f>
        <v>21713.592734994418</v>
      </c>
      <c r="C33" s="2">
        <f>C11/'Output-Calculation-sheet'!C10*'Output-Calculation-sheet'!C19</f>
        <v>0</v>
      </c>
      <c r="D33" s="2">
        <f>D11/'Output-Calculation-sheet'!D10*'Output-Calculation-sheet'!D19</f>
        <v>6488.0293382173058</v>
      </c>
      <c r="E33" s="2">
        <f>E11/'Output-Calculation-sheet'!E10*'Output-Calculation-sheet'!E19</f>
        <v>8011.8418312009371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2204.8214422705391</v>
      </c>
      <c r="H33" s="2">
        <f>H11/'Output-Calculation-sheet'!H10*'Output-Calculation-sheet'!H19</f>
        <v>0</v>
      </c>
      <c r="I33" s="2">
        <f>I11/'Output-Calculation-sheet'!I10*'Output-Calculation-sheet'!I19</f>
        <v>2409.1150277268348</v>
      </c>
      <c r="J33" s="2">
        <f>J11/'Output-Calculation-sheet'!J10*'Output-Calculation-sheet'!J19</f>
        <v>2034.5034544445077</v>
      </c>
      <c r="K33" s="2">
        <f>K11/'Output-Calculation-sheet'!K10*'Output-Calculation-sheet'!K19</f>
        <v>2822.7059652292851</v>
      </c>
      <c r="L33" s="2">
        <f>L11/'Output-Calculation-sheet'!L10*'Output-Calculation-sheet'!L19</f>
        <v>2297.9093853883155</v>
      </c>
      <c r="M33" s="2">
        <f>M11/'Output-Calculation-sheet'!M10*'Output-Calculation-sheet'!M19</f>
        <v>0</v>
      </c>
      <c r="N33" s="2">
        <f>N11/'Output-Calculation-sheet'!N10*'Output-Calculation-sheet'!N19</f>
        <v>1297.9883977722479</v>
      </c>
      <c r="O33" s="2">
        <f>O11/'Output-Calculation-sheet'!O10*'Output-Calculation-sheet'!O19</f>
        <v>0</v>
      </c>
      <c r="P33" s="2">
        <f>P11/'Output-Calculation-sheet'!P10*'Output-Calculation-sheet'!P19</f>
        <v>2858.0975431029583</v>
      </c>
      <c r="Q33" s="2">
        <f>Q11/'Output-Calculation-sheet'!Q10*'Output-Calculation-sheet'!Q19</f>
        <v>2328.2313983513613</v>
      </c>
      <c r="R33" s="2">
        <f>R11/'Output-Calculation-sheet'!R10*'Output-Calculation-sheet'!R19</f>
        <v>2039.0314255307062</v>
      </c>
      <c r="S33" s="2">
        <f>S11/'Output-Calculation-sheet'!S10*'Output-Calculation-sheet'!S19</f>
        <v>953.0785352337839</v>
      </c>
      <c r="T33" s="2">
        <f>T11/'Output-Calculation-sheet'!T10*'Output-Calculation-sheet'!T19</f>
        <v>598.34945339047408</v>
      </c>
      <c r="U33" s="2">
        <f>U11/'Output-Calculation-sheet'!U10*'Output-Calculation-sheet'!U19</f>
        <v>641.11860304440279</v>
      </c>
      <c r="V33" s="2">
        <f>V11/'Output-Calculation-sheet'!V10*'Output-Calculation-sheet'!V19</f>
        <v>469.20103709277117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75.582049456548575</v>
      </c>
      <c r="Y33" s="2">
        <f>Y11/'Output-Calculation-sheet'!Y10*'Output-Calculation-sheet'!Y19</f>
        <v>263.32903671465158</v>
      </c>
      <c r="AA33" s="2">
        <f t="shared" si="1"/>
        <v>63.480314061988501</v>
      </c>
    </row>
    <row r="34" spans="1:27" x14ac:dyDescent="0.25">
      <c r="A34" s="2">
        <v>2035</v>
      </c>
      <c r="B34" s="2">
        <f>B12/'Output-Calculation-sheet'!B11*'Output-Calculation-sheet'!B20</f>
        <v>17304.376732844456</v>
      </c>
      <c r="C34" s="2">
        <f>C12/'Output-Calculation-sheet'!C11*'Output-Calculation-sheet'!C20</f>
        <v>0</v>
      </c>
      <c r="D34" s="2">
        <f>D12/'Output-Calculation-sheet'!D11*'Output-Calculation-sheet'!D20</f>
        <v>5569.5295589558727</v>
      </c>
      <c r="E34" s="2">
        <f>E12/'Output-Calculation-sheet'!E11*'Output-Calculation-sheet'!E20</f>
        <v>6188.5269794934184</v>
      </c>
      <c r="F34" s="2">
        <f>F12/'Output-Calculation-sheet'!F11*'Output-Calculation-sheet'!F20</f>
        <v>3461.4863968257273</v>
      </c>
      <c r="G34" s="2">
        <f>G12/'Output-Calculation-sheet'!G11*'Output-Calculation-sheet'!G20</f>
        <v>1868.4677423528562</v>
      </c>
      <c r="H34" s="2">
        <f>H12/'Output-Calculation-sheet'!H11*'Output-Calculation-sheet'!H20</f>
        <v>0</v>
      </c>
      <c r="I34" s="2">
        <f>I12/'Output-Calculation-sheet'!I11*'Output-Calculation-sheet'!I20</f>
        <v>2077.2938139817293</v>
      </c>
      <c r="J34" s="2">
        <f>J12/'Output-Calculation-sheet'!J11*'Output-Calculation-sheet'!J20</f>
        <v>1925.4466918249871</v>
      </c>
      <c r="K34" s="2">
        <f>K12/'Output-Calculation-sheet'!K11*'Output-Calculation-sheet'!K20</f>
        <v>2560.6500803801737</v>
      </c>
      <c r="L34" s="2">
        <f>L12/'Output-Calculation-sheet'!L11*'Output-Calculation-sheet'!L20</f>
        <v>2043.5061162136315</v>
      </c>
      <c r="M34" s="2">
        <f>M12/'Output-Calculation-sheet'!M11*'Output-Calculation-sheet'!M20</f>
        <v>0</v>
      </c>
      <c r="N34" s="2">
        <f>N12/'Output-Calculation-sheet'!N11*'Output-Calculation-sheet'!N20</f>
        <v>1095.8475345307961</v>
      </c>
      <c r="O34" s="2">
        <f>O12/'Output-Calculation-sheet'!O11*'Output-Calculation-sheet'!O20</f>
        <v>0</v>
      </c>
      <c r="P34" s="2">
        <f>P12/'Output-Calculation-sheet'!P11*'Output-Calculation-sheet'!P20</f>
        <v>2334.0678699028399</v>
      </c>
      <c r="Q34" s="2">
        <f>Q12/'Output-Calculation-sheet'!Q11*'Output-Calculation-sheet'!Q20</f>
        <v>1946.5908384504694</v>
      </c>
      <c r="R34" s="2">
        <f>R12/'Output-Calculation-sheet'!R11*'Output-Calculation-sheet'!R20</f>
        <v>1960.8946064513195</v>
      </c>
      <c r="S34" s="2">
        <f>S12/'Output-Calculation-sheet'!S11*'Output-Calculation-sheet'!S20</f>
        <v>749.05534226206134</v>
      </c>
      <c r="T34" s="2">
        <f>T12/'Output-Calculation-sheet'!T11*'Output-Calculation-sheet'!T20</f>
        <v>594.75994865187567</v>
      </c>
      <c r="U34" s="2">
        <f>U12/'Output-Calculation-sheet'!U11*'Output-Calculation-sheet'!U20</f>
        <v>547.44784572536275</v>
      </c>
      <c r="V34" s="2">
        <f>V12/'Output-Calculation-sheet'!V11*'Output-Calculation-sheet'!V20</f>
        <v>539.00228347589632</v>
      </c>
      <c r="W34" s="2">
        <f>W12/'Output-Calculation-sheet'!W11*'Output-Calculation-sheet'!W20</f>
        <v>292.45121297866382</v>
      </c>
      <c r="X34" s="2">
        <f>X12/'Output-Calculation-sheet'!X11*'Output-Calculation-sheet'!X20</f>
        <v>61.744274004418386</v>
      </c>
      <c r="Y34" s="2">
        <f>Y12/'Output-Calculation-sheet'!Y11*'Output-Calculation-sheet'!Y20</f>
        <v>212.25896665686869</v>
      </c>
      <c r="AA34" s="2">
        <f t="shared" si="1"/>
        <v>53.333404835963435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0.9949340003784265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0.19328891028252618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1.1882229106609528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1.0346273143169866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0.20100025334022481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1.2356275676572115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1.0067200095688771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0.19557861479773575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1.2022986243666129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0.91937906199856334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0.28301350850550894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0.17861061835527017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0.16769444284445123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5.3504773606926737E-2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1.6235659718039432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0.78681556560962906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0.1528570972669237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6.5949390338055043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11956.662987003898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6662.7521547247316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4547.6526840305487</v>
      </c>
      <c r="N52" s="2">
        <f>N8/'Output-Calculation-sheet'!N7*'Output-Calculation-sheet'!N43</f>
        <v>145.35326374615391</v>
      </c>
      <c r="O52" s="2">
        <f>O8/'Output-Calculation-sheet'!O7*'Output-Calculation-sheet'!O43</f>
        <v>559.52052976520736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586.09283447743599</v>
      </c>
      <c r="Y52" s="2">
        <f>Y8/'Output-Calculation-sheet'!Y7*'Output-Calculation-sheet'!Y43</f>
        <v>0</v>
      </c>
      <c r="AA52" s="2">
        <f t="shared" si="3"/>
        <v>24.458034453747977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15610.166496712427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12264.678406429102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8381.6271645775923</v>
      </c>
      <c r="N53" s="2">
        <f>N9/'Output-Calculation-sheet'!N8*'Output-Calculation-sheet'!N44</f>
        <v>2985.25582861166</v>
      </c>
      <c r="O53" s="2">
        <f>O9/'Output-Calculation-sheet'!O8*'Output-Calculation-sheet'!O44</f>
        <v>1163.6856772328804</v>
      </c>
      <c r="P53" s="2">
        <f>P9/'Output-Calculation-sheet'!P8*'Output-Calculation-sheet'!P44</f>
        <v>139.63739187815059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920.60759108639593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1048.1287286426027</v>
      </c>
      <c r="Y53" s="2">
        <f>Y9/'Output-Calculation-sheet'!Y8*'Output-Calculation-sheet'!Y44</f>
        <v>0</v>
      </c>
      <c r="AA53" s="2">
        <f t="shared" si="3"/>
        <v>42.513787285170814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21459.031782915536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1904.3180914516374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426.55974065015533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91.5432090804306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28387.844721359146</v>
      </c>
      <c r="D55" s="2">
        <f>D11/'Output-Calculation-sheet'!D10*'Output-Calculation-sheet'!D46</f>
        <v>5643.7525349508596</v>
      </c>
      <c r="E55" s="2">
        <f>E11/'Output-Calculation-sheet'!E10*'Output-Calculation-sheet'!E46</f>
        <v>7040.1830227257124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18470.355291938478</v>
      </c>
      <c r="I55" s="2">
        <f>I11/'Output-Calculation-sheet'!I10*'Output-Calculation-sheet'!I46</f>
        <v>1359.9489713241219</v>
      </c>
      <c r="J55" s="2">
        <f>J11/'Output-Calculation-sheet'!J10*'Output-Calculation-sheet'!J46</f>
        <v>1003.7242616056145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13051.062725289197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2851.5028544437869</v>
      </c>
      <c r="P55" s="2">
        <f>P11/'Output-Calculation-sheet'!P10*'Output-Calculation-sheet'!P46</f>
        <v>3660.4494501128675</v>
      </c>
      <c r="Q55" s="2">
        <f>Q11/'Output-Calculation-sheet'!Q10*'Output-Calculation-sheet'!Q46</f>
        <v>2853.7475361248717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4889.1122388266294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872.97262200775197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1313.6719396271087</v>
      </c>
      <c r="Y55" s="2">
        <f>Y11/'Output-Calculation-sheet'!Y10*'Output-Calculation-sheet'!Y46</f>
        <v>345.41240711552325</v>
      </c>
      <c r="AA55" s="2">
        <f t="shared" si="3"/>
        <v>174.08719384773462</v>
      </c>
    </row>
    <row r="56" spans="1:27" x14ac:dyDescent="0.25">
      <c r="A56" s="2">
        <v>2035</v>
      </c>
      <c r="B56" s="2">
        <f>B12/'Output-Calculation-sheet'!B11*'Output-Calculation-sheet'!B47</f>
        <v>53950.299317506266</v>
      </c>
      <c r="C56" s="2">
        <f>C12/'Output-Calculation-sheet'!C11*'Output-Calculation-sheet'!C47</f>
        <v>40238.024100913484</v>
      </c>
      <c r="D56" s="2">
        <f>D12/'Output-Calculation-sheet'!D11*'Output-Calculation-sheet'!D47</f>
        <v>5502.521080025781</v>
      </c>
      <c r="E56" s="2">
        <f>E12/'Output-Calculation-sheet'!E11*'Output-Calculation-sheet'!E47</f>
        <v>13847.949099868283</v>
      </c>
      <c r="F56" s="2">
        <f>F12/'Output-Calculation-sheet'!F11*'Output-Calculation-sheet'!F47</f>
        <v>763.98336662202314</v>
      </c>
      <c r="G56" s="2">
        <f>G12/'Output-Calculation-sheet'!G11*'Output-Calculation-sheet'!G47</f>
        <v>2039.6682869546637</v>
      </c>
      <c r="H56" s="2">
        <f>H12/'Output-Calculation-sheet'!H11*'Output-Calculation-sheet'!H47</f>
        <v>15955.873521631822</v>
      </c>
      <c r="I56" s="2">
        <f>I12/'Output-Calculation-sheet'!I11*'Output-Calculation-sheet'!I47</f>
        <v>1301.9456979516083</v>
      </c>
      <c r="J56" s="2">
        <f>J12/'Output-Calculation-sheet'!J11*'Output-Calculation-sheet'!J47</f>
        <v>2127.9752743589274</v>
      </c>
      <c r="K56" s="2">
        <f>K12/'Output-Calculation-sheet'!K11*'Output-Calculation-sheet'!K47</f>
        <v>2927.5872778700286</v>
      </c>
      <c r="L56" s="2">
        <f>L12/'Output-Calculation-sheet'!L11*'Output-Calculation-sheet'!L47</f>
        <v>3144.9465705114958</v>
      </c>
      <c r="M56" s="2">
        <f>M12/'Output-Calculation-sheet'!M11*'Output-Calculation-sheet'!M47</f>
        <v>11213.113456599012</v>
      </c>
      <c r="N56" s="2">
        <f>N12/'Output-Calculation-sheet'!N11*'Output-Calculation-sheet'!N47</f>
        <v>8965.9860955225304</v>
      </c>
      <c r="O56" s="2">
        <f>O12/'Output-Calculation-sheet'!O11*'Output-Calculation-sheet'!O47</f>
        <v>4438.2192276624337</v>
      </c>
      <c r="P56" s="2">
        <f>P12/'Output-Calculation-sheet'!P11*'Output-Calculation-sheet'!P47</f>
        <v>3889.2724319062554</v>
      </c>
      <c r="Q56" s="2">
        <f>Q12/'Output-Calculation-sheet'!Q11*'Output-Calculation-sheet'!Q47</f>
        <v>2832.5310015867681</v>
      </c>
      <c r="R56" s="2">
        <f>R12/'Output-Calculation-sheet'!R11*'Output-Calculation-sheet'!R47</f>
        <v>3295.8729728725671</v>
      </c>
      <c r="S56" s="2">
        <f>S12/'Output-Calculation-sheet'!S11*'Output-Calculation-sheet'!S47</f>
        <v>4175.9240241345142</v>
      </c>
      <c r="T56" s="2">
        <f>T12/'Output-Calculation-sheet'!T11*'Output-Calculation-sheet'!T47</f>
        <v>1080.7938804421751</v>
      </c>
      <c r="U56" s="2">
        <f>U12/'Output-Calculation-sheet'!U11*'Output-Calculation-sheet'!U47</f>
        <v>755.13371825882427</v>
      </c>
      <c r="V56" s="2">
        <f>V12/'Output-Calculation-sheet'!V11*'Output-Calculation-sheet'!V47</f>
        <v>743.33180887107312</v>
      </c>
      <c r="W56" s="2">
        <f>W12/'Output-Calculation-sheet'!W11*'Output-Calculation-sheet'!W47</f>
        <v>265.5136466461953</v>
      </c>
      <c r="X56" s="2">
        <f>X12/'Output-Calculation-sheet'!X11*'Output-Calculation-sheet'!X47</f>
        <v>1132.2750577188856</v>
      </c>
      <c r="Y56" s="2">
        <f>Y12/'Output-Calculation-sheet'!Y11*'Output-Calculation-sheet'!Y47</f>
        <v>345.13401458651163</v>
      </c>
      <c r="AA56" s="2">
        <f t="shared" si="3"/>
        <v>184.93387493102216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7.1085423613614083</v>
      </c>
      <c r="C63" s="2">
        <f>C8*'Output-Calculation-sheet'!C52/10^9</f>
        <v>4.4558986287535918</v>
      </c>
      <c r="D63" s="2">
        <f>D8*'Output-Calculation-sheet'!D52/10^9</f>
        <v>2.4376550136204553</v>
      </c>
      <c r="E63" s="2">
        <f>E8*'Output-Calculation-sheet'!E52/10^9</f>
        <v>2.4236951376029068</v>
      </c>
      <c r="F63" s="2">
        <f>F8*'Output-Calculation-sheet'!F52/10^9</f>
        <v>1.0264355076543097</v>
      </c>
      <c r="G63" s="2">
        <f>G8*'Output-Calculation-sheet'!G52/10^9</f>
        <v>0.73795986416647408</v>
      </c>
      <c r="H63" s="2">
        <f>H8*'Output-Calculation-sheet'!H52/10^9</f>
        <v>1.2890633913203768</v>
      </c>
      <c r="I63" s="2">
        <f>I8*'Output-Calculation-sheet'!I52/10^9</f>
        <v>0.68647409390152425</v>
      </c>
      <c r="J63" s="2">
        <f>J8*'Output-Calculation-sheet'!J52/10^9</f>
        <v>0.94463580636367073</v>
      </c>
      <c r="K63" s="2">
        <f>K8*'Output-Calculation-sheet'!K52/10^9</f>
        <v>0.82994442500438814</v>
      </c>
      <c r="L63" s="2">
        <f>L8*'Output-Calculation-sheet'!L52/10^9</f>
        <v>1.1163136110916843</v>
      </c>
      <c r="M63" s="2">
        <f>M8*'Output-Calculation-sheet'!M52/10^9</f>
        <v>1.0463153303080832</v>
      </c>
      <c r="N63" s="2">
        <f>N8*'Output-Calculation-sheet'!N52/10^9</f>
        <v>0.8732315388405858</v>
      </c>
      <c r="O63" s="2">
        <f>O8*'Output-Calculation-sheet'!O52/10^9</f>
        <v>0.91489812820881278</v>
      </c>
      <c r="P63" s="2">
        <f>P8*'Output-Calculation-sheet'!P52/10^9</f>
        <v>0.57347026360286946</v>
      </c>
      <c r="Q63" s="2">
        <f>Q8*'Output-Calculation-sheet'!Q52/10^9</f>
        <v>0.6489967457727096</v>
      </c>
      <c r="R63" s="2">
        <f>R8*'Output-Calculation-sheet'!R52/10^9</f>
        <v>0.58267090370794805</v>
      </c>
      <c r="S63" s="2">
        <f>S8*'Output-Calculation-sheet'!S52/10^9</f>
        <v>0.43178235508117602</v>
      </c>
      <c r="T63" s="2">
        <f>T8*'Output-Calculation-sheet'!T52/10^9</f>
        <v>0.22152405835405733</v>
      </c>
      <c r="U63" s="2">
        <f>U8*'Output-Calculation-sheet'!U52/10^9</f>
        <v>0.15214026016124593</v>
      </c>
      <c r="V63" s="2">
        <f>V8*'Output-Calculation-sheet'!V52/10^9</f>
        <v>0.27001321487956403</v>
      </c>
      <c r="W63" s="2">
        <f>W8*'Output-Calculation-sheet'!W52/10^9</f>
        <v>9.7732322379044639E-2</v>
      </c>
      <c r="X63" s="2">
        <f>X8*'Output-Calculation-sheet'!X52/10^9</f>
        <v>0.11249571979277888</v>
      </c>
      <c r="Y63" s="2">
        <f>Y8*'Output-Calculation-sheet'!Y52/10^9</f>
        <v>6.3767560082756608E-2</v>
      </c>
      <c r="AA63" s="2">
        <f t="shared" si="4"/>
        <v>29.045656242012416</v>
      </c>
    </row>
    <row r="64" spans="1:27" x14ac:dyDescent="0.25">
      <c r="A64" s="2">
        <v>2032</v>
      </c>
      <c r="B64" s="2">
        <f>B9*'Output-Calculation-sheet'!B53/10^9</f>
        <v>7.0535240426685757</v>
      </c>
      <c r="C64" s="2">
        <f>C9*'Output-Calculation-sheet'!C53/10^9</f>
        <v>4.7061955375894344</v>
      </c>
      <c r="D64" s="2">
        <f>D9*'Output-Calculation-sheet'!D53/10^9</f>
        <v>2.0874183152267025</v>
      </c>
      <c r="E64" s="2">
        <f>E9*'Output-Calculation-sheet'!E53/10^9</f>
        <v>2.1376181267551542</v>
      </c>
      <c r="F64" s="2">
        <f>F9*'Output-Calculation-sheet'!F53/10^9</f>
        <v>0.90163467885615944</v>
      </c>
      <c r="G64" s="2">
        <f>G9*'Output-Calculation-sheet'!G53/10^9</f>
        <v>0.64175530068845854</v>
      </c>
      <c r="H64" s="2">
        <f>H9*'Output-Calculation-sheet'!H53/10^9</f>
        <v>1.3186350295630913</v>
      </c>
      <c r="I64" s="2">
        <f>I9*'Output-Calculation-sheet'!I53/10^9</f>
        <v>0.5999364197599476</v>
      </c>
      <c r="J64" s="2">
        <f>J9*'Output-Calculation-sheet'!J53/10^9</f>
        <v>0.79419469734218584</v>
      </c>
      <c r="K64" s="2">
        <f>K9*'Output-Calculation-sheet'!K53/10^9</f>
        <v>0.73690273344175616</v>
      </c>
      <c r="L64" s="2">
        <f>L9*'Output-Calculation-sheet'!L53/10^9</f>
        <v>0.94801926228409006</v>
      </c>
      <c r="M64" s="2">
        <f>M9*'Output-Calculation-sheet'!M53/10^9</f>
        <v>1.0334807621492101</v>
      </c>
      <c r="N64" s="2">
        <f>N9*'Output-Calculation-sheet'!N53/10^9</f>
        <v>0.87001826675380378</v>
      </c>
      <c r="O64" s="2">
        <f>O9*'Output-Calculation-sheet'!O53/10^9</f>
        <v>0.95791752044013045</v>
      </c>
      <c r="P64" s="2">
        <f>P9*'Output-Calculation-sheet'!P53/10^9</f>
        <v>0.56182881160169817</v>
      </c>
      <c r="Q64" s="2">
        <f>Q9*'Output-Calculation-sheet'!Q53/10^9</f>
        <v>0.6209151208181376</v>
      </c>
      <c r="R64" s="2">
        <f>R9*'Output-Calculation-sheet'!R53/10^9</f>
        <v>0.53227016343548128</v>
      </c>
      <c r="S64" s="2">
        <f>S9*'Output-Calculation-sheet'!S53/10^9</f>
        <v>0.43977411376303349</v>
      </c>
      <c r="T64" s="2">
        <f>T9*'Output-Calculation-sheet'!T53/10^9</f>
        <v>0.19133726949479773</v>
      </c>
      <c r="U64" s="2">
        <f>U9*'Output-Calculation-sheet'!U53/10^9</f>
        <v>0.14401550430245982</v>
      </c>
      <c r="V64" s="2">
        <f>V9*'Output-Calculation-sheet'!V53/10^9</f>
        <v>0.22710447914759518</v>
      </c>
      <c r="W64" s="2">
        <f>W9*'Output-Calculation-sheet'!W53/10^9</f>
        <v>8.4387931061650809E-2</v>
      </c>
      <c r="X64" s="2">
        <f>X9*'Output-Calculation-sheet'!X53/10^9</f>
        <v>0.11454556825385918</v>
      </c>
      <c r="Y64" s="2">
        <f>Y9*'Output-Calculation-sheet'!Y53/10^9</f>
        <v>5.9124928733053451E-2</v>
      </c>
      <c r="AA64" s="2">
        <f t="shared" si="4"/>
        <v>27.762554584130466</v>
      </c>
    </row>
    <row r="65" spans="1:27" x14ac:dyDescent="0.25">
      <c r="A65" s="2">
        <v>2033</v>
      </c>
      <c r="B65" s="2">
        <f>B10*'Output-Calculation-sheet'!B54/10^9</f>
        <v>6.8274410602401607</v>
      </c>
      <c r="C65" s="2">
        <f>C10*'Output-Calculation-sheet'!C54/10^9</f>
        <v>4.6159537601157039</v>
      </c>
      <c r="D65" s="2">
        <f>D10*'Output-Calculation-sheet'!D54/10^9</f>
        <v>1.6129812256308307</v>
      </c>
      <c r="E65" s="2">
        <f>E10*'Output-Calculation-sheet'!E54/10^9</f>
        <v>1.8161984147926578</v>
      </c>
      <c r="F65" s="2">
        <f>F10*'Output-Calculation-sheet'!F54/10^9</f>
        <v>0.73734547577083165</v>
      </c>
      <c r="G65" s="2">
        <f>G10*'Output-Calculation-sheet'!G54/10^9</f>
        <v>0.50625436548732783</v>
      </c>
      <c r="H65" s="2">
        <f>H10*'Output-Calculation-sheet'!H54/10^9</f>
        <v>1.2511141562336052</v>
      </c>
      <c r="I65" s="2">
        <f>I10*'Output-Calculation-sheet'!I54/10^9</f>
        <v>0.49295349211801159</v>
      </c>
      <c r="J65" s="2">
        <f>J10*'Output-Calculation-sheet'!J54/10^9</f>
        <v>0.5891893702262232</v>
      </c>
      <c r="K65" s="2">
        <f>K10*'Output-Calculation-sheet'!K54/10^9</f>
        <v>0.62858701069076584</v>
      </c>
      <c r="L65" s="2">
        <f>L10*'Output-Calculation-sheet'!L54/10^9</f>
        <v>0.74249345924846066</v>
      </c>
      <c r="M65" s="2">
        <f>M10*'Output-Calculation-sheet'!M54/10^9</f>
        <v>0.94464653640839158</v>
      </c>
      <c r="N65" s="2">
        <f>N10*'Output-Calculation-sheet'!N54/10^9</f>
        <v>0.81576710334527314</v>
      </c>
      <c r="O65" s="2">
        <f>O10*'Output-Calculation-sheet'!O54/10^9</f>
        <v>0.93369995890249802</v>
      </c>
      <c r="P65" s="2">
        <f>P10*'Output-Calculation-sheet'!P54/10^9</f>
        <v>0.53185592886512856</v>
      </c>
      <c r="Q65" s="2">
        <f>Q10*'Output-Calculation-sheet'!Q54/10^9</f>
        <v>0.58036938870394661</v>
      </c>
      <c r="R65" s="2">
        <f>R10*'Output-Calculation-sheet'!R54/10^9</f>
        <v>0.46824153073717056</v>
      </c>
      <c r="S65" s="2">
        <f>S10*'Output-Calculation-sheet'!S54/10^9</f>
        <v>0.42532225383127242</v>
      </c>
      <c r="T65" s="2">
        <f>T10*'Output-Calculation-sheet'!T54/10^9</f>
        <v>0.15655378623053284</v>
      </c>
      <c r="U65" s="2">
        <f>U10*'Output-Calculation-sheet'!U54/10^9</f>
        <v>0.13518253357379442</v>
      </c>
      <c r="V65" s="2">
        <f>V10*'Output-Calculation-sheet'!V54/10^9</f>
        <v>0.17325039552350796</v>
      </c>
      <c r="W65" s="2">
        <f>W10*'Output-Calculation-sheet'!W54/10^9</f>
        <v>6.5962941814616746E-2</v>
      </c>
      <c r="X65" s="2">
        <f>X10*'Output-Calculation-sheet'!X54/10^9</f>
        <v>0.10864799328695439</v>
      </c>
      <c r="Y65" s="2">
        <f>Y10*'Output-Calculation-sheet'!Y54/10^9</f>
        <v>5.4291036787175569E-2</v>
      </c>
      <c r="AA65" s="2">
        <f t="shared" si="4"/>
        <v>25.21430317856484</v>
      </c>
    </row>
    <row r="66" spans="1:27" x14ac:dyDescent="0.25">
      <c r="A66" s="2">
        <v>2034</v>
      </c>
      <c r="B66" s="2">
        <f>B11*'Output-Calculation-sheet'!B55/10^9</f>
        <v>6.396002363878238</v>
      </c>
      <c r="C66" s="2">
        <f>C11*'Output-Calculation-sheet'!C55/10^9</f>
        <v>4.2188645369983302</v>
      </c>
      <c r="D66" s="2">
        <f>D11*'Output-Calculation-sheet'!D55/10^9</f>
        <v>1.3378476667119832</v>
      </c>
      <c r="E66" s="2">
        <f>E11*'Output-Calculation-sheet'!E55/10^9</f>
        <v>1.6200446736460299</v>
      </c>
      <c r="F66" s="2">
        <f>F11*'Output-Calculation-sheet'!F55/10^9</f>
        <v>0.62260374372295646</v>
      </c>
      <c r="G66" s="2">
        <f>G11*'Output-Calculation-sheet'!G55/10^9</f>
        <v>0.44502559262854741</v>
      </c>
      <c r="H66" s="2">
        <f>H11*'Output-Calculation-sheet'!H55/10^9</f>
        <v>1.1377334005117035</v>
      </c>
      <c r="I66" s="2">
        <f>I11*'Output-Calculation-sheet'!I55/10^9</f>
        <v>0.43518486887541952</v>
      </c>
      <c r="J66" s="2">
        <f>J11*'Output-Calculation-sheet'!J55/10^9</f>
        <v>0.44752031462490932</v>
      </c>
      <c r="K66" s="2">
        <f>K11*'Output-Calculation-sheet'!K55/10^9</f>
        <v>0.53525928620998109</v>
      </c>
      <c r="L66" s="2">
        <f>L11*'Output-Calculation-sheet'!L55/10^9</f>
        <v>0.56684363121092463</v>
      </c>
      <c r="M66" s="2">
        <f>M11*'Output-Calculation-sheet'!M55/10^9</f>
        <v>0.82426246107489287</v>
      </c>
      <c r="N66" s="2">
        <f>N11*'Output-Calculation-sheet'!N55/10^9</f>
        <v>0.72018558309910707</v>
      </c>
      <c r="O66" s="2">
        <f>O11*'Output-Calculation-sheet'!O55/10^9</f>
        <v>0.84990939281493905</v>
      </c>
      <c r="P66" s="2">
        <f>P11*'Output-Calculation-sheet'!P55/10^9</f>
        <v>0.49506071223559012</v>
      </c>
      <c r="Q66" s="2">
        <f>Q11*'Output-Calculation-sheet'!Q55/10^9</f>
        <v>0.53918842634985242</v>
      </c>
      <c r="R66" s="2">
        <f>R11*'Output-Calculation-sheet'!R55/10^9</f>
        <v>0.40095884069701976</v>
      </c>
      <c r="S66" s="2">
        <f>S11*'Output-Calculation-sheet'!S55/10^9</f>
        <v>0.39453376819433583</v>
      </c>
      <c r="T66" s="2">
        <f>T11*'Output-Calculation-sheet'!T55/10^9</f>
        <v>0.12568309605201439</v>
      </c>
      <c r="U66" s="2">
        <f>U11*'Output-Calculation-sheet'!U55/10^9</f>
        <v>0.12780313327076714</v>
      </c>
      <c r="V66" s="2">
        <f>V11*'Output-Calculation-sheet'!V55/10^9</f>
        <v>0.11923244977996454</v>
      </c>
      <c r="W66" s="2">
        <f>W11*'Output-Calculation-sheet'!W55/10^9</f>
        <v>5.3985769176056353E-2</v>
      </c>
      <c r="X66" s="2">
        <f>X11*'Output-Calculation-sheet'!X55/10^9</f>
        <v>0.10153760201466475</v>
      </c>
      <c r="Y66" s="2">
        <f>Y11*'Output-Calculation-sheet'!Y55/10^9</f>
        <v>5.2976259330689772E-2</v>
      </c>
      <c r="AA66" s="2">
        <f t="shared" si="4"/>
        <v>22.56824757310892</v>
      </c>
    </row>
    <row r="67" spans="1:27" x14ac:dyDescent="0.25">
      <c r="A67" s="2">
        <v>2035</v>
      </c>
      <c r="B67" s="2">
        <f>B12*'Output-Calculation-sheet'!B56/10^9</f>
        <v>5.687026747792097</v>
      </c>
      <c r="C67" s="2">
        <f>C12*'Output-Calculation-sheet'!C56/10^9</f>
        <v>3.586666748751377</v>
      </c>
      <c r="D67" s="2">
        <f>D12*'Output-Calculation-sheet'!D56/10^9</f>
        <v>1.1844032872172932</v>
      </c>
      <c r="E67" s="2">
        <f>E12*'Output-Calculation-sheet'!E56/10^9</f>
        <v>1.6070790325745501</v>
      </c>
      <c r="F67" s="2">
        <f>F12*'Output-Calculation-sheet'!F56/10^9</f>
        <v>0.58693771790389959</v>
      </c>
      <c r="G67" s="2">
        <f>G12*'Output-Calculation-sheet'!G56/10^9</f>
        <v>0.4111669171103724</v>
      </c>
      <c r="H67" s="2">
        <f>H12*'Output-Calculation-sheet'!H56/10^9</f>
        <v>0.99234452471769075</v>
      </c>
      <c r="I67" s="2">
        <f>I12*'Output-Calculation-sheet'!I56/10^9</f>
        <v>0.39938546887769122</v>
      </c>
      <c r="J67" s="2">
        <f>J12*'Output-Calculation-sheet'!J56/10^9</f>
        <v>0.3956504543810283</v>
      </c>
      <c r="K67" s="2">
        <f>K12*'Output-Calculation-sheet'!K56/10^9</f>
        <v>0.47650793811749148</v>
      </c>
      <c r="L67" s="2">
        <f>L12*'Output-Calculation-sheet'!L56/10^9</f>
        <v>0.47868642940593797</v>
      </c>
      <c r="M67" s="2">
        <f>M12*'Output-Calculation-sheet'!M56/10^9</f>
        <v>0.7260771720847975</v>
      </c>
      <c r="N67" s="2">
        <f>N12*'Output-Calculation-sheet'!N56/10^9</f>
        <v>0.62347613359016474</v>
      </c>
      <c r="O67" s="2">
        <f>O12*'Output-Calculation-sheet'!O56/10^9</f>
        <v>0.72121778337283682</v>
      </c>
      <c r="P67" s="2">
        <f>P12*'Output-Calculation-sheet'!P56/10^9</f>
        <v>0.46150584690684227</v>
      </c>
      <c r="Q67" s="2">
        <f>Q12*'Output-Calculation-sheet'!Q56/10^9</f>
        <v>0.47459770315283017</v>
      </c>
      <c r="R67" s="2">
        <f>R12*'Output-Calculation-sheet'!R56/10^9</f>
        <v>0.36132581360154814</v>
      </c>
      <c r="S67" s="2">
        <f>S12*'Output-Calculation-sheet'!S56/10^9</f>
        <v>0.34432240502514916</v>
      </c>
      <c r="T67" s="2">
        <f>T12*'Output-Calculation-sheet'!T56/10^9</f>
        <v>0.10957381430294595</v>
      </c>
      <c r="U67" s="2">
        <f>U12*'Output-Calculation-sheet'!U56/10^9</f>
        <v>0.11442383421733086</v>
      </c>
      <c r="V67" s="2">
        <f>V12*'Output-Calculation-sheet'!V56/10^9</f>
        <v>8.7897374811630874E-2</v>
      </c>
      <c r="W67" s="2">
        <f>W12*'Output-Calculation-sheet'!W56/10^9</f>
        <v>5.3031923871513252E-2</v>
      </c>
      <c r="X67" s="2">
        <f>X12*'Output-Calculation-sheet'!X56/10^9</f>
        <v>9.0169904343277832E-2</v>
      </c>
      <c r="Y67" s="2">
        <f>Y12*'Output-Calculation-sheet'!Y56/10^9</f>
        <v>5.1232042810987942E-2</v>
      </c>
      <c r="AA67" s="2">
        <f t="shared" si="4"/>
        <v>20.024707018941282</v>
      </c>
    </row>
    <row r="68" spans="1:27" x14ac:dyDescent="0.25">
      <c r="B68" s="2">
        <f>SUM(B60:B67)</f>
        <v>50.706593775170212</v>
      </c>
      <c r="C68" s="2">
        <f t="shared" ref="C68:Y68" si="5">SUM(C60:C67)</f>
        <v>30.896964640961826</v>
      </c>
      <c r="D68" s="2">
        <f t="shared" si="5"/>
        <v>15.587366888926967</v>
      </c>
      <c r="E68" s="2">
        <f t="shared" si="5"/>
        <v>16.433486352453091</v>
      </c>
      <c r="F68" s="2">
        <f t="shared" si="5"/>
        <v>6.7044983255827963</v>
      </c>
      <c r="G68" s="2">
        <f t="shared" si="5"/>
        <v>4.8014060233721532</v>
      </c>
      <c r="H68" s="2">
        <f t="shared" si="5"/>
        <v>8.8935395387724334</v>
      </c>
      <c r="I68" s="2">
        <f t="shared" si="5"/>
        <v>4.518137288960963</v>
      </c>
      <c r="J68" s="2">
        <f t="shared" si="5"/>
        <v>5.912198924182956</v>
      </c>
      <c r="K68" s="2">
        <f t="shared" si="5"/>
        <v>5.5144498786416971</v>
      </c>
      <c r="L68" s="2">
        <f t="shared" si="5"/>
        <v>7.1034417753105208</v>
      </c>
      <c r="M68" s="2">
        <f t="shared" si="5"/>
        <v>7.0664876325242814</v>
      </c>
      <c r="N68" s="2">
        <f t="shared" si="5"/>
        <v>6.0656455491926167</v>
      </c>
      <c r="O68" s="2">
        <f t="shared" si="5"/>
        <v>6.3202423894357729</v>
      </c>
      <c r="P68" s="2">
        <f t="shared" si="5"/>
        <v>4.0879335537549633</v>
      </c>
      <c r="Q68" s="2">
        <f t="shared" si="5"/>
        <v>4.5355389441850757</v>
      </c>
      <c r="R68" s="2">
        <f t="shared" si="5"/>
        <v>3.9491410409295469</v>
      </c>
      <c r="S68" s="2">
        <f t="shared" si="5"/>
        <v>3.0835118085856039</v>
      </c>
      <c r="T68" s="2">
        <f t="shared" si="5"/>
        <v>1.432630441336088</v>
      </c>
      <c r="U68" s="2">
        <f t="shared" si="5"/>
        <v>1.0840734223136772</v>
      </c>
      <c r="V68" s="2">
        <f t="shared" si="5"/>
        <v>1.6723829685851368</v>
      </c>
      <c r="W68" s="2">
        <f t="shared" si="5"/>
        <v>0.63014109611879854</v>
      </c>
      <c r="X68" s="2">
        <f t="shared" si="5"/>
        <v>0.78097200056238436</v>
      </c>
      <c r="Y68" s="2">
        <f t="shared" si="5"/>
        <v>0.45473768140862314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2740.9558961302509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1434.2379991128219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962.12432496085341</v>
      </c>
      <c r="N74" s="2">
        <f>N8/'Output-Calculation-sheet'!N7*'Output-Calculation-sheet'!N61</f>
        <v>39.953978372224057</v>
      </c>
      <c r="O74" s="2">
        <f>O8/'Output-Calculation-sheet'!O7*'Output-Calculation-sheet'!O61</f>
        <v>155.46193143688444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120.19770313717353</v>
      </c>
      <c r="Y74" s="2">
        <f>Y8/'Output-Calculation-sheet'!Y7*'Output-Calculation-sheet'!Y61</f>
        <v>0</v>
      </c>
      <c r="AA74" s="2">
        <f t="shared" si="6"/>
        <v>5.4529318331502079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3445.0366863296927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2335.0941926336154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1584.1467580206802</v>
      </c>
      <c r="N75" s="2">
        <f>N9/'Output-Calculation-sheet'!N8*'Output-Calculation-sheet'!N62</f>
        <v>612.16638510770747</v>
      </c>
      <c r="O75" s="2">
        <f>O9/'Output-Calculation-sheet'!O8*'Output-Calculation-sheet'!O62</f>
        <v>299.22590345938204</v>
      </c>
      <c r="P75" s="2">
        <f>P9/'Output-Calculation-sheet'!P8*'Output-Calculation-sheet'!P62</f>
        <v>40.983574516237198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202.49034732883834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191.32672565119285</v>
      </c>
      <c r="Y75" s="2">
        <f>Y9/'Output-Calculation-sheet'!Y8*'Output-Calculation-sheet'!Y62</f>
        <v>0</v>
      </c>
      <c r="AA75" s="2">
        <f t="shared" si="6"/>
        <v>8.7104705730473455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4516.6404920534897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3120.2013918505731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2124.8754184241093</v>
      </c>
      <c r="N76" s="2">
        <f>N10/'Output-Calculation-sheet'!N9*'Output-Calculation-sheet'!N63</f>
        <v>1215.8516457088604</v>
      </c>
      <c r="O76" s="2">
        <f>O10/'Output-Calculation-sheet'!O9*'Output-Calculation-sheet'!O63</f>
        <v>449.07594920574826</v>
      </c>
      <c r="P76" s="2">
        <f>P10/'Output-Calculation-sheet'!P9*'Output-Calculation-sheet'!P63</f>
        <v>416.8010055682696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320.95716865174109</v>
      </c>
      <c r="S76" s="2">
        <f>S10/'Output-Calculation-sheet'!S9*'Output-Calculation-sheet'!S63</f>
        <v>539.14109180548189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114.06104679505478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250.21592190165148</v>
      </c>
      <c r="Y76" s="2">
        <f>Y10/'Output-Calculation-sheet'!Y9*'Output-Calculation-sheet'!Y63</f>
        <v>4.7466443409389356</v>
      </c>
      <c r="AA76" s="2">
        <f t="shared" si="6"/>
        <v>18.150059275968282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5537.5652555323995</v>
      </c>
      <c r="D77" s="2">
        <f>D11/'Output-Calculation-sheet'!D10*'Output-Calculation-sheet'!D64</f>
        <v>1295.9198858735267</v>
      </c>
      <c r="E77" s="2">
        <f>E11/'Output-Calculation-sheet'!E10*'Output-Calculation-sheet'!E64</f>
        <v>1615.8355550546273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686.83000493162922</v>
      </c>
      <c r="H77" s="2">
        <f>H11/'Output-Calculation-sheet'!H10*'Output-Calculation-sheet'!H64</f>
        <v>3436.6032428867629</v>
      </c>
      <c r="I77" s="2">
        <f>I11/'Output-Calculation-sheet'!I10*'Output-Calculation-sheet'!I64</f>
        <v>403.62824469248642</v>
      </c>
      <c r="J77" s="2">
        <f>J11/'Output-Calculation-sheet'!J10*'Output-Calculation-sheet'!J64</f>
        <v>282.68525113219943</v>
      </c>
      <c r="K77" s="2">
        <f>K11/'Output-Calculation-sheet'!K10*'Output-Calculation-sheet'!K64</f>
        <v>614.7073280512642</v>
      </c>
      <c r="L77" s="2">
        <f>L11/'Output-Calculation-sheet'!L10*'Output-Calculation-sheet'!L64</f>
        <v>253.02150471264841</v>
      </c>
      <c r="M77" s="2">
        <f>M11/'Output-Calculation-sheet'!M10*'Output-Calculation-sheet'!M64</f>
        <v>2454.6589100100859</v>
      </c>
      <c r="N77" s="2">
        <f>N11/'Output-Calculation-sheet'!N10*'Output-Calculation-sheet'!N64</f>
        <v>1728.2335236461533</v>
      </c>
      <c r="O77" s="2">
        <f>O11/'Output-Calculation-sheet'!O10*'Output-Calculation-sheet'!O64</f>
        <v>629.38308332890858</v>
      </c>
      <c r="P77" s="2">
        <f>P11/'Output-Calculation-sheet'!P10*'Output-Calculation-sheet'!P64</f>
        <v>766.27476539566157</v>
      </c>
      <c r="Q77" s="2">
        <f>Q11/'Output-Calculation-sheet'!Q10*'Output-Calculation-sheet'!Q64</f>
        <v>539.5495148325989</v>
      </c>
      <c r="R77" s="2">
        <f>R11/'Output-Calculation-sheet'!R10*'Output-Calculation-sheet'!R64</f>
        <v>652.7724749397114</v>
      </c>
      <c r="S77" s="2">
        <f>S11/'Output-Calculation-sheet'!S10*'Output-Calculation-sheet'!S64</f>
        <v>869.06857316150513</v>
      </c>
      <c r="T77" s="2">
        <f>T11/'Output-Calculation-sheet'!T10*'Output-Calculation-sheet'!T64</f>
        <v>179.91824266405308</v>
      </c>
      <c r="U77" s="2">
        <f>U11/'Output-Calculation-sheet'!U10*'Output-Calculation-sheet'!U64</f>
        <v>190.95572096240537</v>
      </c>
      <c r="V77" s="2">
        <f>V11/'Output-Calculation-sheet'!V10*'Output-Calculation-sheet'!V64</f>
        <v>95.162603899438622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245.71662061621524</v>
      </c>
      <c r="Y77" s="2">
        <f>Y11/'Output-Calculation-sheet'!Y10*'Output-Calculation-sheet'!Y64</f>
        <v>59.756346430985523</v>
      </c>
      <c r="AA77" s="2">
        <f t="shared" si="6"/>
        <v>33.251199289891879</v>
      </c>
    </row>
    <row r="78" spans="1:27" x14ac:dyDescent="0.25">
      <c r="A78" s="2">
        <v>2035</v>
      </c>
      <c r="B78" s="2">
        <f>B12/'Output-Calculation-sheet'!B11*'Output-Calculation-sheet'!B65</f>
        <v>9344.5990138624056</v>
      </c>
      <c r="C78" s="2">
        <f>C12/'Output-Calculation-sheet'!C11*'Output-Calculation-sheet'!C65</f>
        <v>7241.8090545254672</v>
      </c>
      <c r="D78" s="2">
        <f>D12/'Output-Calculation-sheet'!D11*'Output-Calculation-sheet'!D65</f>
        <v>1248.2774765654042</v>
      </c>
      <c r="E78" s="2">
        <f>E12/'Output-Calculation-sheet'!E11*'Output-Calculation-sheet'!E65</f>
        <v>2163.049649399426</v>
      </c>
      <c r="F78" s="2">
        <f>F12/'Output-Calculation-sheet'!F11*'Output-Calculation-sheet'!F65</f>
        <v>276.80645339449143</v>
      </c>
      <c r="G78" s="2">
        <f>G12/'Output-Calculation-sheet'!G11*'Output-Calculation-sheet'!G65</f>
        <v>548.16633509833184</v>
      </c>
      <c r="H78" s="2">
        <f>H12/'Output-Calculation-sheet'!H11*'Output-Calculation-sheet'!H65</f>
        <v>2972.4666323800557</v>
      </c>
      <c r="I78" s="2">
        <f>I12/'Output-Calculation-sheet'!I11*'Output-Calculation-sheet'!I65</f>
        <v>363.0455852288091</v>
      </c>
      <c r="J78" s="2">
        <f>J12/'Output-Calculation-sheet'!J11*'Output-Calculation-sheet'!J65</f>
        <v>525.47323380408159</v>
      </c>
      <c r="K78" s="2">
        <f>K12/'Output-Calculation-sheet'!K11*'Output-Calculation-sheet'!K65</f>
        <v>658.55203355901494</v>
      </c>
      <c r="L78" s="2">
        <f>L12/'Output-Calculation-sheet'!L11*'Output-Calculation-sheet'!L65</f>
        <v>558.64425919424059</v>
      </c>
      <c r="M78" s="2">
        <f>M12/'Output-Calculation-sheet'!M11*'Output-Calculation-sheet'!M65</f>
        <v>2165.914469277071</v>
      </c>
      <c r="N78" s="2">
        <f>N12/'Output-Calculation-sheet'!N11*'Output-Calculation-sheet'!N65</f>
        <v>1536.2872329058798</v>
      </c>
      <c r="O78" s="2">
        <f>O12/'Output-Calculation-sheet'!O11*'Output-Calculation-sheet'!O65</f>
        <v>862.46265003535666</v>
      </c>
      <c r="P78" s="2">
        <f>P12/'Output-Calculation-sheet'!P11*'Output-Calculation-sheet'!P65</f>
        <v>754.33301624699209</v>
      </c>
      <c r="Q78" s="2">
        <f>Q12/'Output-Calculation-sheet'!Q11*'Output-Calculation-sheet'!Q65</f>
        <v>519.28476126423379</v>
      </c>
      <c r="R78" s="2">
        <f>R12/'Output-Calculation-sheet'!R11*'Output-Calculation-sheet'!R65</f>
        <v>702.94478640364673</v>
      </c>
      <c r="S78" s="2">
        <f>S12/'Output-Calculation-sheet'!S11*'Output-Calculation-sheet'!S65</f>
        <v>732.49990382318492</v>
      </c>
      <c r="T78" s="2">
        <f>T12/'Output-Calculation-sheet'!T11*'Output-Calculation-sheet'!T65</f>
        <v>242.48118773219554</v>
      </c>
      <c r="U78" s="2">
        <f>U12/'Output-Calculation-sheet'!U11*'Output-Calculation-sheet'!U65</f>
        <v>165.89243456280693</v>
      </c>
      <c r="V78" s="2">
        <f>V12/'Output-Calculation-sheet'!V11*'Output-Calculation-sheet'!V65</f>
        <v>136.15360965821824</v>
      </c>
      <c r="W78" s="2">
        <f>W12/'Output-Calculation-sheet'!W11*'Output-Calculation-sheet'!W65</f>
        <v>65.568460941476602</v>
      </c>
      <c r="X78" s="2">
        <f>X12/'Output-Calculation-sheet'!X11*'Output-Calculation-sheet'!X65</f>
        <v>212.0353443427141</v>
      </c>
      <c r="Y78" s="2">
        <f>Y12/'Output-Calculation-sheet'!Y11*'Output-Calculation-sheet'!Y65</f>
        <v>58.013468173815255</v>
      </c>
      <c r="AA78" s="2">
        <f t="shared" si="6"/>
        <v>34.05476105237932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261.82473694169119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67.820670274570588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0.32964540721626179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453.78390978815196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88.158005850975783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0.54194191563912775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529.85263661519843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102.93611305143986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0.63278874966663834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483.8837168413491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24.825746360132364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94.005588608036931</v>
      </c>
      <c r="P88" s="2">
        <f>P11/'Output-Calculation-sheet'!P10*'Output-Calculation-sheet'!P73</f>
        <v>0</v>
      </c>
      <c r="Q88" s="2">
        <f>Q11/'Output-Calculation-sheet'!Q10*'Output-Calculation-sheet'!Q73</f>
        <v>14.710038846004494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4.6934011935900646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1.8739970608089997</v>
      </c>
      <c r="Y88" s="2">
        <f>Y11/'Output-Calculation-sheet'!Y10*'Output-Calculation-sheet'!Y73</f>
        <v>0</v>
      </c>
      <c r="AA88" s="2">
        <f t="shared" si="7"/>
        <v>0.62399248890992187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345.09454632001274</v>
      </c>
      <c r="D89" s="2">
        <f>D12/'Output-Calculation-sheet'!D11*'Output-Calculation-sheet'!D74</f>
        <v>61.139123111397566</v>
      </c>
      <c r="E89" s="2">
        <f>E12/'Output-Calculation-sheet'!E11*'Output-Calculation-sheet'!E74</f>
        <v>97.17859017451427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21.931917064028642</v>
      </c>
      <c r="H89" s="2">
        <f>H12/'Output-Calculation-sheet'!H11*'Output-Calculation-sheet'!H74</f>
        <v>42.492339604878353</v>
      </c>
      <c r="I89" s="2">
        <f>I12/'Output-Calculation-sheet'!I11*'Output-Calculation-sheet'!I74</f>
        <v>19.726449968963763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19.38799521768231</v>
      </c>
      <c r="L89" s="2">
        <f>L12/'Output-Calculation-sheet'!L11*'Output-Calculation-sheet'!L74</f>
        <v>15.416404757409293</v>
      </c>
      <c r="M89" s="2">
        <f>M12/'Output-Calculation-sheet'!M11*'Output-Calculation-sheet'!M74</f>
        <v>29.238887761666266</v>
      </c>
      <c r="N89" s="2">
        <f>N12/'Output-Calculation-sheet'!N11*'Output-Calculation-sheet'!N74</f>
        <v>14.368567460773287</v>
      </c>
      <c r="O89" s="2">
        <f>O12/'Output-Calculation-sheet'!O11*'Output-Calculation-sheet'!O74</f>
        <v>67.042586520580571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12.589026673718969</v>
      </c>
      <c r="R89" s="2">
        <f>R12/'Output-Calculation-sheet'!R11*'Output-Calculation-sheet'!R74</f>
        <v>12.484367321486996</v>
      </c>
      <c r="S89" s="2">
        <f>S12/'Output-Calculation-sheet'!S11*'Output-Calculation-sheet'!S74</f>
        <v>16.473073073508932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4.016668714142682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6.4151561343846213</v>
      </c>
      <c r="Y89" s="2">
        <f>Y12/'Output-Calculation-sheet'!Y11*'Output-Calculation-sheet'!Y74</f>
        <v>3.0953723281301491</v>
      </c>
      <c r="AA89" s="2">
        <f t="shared" si="7"/>
        <v>1.1659561927501723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8114593004.865386</v>
      </c>
      <c r="C96" s="2">
        <f>C8/'Output-Calculation-sheet'!C7*'Output-Calculation-sheet'!C79</f>
        <v>1959538223.2295275</v>
      </c>
      <c r="D96" s="2">
        <f>D8/'Output-Calculation-sheet'!D7*'Output-Calculation-sheet'!D79</f>
        <v>1590853510.5387909</v>
      </c>
      <c r="E96" s="2">
        <f>E8/'Output-Calculation-sheet'!E7*'Output-Calculation-sheet'!E79</f>
        <v>5960349375.5670938</v>
      </c>
      <c r="F96" s="2">
        <f>F8/'Output-Calculation-sheet'!F7*'Output-Calculation-sheet'!F79</f>
        <v>1738725117.7844205</v>
      </c>
      <c r="G96" s="2">
        <f>G8/'Output-Calculation-sheet'!G7*'Output-Calculation-sheet'!G79</f>
        <v>1116011124.2612696</v>
      </c>
      <c r="H96" s="2">
        <f>H8/'Output-Calculation-sheet'!H7*'Output-Calculation-sheet'!H79</f>
        <v>1374886847.7010005</v>
      </c>
      <c r="I96" s="2">
        <f>I8/'Output-Calculation-sheet'!I7*'Output-Calculation-sheet'!I79</f>
        <v>802520535.53691173</v>
      </c>
      <c r="J96" s="2">
        <f>J8/'Output-Calculation-sheet'!J7*'Output-Calculation-sheet'!J79</f>
        <v>608153337.04500818</v>
      </c>
      <c r="K96" s="2">
        <f>K8/'Output-Calculation-sheet'!K7*'Output-Calculation-sheet'!K79</f>
        <v>762703081.26659811</v>
      </c>
      <c r="L96" s="2">
        <f>L8/'Output-Calculation-sheet'!L7*'Output-Calculation-sheet'!L79</f>
        <v>692402784.47387493</v>
      </c>
      <c r="M96" s="2">
        <f>M8/'Output-Calculation-sheet'!M7*'Output-Calculation-sheet'!M79</f>
        <v>1060856822.5540406</v>
      </c>
      <c r="N96" s="2">
        <f>N8/'Output-Calculation-sheet'!N7*'Output-Calculation-sheet'!N79</f>
        <v>689628559.84362721</v>
      </c>
      <c r="O96" s="2">
        <f>O8/'Output-Calculation-sheet'!O7*'Output-Calculation-sheet'!O79</f>
        <v>258763494.02062368</v>
      </c>
      <c r="P96" s="2">
        <f>P8/'Output-Calculation-sheet'!P7*'Output-Calculation-sheet'!P79</f>
        <v>1313403947.9121897</v>
      </c>
      <c r="Q96" s="2">
        <f>Q8/'Output-Calculation-sheet'!Q7*'Output-Calculation-sheet'!Q79</f>
        <v>557629588.45329833</v>
      </c>
      <c r="R96" s="2">
        <f>R8/'Output-Calculation-sheet'!R7*'Output-Calculation-sheet'!R79</f>
        <v>740130593.94877148</v>
      </c>
      <c r="S96" s="2">
        <f>S8/'Output-Calculation-sheet'!S7*'Output-Calculation-sheet'!S79</f>
        <v>417404630.05942446</v>
      </c>
      <c r="T96" s="2">
        <f>T8/'Output-Calculation-sheet'!T7*'Output-Calculation-sheet'!T79</f>
        <v>251812592.70429659</v>
      </c>
      <c r="U96" s="2">
        <f>U8/'Output-Calculation-sheet'!U7*'Output-Calculation-sheet'!U79</f>
        <v>198207723.17035475</v>
      </c>
      <c r="V96" s="2">
        <f>V8/'Output-Calculation-sheet'!V7*'Output-Calculation-sheet'!V79</f>
        <v>90970837.335855782</v>
      </c>
      <c r="W96" s="2">
        <f>W8/'Output-Calculation-sheet'!W7*'Output-Calculation-sheet'!W79</f>
        <v>280088748.65358245</v>
      </c>
      <c r="X96" s="2">
        <f>X8/'Output-Calculation-sheet'!X7*'Output-Calculation-sheet'!X79</f>
        <v>126326226.46294892</v>
      </c>
      <c r="Y96" s="2">
        <f>Y8/'Output-Calculation-sheet'!Y7*'Output-Calculation-sheet'!Y79</f>
        <v>173848023.91573128</v>
      </c>
      <c r="AA96" s="2">
        <f t="shared" si="8"/>
        <v>30.879808731304617</v>
      </c>
    </row>
    <row r="97" spans="1:27" x14ac:dyDescent="0.25">
      <c r="A97" s="2">
        <v>2032</v>
      </c>
      <c r="B97" s="2">
        <f>B9/'Output-Calculation-sheet'!B8*'Output-Calculation-sheet'!B80</f>
        <v>9672334816.5956955</v>
      </c>
      <c r="C97" s="2">
        <f>C9/'Output-Calculation-sheet'!C8*'Output-Calculation-sheet'!C80</f>
        <v>2284429882.9773188</v>
      </c>
      <c r="D97" s="2">
        <f>D9/'Output-Calculation-sheet'!D8*'Output-Calculation-sheet'!D80</f>
        <v>1745056933.9040229</v>
      </c>
      <c r="E97" s="2">
        <f>E9/'Output-Calculation-sheet'!E8*'Output-Calculation-sheet'!E80</f>
        <v>7346433361.2042999</v>
      </c>
      <c r="F97" s="2">
        <f>F9/'Output-Calculation-sheet'!F8*'Output-Calculation-sheet'!F80</f>
        <v>2014645706.0472927</v>
      </c>
      <c r="G97" s="2">
        <f>G9/'Output-Calculation-sheet'!G8*'Output-Calculation-sheet'!G80</f>
        <v>1234464319.8867843</v>
      </c>
      <c r="H97" s="2">
        <f>H9/'Output-Calculation-sheet'!H8*'Output-Calculation-sheet'!H80</f>
        <v>1616354703.3646452</v>
      </c>
      <c r="I97" s="2">
        <f>I9/'Output-Calculation-sheet'!I8*'Output-Calculation-sheet'!I80</f>
        <v>931020069.83649898</v>
      </c>
      <c r="J97" s="2">
        <f>J9/'Output-Calculation-sheet'!J8*'Output-Calculation-sheet'!J80</f>
        <v>695730751.71080828</v>
      </c>
      <c r="K97" s="2">
        <f>K9/'Output-Calculation-sheet'!K8*'Output-Calculation-sheet'!K80</f>
        <v>858071410.88652027</v>
      </c>
      <c r="L97" s="2">
        <f>L9/'Output-Calculation-sheet'!L8*'Output-Calculation-sheet'!L80</f>
        <v>827667350.34679282</v>
      </c>
      <c r="M97" s="2">
        <f>M9/'Output-Calculation-sheet'!M8*'Output-Calculation-sheet'!M80</f>
        <v>1275195366.9946265</v>
      </c>
      <c r="N97" s="2">
        <f>N9/'Output-Calculation-sheet'!N8*'Output-Calculation-sheet'!N80</f>
        <v>801213000.7813257</v>
      </c>
      <c r="O97" s="2">
        <f>O9/'Output-Calculation-sheet'!O8*'Output-Calculation-sheet'!O80</f>
        <v>297825425.37843341</v>
      </c>
      <c r="P97" s="2">
        <f>P9/'Output-Calculation-sheet'!P8*'Output-Calculation-sheet'!P80</f>
        <v>1502072966.2038915</v>
      </c>
      <c r="Q97" s="2">
        <f>Q9/'Output-Calculation-sheet'!Q8*'Output-Calculation-sheet'!Q80</f>
        <v>649699937.15861523</v>
      </c>
      <c r="R97" s="2">
        <f>R9/'Output-Calculation-sheet'!R8*'Output-Calculation-sheet'!R80</f>
        <v>870600800.74963212</v>
      </c>
      <c r="S97" s="2">
        <f>S9/'Output-Calculation-sheet'!S8*'Output-Calculation-sheet'!S80</f>
        <v>484544151.56393069</v>
      </c>
      <c r="T97" s="2">
        <f>T9/'Output-Calculation-sheet'!T8*'Output-Calculation-sheet'!T80</f>
        <v>282535641.42768073</v>
      </c>
      <c r="U97" s="2">
        <f>U9/'Output-Calculation-sheet'!U8*'Output-Calculation-sheet'!U80</f>
        <v>224819741.12022182</v>
      </c>
      <c r="V97" s="2">
        <f>V9/'Output-Calculation-sheet'!V8*'Output-Calculation-sheet'!V80</f>
        <v>103700362.35354966</v>
      </c>
      <c r="W97" s="2">
        <f>W9/'Output-Calculation-sheet'!W8*'Output-Calculation-sheet'!W80</f>
        <v>320897115.08450794</v>
      </c>
      <c r="X97" s="2">
        <f>X9/'Output-Calculation-sheet'!X8*'Output-Calculation-sheet'!X80</f>
        <v>155421062.0416092</v>
      </c>
      <c r="Y97" s="2">
        <f>Y9/'Output-Calculation-sheet'!Y8*'Output-Calculation-sheet'!Y80</f>
        <v>204021989.60078052</v>
      </c>
      <c r="AA97" s="2">
        <f t="shared" si="8"/>
        <v>36.398756867219497</v>
      </c>
    </row>
    <row r="98" spans="1:27" x14ac:dyDescent="0.25">
      <c r="A98" s="2">
        <v>2033</v>
      </c>
      <c r="B98" s="2">
        <f>B10/'Output-Calculation-sheet'!B9*'Output-Calculation-sheet'!B81</f>
        <v>10302239502.197721</v>
      </c>
      <c r="C98" s="2">
        <f>C10/'Output-Calculation-sheet'!C9*'Output-Calculation-sheet'!C81</f>
        <v>2385594381.692626</v>
      </c>
      <c r="D98" s="2">
        <f>D10/'Output-Calculation-sheet'!D9*'Output-Calculation-sheet'!D81</f>
        <v>1716189572.3914025</v>
      </c>
      <c r="E98" s="2">
        <f>E10/'Output-Calculation-sheet'!E9*'Output-Calculation-sheet'!E81</f>
        <v>8101070957.4891443</v>
      </c>
      <c r="F98" s="2">
        <f>F10/'Output-Calculation-sheet'!F9*'Output-Calculation-sheet'!F81</f>
        <v>2087245421.1344602</v>
      </c>
      <c r="G98" s="2">
        <f>G10/'Output-Calculation-sheet'!G9*'Output-Calculation-sheet'!G81</f>
        <v>1219411560.451386</v>
      </c>
      <c r="H98" s="2">
        <f>H10/'Output-Calculation-sheet'!H9*'Output-Calculation-sheet'!H81</f>
        <v>1697608118.0587704</v>
      </c>
      <c r="I98" s="2">
        <f>I10/'Output-Calculation-sheet'!I9*'Output-Calculation-sheet'!I81</f>
        <v>967454725.9023608</v>
      </c>
      <c r="J98" s="2">
        <f>J10/'Output-Calculation-sheet'!J9*'Output-Calculation-sheet'!J81</f>
        <v>713685298.40413964</v>
      </c>
      <c r="K98" s="2">
        <f>K10/'Output-Calculation-sheet'!K9*'Output-Calculation-sheet'!K81</f>
        <v>864236982.07703006</v>
      </c>
      <c r="L98" s="2">
        <f>L10/'Output-Calculation-sheet'!L9*'Output-Calculation-sheet'!L81</f>
        <v>885756278.95951295</v>
      </c>
      <c r="M98" s="2">
        <f>M10/'Output-Calculation-sheet'!M9*'Output-Calculation-sheet'!M81</f>
        <v>1372606071.6420689</v>
      </c>
      <c r="N98" s="2">
        <f>N10/'Output-Calculation-sheet'!N9*'Output-Calculation-sheet'!N81</f>
        <v>834153649.52193105</v>
      </c>
      <c r="O98" s="2">
        <f>O10/'Output-Calculation-sheet'!O9*'Output-Calculation-sheet'!O81</f>
        <v>307660944.61417288</v>
      </c>
      <c r="P98" s="2">
        <f>P10/'Output-Calculation-sheet'!P9*'Output-Calculation-sheet'!P81</f>
        <v>1526308943.9138689</v>
      </c>
      <c r="Q98" s="2">
        <f>Q10/'Output-Calculation-sheet'!Q9*'Output-Calculation-sheet'!Q81</f>
        <v>678189984.17041969</v>
      </c>
      <c r="R98" s="2">
        <f>R10/'Output-Calculation-sheet'!R9*'Output-Calculation-sheet'!R81</f>
        <v>915403453.40977788</v>
      </c>
      <c r="S98" s="2">
        <f>S10/'Output-Calculation-sheet'!S9*'Output-Calculation-sheet'!S81</f>
        <v>502739715.15568125</v>
      </c>
      <c r="T98" s="2">
        <f>T10/'Output-Calculation-sheet'!T9*'Output-Calculation-sheet'!T81</f>
        <v>283251428.72491878</v>
      </c>
      <c r="U98" s="2">
        <f>U10/'Output-Calculation-sheet'!U9*'Output-Calculation-sheet'!U81</f>
        <v>227600817.02993914</v>
      </c>
      <c r="V98" s="2">
        <f>V10/'Output-Calculation-sheet'!V9*'Output-Calculation-sheet'!V81</f>
        <v>105708767.81415507</v>
      </c>
      <c r="W98" s="2">
        <f>W10/'Output-Calculation-sheet'!W9*'Output-Calculation-sheet'!W81</f>
        <v>326902113.20469999</v>
      </c>
      <c r="X98" s="2">
        <f>X10/'Output-Calculation-sheet'!X9*'Output-Calculation-sheet'!X81</f>
        <v>171374226.11506119</v>
      </c>
      <c r="Y98" s="2">
        <f>Y10/'Output-Calculation-sheet'!Y9*'Output-Calculation-sheet'!Y81</f>
        <v>213357009.55232191</v>
      </c>
      <c r="AA98" s="2">
        <f t="shared" si="8"/>
        <v>38.405749923627553</v>
      </c>
    </row>
    <row r="99" spans="1:27" x14ac:dyDescent="0.25">
      <c r="A99" s="2">
        <v>2034</v>
      </c>
      <c r="B99" s="2">
        <f>B11/'Output-Calculation-sheet'!B10*'Output-Calculation-sheet'!B82</f>
        <v>9960142979.2062206</v>
      </c>
      <c r="C99" s="2">
        <f>C11/'Output-Calculation-sheet'!C10*'Output-Calculation-sheet'!C82</f>
        <v>2267255704.1359534</v>
      </c>
      <c r="D99" s="2">
        <f>D11/'Output-Calculation-sheet'!D10*'Output-Calculation-sheet'!D82</f>
        <v>1537945426.5438712</v>
      </c>
      <c r="E99" s="2">
        <f>E11/'Output-Calculation-sheet'!E10*'Output-Calculation-sheet'!E82</f>
        <v>8117013081.4533329</v>
      </c>
      <c r="F99" s="2">
        <f>F11/'Output-Calculation-sheet'!F10*'Output-Calculation-sheet'!F82</f>
        <v>1964773223.0778162</v>
      </c>
      <c r="G99" s="2">
        <f>G11/'Output-Calculation-sheet'!G10*'Output-Calculation-sheet'!G82</f>
        <v>1093514810.5493991</v>
      </c>
      <c r="H99" s="2">
        <f>H11/'Output-Calculation-sheet'!H10*'Output-Calculation-sheet'!H82</f>
        <v>1618116825.4921401</v>
      </c>
      <c r="I99" s="2">
        <f>I11/'Output-Calculation-sheet'!I10*'Output-Calculation-sheet'!I82</f>
        <v>914975511.90547442</v>
      </c>
      <c r="J99" s="2">
        <f>J11/'Output-Calculation-sheet'!J10*'Output-Calculation-sheet'!J82</f>
        <v>667012639.61589146</v>
      </c>
      <c r="K99" s="2">
        <f>K11/'Output-Calculation-sheet'!K10*'Output-Calculation-sheet'!K82</f>
        <v>791980865.51941001</v>
      </c>
      <c r="L99" s="2">
        <f>L11/'Output-Calculation-sheet'!L10*'Output-Calculation-sheet'!L82</f>
        <v>862139883.68165278</v>
      </c>
      <c r="M99" s="2">
        <f>M11/'Output-Calculation-sheet'!M10*'Output-Calculation-sheet'!M82</f>
        <v>1343946337.6946373</v>
      </c>
      <c r="N99" s="2">
        <f>N11/'Output-Calculation-sheet'!N10*'Output-Calculation-sheet'!N82</f>
        <v>790739199.3756355</v>
      </c>
      <c r="O99" s="2">
        <f>O11/'Output-Calculation-sheet'!O10*'Output-Calculation-sheet'!O82</f>
        <v>289804658.8123436</v>
      </c>
      <c r="P99" s="2">
        <f>P11/'Output-Calculation-sheet'!P10*'Output-Calculation-sheet'!P82</f>
        <v>1400805922.3832142</v>
      </c>
      <c r="Q99" s="2">
        <f>Q11/'Output-Calculation-sheet'!Q10*'Output-Calculation-sheet'!Q82</f>
        <v>644355452.50222313</v>
      </c>
      <c r="R99" s="2">
        <f>R11/'Output-Calculation-sheet'!R10*'Output-Calculation-sheet'!R82</f>
        <v>874051373.95899713</v>
      </c>
      <c r="S99" s="2">
        <f>S11/'Output-Calculation-sheet'!S10*'Output-Calculation-sheet'!S82</f>
        <v>473662294.54296988</v>
      </c>
      <c r="T99" s="2">
        <f>T11/'Output-Calculation-sheet'!T10*'Output-Calculation-sheet'!T82</f>
        <v>257929048.3877781</v>
      </c>
      <c r="U99" s="2">
        <f>U11/'Output-Calculation-sheet'!U10*'Output-Calculation-sheet'!U82</f>
        <v>209034514.62406656</v>
      </c>
      <c r="V99" s="2">
        <f>V11/'Output-Calculation-sheet'!V10*'Output-Calculation-sheet'!V82</f>
        <v>97916510.85655129</v>
      </c>
      <c r="W99" s="2">
        <f>W11/'Output-Calculation-sheet'!W10*'Output-Calculation-sheet'!W82</f>
        <v>300992814.77230132</v>
      </c>
      <c r="X99" s="2">
        <f>X11/'Output-Calculation-sheet'!X10*'Output-Calculation-sheet'!X82</f>
        <v>172030025.48682192</v>
      </c>
      <c r="Y99" s="2">
        <f>Y11/'Output-Calculation-sheet'!Y10*'Output-Calculation-sheet'!Y82</f>
        <v>202028100.03802541</v>
      </c>
      <c r="AA99" s="2">
        <f t="shared" si="8"/>
        <v>36.852167204616734</v>
      </c>
    </row>
    <row r="100" spans="1:27" x14ac:dyDescent="0.25">
      <c r="A100" s="2">
        <v>2035</v>
      </c>
      <c r="B100" s="2">
        <f>B12/'Output-Calculation-sheet'!B11*'Output-Calculation-sheet'!B83</f>
        <v>8793037910.6619854</v>
      </c>
      <c r="C100" s="2">
        <f>C12/'Output-Calculation-sheet'!C11*'Output-Calculation-sheet'!C83</f>
        <v>1973184357.7049394</v>
      </c>
      <c r="D100" s="2">
        <f>D12/'Output-Calculation-sheet'!D11*'Output-Calculation-sheet'!D83</f>
        <v>1263989008.4225709</v>
      </c>
      <c r="E100" s="2">
        <f>E12/'Output-Calculation-sheet'!E11*'Output-Calculation-sheet'!E83</f>
        <v>7432971710.6207037</v>
      </c>
      <c r="F100" s="2">
        <f>F12/'Output-Calculation-sheet'!F11*'Output-Calculation-sheet'!F83</f>
        <v>1691090322.531754</v>
      </c>
      <c r="G100" s="2">
        <f>G12/'Output-Calculation-sheet'!G11*'Output-Calculation-sheet'!G83</f>
        <v>896222569.11690688</v>
      </c>
      <c r="H100" s="2">
        <f>H12/'Output-Calculation-sheet'!H11*'Output-Calculation-sheet'!H83</f>
        <v>1408327860.7584438</v>
      </c>
      <c r="I100" s="2">
        <f>I12/'Output-Calculation-sheet'!I11*'Output-Calculation-sheet'!I83</f>
        <v>792536955.47507703</v>
      </c>
      <c r="J100" s="2">
        <f>J12/'Output-Calculation-sheet'!J11*'Output-Calculation-sheet'!J83</f>
        <v>571514419.20345438</v>
      </c>
      <c r="K100" s="2">
        <f>K12/'Output-Calculation-sheet'!K11*'Output-Calculation-sheet'!K83</f>
        <v>664617180.10296261</v>
      </c>
      <c r="L100" s="2">
        <f>L12/'Output-Calculation-sheet'!L11*'Output-Calculation-sheet'!L83</f>
        <v>767863063.10989833</v>
      </c>
      <c r="M100" s="2">
        <f>M12/'Output-Calculation-sheet'!M11*'Output-Calculation-sheet'!M83</f>
        <v>1204184879.5760577</v>
      </c>
      <c r="N100" s="2">
        <f>N12/'Output-Calculation-sheet'!N11*'Output-Calculation-sheet'!N83</f>
        <v>686775424.72230303</v>
      </c>
      <c r="O100" s="2">
        <f>O12/'Output-Calculation-sheet'!O11*'Output-Calculation-sheet'!O83</f>
        <v>250445761.14318421</v>
      </c>
      <c r="P100" s="2">
        <f>P12/'Output-Calculation-sheet'!P11*'Output-Calculation-sheet'!P83</f>
        <v>1169211529.2942672</v>
      </c>
      <c r="Q100" s="2">
        <f>Q12/'Output-Calculation-sheet'!Q11*'Output-Calculation-sheet'!Q83</f>
        <v>560637825.53339946</v>
      </c>
      <c r="R100" s="2">
        <f>R12/'Output-Calculation-sheet'!R11*'Output-Calculation-sheet'!R83</f>
        <v>762507827.7381345</v>
      </c>
      <c r="S100" s="2">
        <f>S12/'Output-Calculation-sheet'!S11*'Output-Calculation-sheet'!S83</f>
        <v>407750729.63641423</v>
      </c>
      <c r="T100" s="2">
        <f>T12/'Output-Calculation-sheet'!T11*'Output-Calculation-sheet'!T83</f>
        <v>214763674.41498393</v>
      </c>
      <c r="U100" s="2">
        <f>U12/'Output-Calculation-sheet'!U11*'Output-Calculation-sheet'!U83</f>
        <v>175323853.87042391</v>
      </c>
      <c r="V100" s="2">
        <f>V12/'Output-Calculation-sheet'!V11*'Output-Calculation-sheet'!V83</f>
        <v>82940436.707136393</v>
      </c>
      <c r="W100" s="2">
        <f>W12/'Output-Calculation-sheet'!W11*'Output-Calculation-sheet'!W83</f>
        <v>252194650.72405386</v>
      </c>
      <c r="X100" s="2">
        <f>X12/'Output-Calculation-sheet'!X11*'Output-Calculation-sheet'!X83</f>
        <v>158154624.38681135</v>
      </c>
      <c r="Y100" s="2">
        <f>Y12/'Output-Calculation-sheet'!Y11*'Output-Calculation-sheet'!Y83</f>
        <v>174334464.89261812</v>
      </c>
      <c r="AA100" s="2">
        <f t="shared" si="8"/>
        <v>32.354581040348471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1347272169.4006712</v>
      </c>
      <c r="C107" s="2">
        <f>C8/'Output-Calculation-sheet'!C7*'Output-Calculation-sheet'!C88</f>
        <v>17373485149.660694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6922798296.6861935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4776151896.3707571</v>
      </c>
      <c r="N107" s="2">
        <f>N8/'Output-Calculation-sheet'!N7*'Output-Calculation-sheet'!N88</f>
        <v>1594430096.9075546</v>
      </c>
      <c r="O107" s="2">
        <f>O8/'Output-Calculation-sheet'!O7*'Output-Calculation-sheet'!O88</f>
        <v>2737243947.7984257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479025821.84846377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517258360.47109294</v>
      </c>
      <c r="Y107" s="2">
        <f>Y8/'Output-Calculation-sheet'!Y7*'Output-Calculation-sheet'!Y88</f>
        <v>0</v>
      </c>
      <c r="AA107" s="2">
        <f t="shared" si="9"/>
        <v>35747.665739143849</v>
      </c>
    </row>
    <row r="108" spans="1:27" x14ac:dyDescent="0.25">
      <c r="A108" s="2">
        <v>2032</v>
      </c>
      <c r="B108" s="2">
        <f>B9/'Output-Calculation-sheet'!B8*'Output-Calculation-sheet'!B89</f>
        <v>5753724881.9328232</v>
      </c>
      <c r="C108" s="2">
        <f>C9/'Output-Calculation-sheet'!C8*'Output-Calculation-sheet'!C89</f>
        <v>19545126443.4058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8998809667.5800152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6208396196.2534714</v>
      </c>
      <c r="N108" s="2">
        <f>N9/'Output-Calculation-sheet'!N8*'Output-Calculation-sheet'!N89</f>
        <v>2921541400.097456</v>
      </c>
      <c r="O108" s="2">
        <f>O9/'Output-Calculation-sheet'!O8*'Output-Calculation-sheet'!O89</f>
        <v>3127858389.7134399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869409353.74281871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672387865.56304336</v>
      </c>
      <c r="Y108" s="2">
        <f>Y9/'Output-Calculation-sheet'!Y8*'Output-Calculation-sheet'!Y89</f>
        <v>0</v>
      </c>
      <c r="AA108" s="2">
        <f t="shared" si="9"/>
        <v>48097.254198288872</v>
      </c>
    </row>
    <row r="109" spans="1:27" x14ac:dyDescent="0.25">
      <c r="A109" s="2">
        <v>2033</v>
      </c>
      <c r="B109" s="2">
        <f>B10/'Output-Calculation-sheet'!B9*'Output-Calculation-sheet'!B90</f>
        <v>14358688929.580187</v>
      </c>
      <c r="C109" s="2">
        <f>C10/'Output-Calculation-sheet'!C9*'Output-Calculation-sheet'!C90</f>
        <v>21179613994.99651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10507613911.810154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7249340479.4960403</v>
      </c>
      <c r="N109" s="2">
        <f>N10/'Output-Calculation-sheet'!N9*'Output-Calculation-sheet'!N90</f>
        <v>4270456684.2358594</v>
      </c>
      <c r="O109" s="2">
        <f>O10/'Output-Calculation-sheet'!O9*'Output-Calculation-sheet'!O90</f>
        <v>3308675481.8124313</v>
      </c>
      <c r="P109" s="2">
        <f>P10/'Output-Calculation-sheet'!P9*'Output-Calculation-sheet'!P90</f>
        <v>0</v>
      </c>
      <c r="Q109" s="2">
        <f>Q10/'Output-Calculation-sheet'!Q9*'Output-Calculation-sheet'!Q90</f>
        <v>138989110.38341534</v>
      </c>
      <c r="R109" s="2">
        <f>R10/'Output-Calculation-sheet'!R9*'Output-Calculation-sheet'!R90</f>
        <v>-2.8637436518132751E-7</v>
      </c>
      <c r="S109" s="2">
        <f>S10/'Output-Calculation-sheet'!S9*'Output-Calculation-sheet'!S90</f>
        <v>1716569845.7502282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785125507.1152612</v>
      </c>
      <c r="Y109" s="2">
        <f>Y10/'Output-Calculation-sheet'!Y9*'Output-Calculation-sheet'!Y90</f>
        <v>0</v>
      </c>
      <c r="AA109" s="2">
        <f t="shared" si="9"/>
        <v>63515.073945180098</v>
      </c>
    </row>
    <row r="110" spans="1:27" x14ac:dyDescent="0.25">
      <c r="A110" s="2">
        <v>2034</v>
      </c>
      <c r="B110" s="2">
        <f>B11/'Output-Calculation-sheet'!B10*'Output-Calculation-sheet'!B91</f>
        <v>29938532695.684612</v>
      </c>
      <c r="C110" s="2">
        <f>C11/'Output-Calculation-sheet'!C10*'Output-Calculation-sheet'!C91</f>
        <v>22069073399.172234</v>
      </c>
      <c r="D110" s="2">
        <f>D11/'Output-Calculation-sheet'!D10*'Output-Calculation-sheet'!D91</f>
        <v>0</v>
      </c>
      <c r="E110" s="2">
        <f>E11/'Output-Calculation-sheet'!E10*'Output-Calculation-sheet'!E91</f>
        <v>633655079.50059998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10913502368.048899</v>
      </c>
      <c r="I110" s="2">
        <f>I11/'Output-Calculation-sheet'!I10*'Output-Calculation-sheet'!I91</f>
        <v>-1.050708100236299E-6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509303322.83395004</v>
      </c>
      <c r="M110" s="2">
        <f>M11/'Output-Calculation-sheet'!M10*'Output-Calculation-sheet'!M91</f>
        <v>7723967404.6999636</v>
      </c>
      <c r="N110" s="2">
        <f>N11/'Output-Calculation-sheet'!N10*'Output-Calculation-sheet'!N91</f>
        <v>5345511108.6787567</v>
      </c>
      <c r="O110" s="2">
        <f>O11/'Output-Calculation-sheet'!O10*'Output-Calculation-sheet'!O91</f>
        <v>3389384031.3412523</v>
      </c>
      <c r="P110" s="2">
        <f>P11/'Output-Calculation-sheet'!P10*'Output-Calculation-sheet'!P91</f>
        <v>0</v>
      </c>
      <c r="Q110" s="2">
        <f>Q11/'Output-Calculation-sheet'!Q10*'Output-Calculation-sheet'!Q91</f>
        <v>855727678.19017327</v>
      </c>
      <c r="R110" s="2">
        <f>R11/'Output-Calculation-sheet'!R10*'Output-Calculation-sheet'!R91</f>
        <v>0</v>
      </c>
      <c r="S110" s="2">
        <f>S11/'Output-Calculation-sheet'!S10*'Output-Calculation-sheet'!S91</f>
        <v>2616855941.6141839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754028578.57594025</v>
      </c>
      <c r="Y110" s="2">
        <f>Y11/'Output-Calculation-sheet'!Y10*'Output-Calculation-sheet'!Y91</f>
        <v>33530394.01479163</v>
      </c>
      <c r="AA110" s="2">
        <f t="shared" si="9"/>
        <v>84783.072002355344</v>
      </c>
    </row>
    <row r="111" spans="1:27" x14ac:dyDescent="0.25">
      <c r="A111" s="2">
        <v>2035</v>
      </c>
      <c r="B111" s="2">
        <f>B12/'Output-Calculation-sheet'!B11*'Output-Calculation-sheet'!B92</f>
        <v>26411405385.534328</v>
      </c>
      <c r="C111" s="2">
        <f>C12/'Output-Calculation-sheet'!C11*'Output-Calculation-sheet'!C92</f>
        <v>23156202956.401028</v>
      </c>
      <c r="D111" s="2">
        <f>D12/'Output-Calculation-sheet'!D11*'Output-Calculation-sheet'!D92</f>
        <v>-6.9128783719595004E-7</v>
      </c>
      <c r="E111" s="2">
        <f>E12/'Output-Calculation-sheet'!E11*'Output-Calculation-sheet'!E92</f>
        <v>2142182490.7312524</v>
      </c>
      <c r="F111" s="2">
        <f>F12/'Output-Calculation-sheet'!F11*'Output-Calculation-sheet'!F92</f>
        <v>-1.5186400243043244E-7</v>
      </c>
      <c r="G111" s="2">
        <f>G12/'Output-Calculation-sheet'!G11*'Output-Calculation-sheet'!G92</f>
        <v>0</v>
      </c>
      <c r="H111" s="2">
        <f>H12/'Output-Calculation-sheet'!H11*'Output-Calculation-sheet'!H92</f>
        <v>9625330773.4253597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1042334112.6220046</v>
      </c>
      <c r="M111" s="2">
        <f>M12/'Output-Calculation-sheet'!M11*'Output-Calculation-sheet'!M92</f>
        <v>6859029338.6250782</v>
      </c>
      <c r="N111" s="2">
        <f>N12/'Output-Calculation-sheet'!N11*'Output-Calculation-sheet'!N92</f>
        <v>4829137585.3182783</v>
      </c>
      <c r="O111" s="2">
        <f>O12/'Output-Calculation-sheet'!O11*'Output-Calculation-sheet'!O92</f>
        <v>3499059858.6475329</v>
      </c>
      <c r="P111" s="2">
        <f>P12/'Output-Calculation-sheet'!P11*'Output-Calculation-sheet'!P92</f>
        <v>207508082.04431823</v>
      </c>
      <c r="Q111" s="2">
        <f>Q12/'Output-Calculation-sheet'!Q11*'Output-Calculation-sheet'!Q92</f>
        <v>917748227.38145077</v>
      </c>
      <c r="R111" s="2">
        <f>R12/'Output-Calculation-sheet'!R11*'Output-Calculation-sheet'!R92</f>
        <v>0</v>
      </c>
      <c r="S111" s="2">
        <f>S12/'Output-Calculation-sheet'!S11*'Output-Calculation-sheet'!S92</f>
        <v>2306997875.4964762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670464326.25267947</v>
      </c>
      <c r="Y111" s="2">
        <f>Y12/'Output-Calculation-sheet'!Y11*'Output-Calculation-sheet'!Y92</f>
        <v>45401977.220452949</v>
      </c>
      <c r="AA111" s="2">
        <f t="shared" si="9"/>
        <v>81712.802989700256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45746987725.283722</v>
      </c>
      <c r="C118" s="2">
        <f>C8/'Output-Calculation-sheet'!C7*'Output-Calculation-sheet'!C97</f>
        <v>0</v>
      </c>
      <c r="D118" s="2">
        <f>D8/'Output-Calculation-sheet'!D7*'Output-Calculation-sheet'!D97</f>
        <v>19780131819.291672</v>
      </c>
      <c r="E118" s="2">
        <f>E8/'Output-Calculation-sheet'!E7*'Output-Calculation-sheet'!E97</f>
        <v>15693527374.15766</v>
      </c>
      <c r="F118" s="2">
        <f>F8/'Output-Calculation-sheet'!F7*'Output-Calculation-sheet'!F97</f>
        <v>10102486727.523363</v>
      </c>
      <c r="G118" s="2">
        <f>G8/'Output-Calculation-sheet'!G7*'Output-Calculation-sheet'!G97</f>
        <v>7098284430.0227051</v>
      </c>
      <c r="H118" s="2">
        <f>H8/'Output-Calculation-sheet'!H7*'Output-Calculation-sheet'!H97</f>
        <v>0</v>
      </c>
      <c r="I118" s="2">
        <f>I8/'Output-Calculation-sheet'!I7*'Output-Calculation-sheet'!I97</f>
        <v>6467095872.8340826</v>
      </c>
      <c r="J118" s="2">
        <f>J8/'Output-Calculation-sheet'!J7*'Output-Calculation-sheet'!J97</f>
        <v>6294625696.1921186</v>
      </c>
      <c r="K118" s="2">
        <f>K8/'Output-Calculation-sheet'!K7*'Output-Calculation-sheet'!K97</f>
        <v>6234279195.5990248</v>
      </c>
      <c r="L118" s="2">
        <f>L8/'Output-Calculation-sheet'!L7*'Output-Calculation-sheet'!L97</f>
        <v>5001219833.61724</v>
      </c>
      <c r="M118" s="2">
        <f>M8/'Output-Calculation-sheet'!M7*'Output-Calculation-sheet'!M97</f>
        <v>0</v>
      </c>
      <c r="N118" s="2">
        <f>N8/'Output-Calculation-sheet'!N7*'Output-Calculation-sheet'!N97</f>
        <v>3094173080.5961118</v>
      </c>
      <c r="O118" s="2">
        <f>O8/'Output-Calculation-sheet'!O7*'Output-Calculation-sheet'!O97</f>
        <v>0</v>
      </c>
      <c r="P118" s="2">
        <f>P8/'Output-Calculation-sheet'!P7*'Output-Calculation-sheet'!P97</f>
        <v>4268283276.070498</v>
      </c>
      <c r="Q118" s="2">
        <f>Q8/'Output-Calculation-sheet'!Q7*'Output-Calculation-sheet'!Q97</f>
        <v>4199300124.1478157</v>
      </c>
      <c r="R118" s="2">
        <f>R8/'Output-Calculation-sheet'!R7*'Output-Calculation-sheet'!R97</f>
        <v>4039919846.3981199</v>
      </c>
      <c r="S118" s="2">
        <f>S8/'Output-Calculation-sheet'!S7*'Output-Calculation-sheet'!S97</f>
        <v>2206112176.2490354</v>
      </c>
      <c r="T118" s="2">
        <f>T8/'Output-Calculation-sheet'!T7*'Output-Calculation-sheet'!T97</f>
        <v>1485040087.5583436</v>
      </c>
      <c r="U118" s="2">
        <f>U8/'Output-Calculation-sheet'!U7*'Output-Calculation-sheet'!U97</f>
        <v>1293418920.6114795</v>
      </c>
      <c r="V118" s="2">
        <f>V8/'Output-Calculation-sheet'!V7*'Output-Calculation-sheet'!V97</f>
        <v>995958828.62254107</v>
      </c>
      <c r="W118" s="2">
        <f>W8/'Output-Calculation-sheet'!W7*'Output-Calculation-sheet'!W97</f>
        <v>862279280.14356732</v>
      </c>
      <c r="X118" s="2">
        <f>X8/'Output-Calculation-sheet'!X7*'Output-Calculation-sheet'!X97</f>
        <v>0</v>
      </c>
      <c r="Y118" s="2">
        <f>Y8/'Output-Calculation-sheet'!Y7*'Output-Calculation-sheet'!Y97</f>
        <v>503134983.08281326</v>
      </c>
      <c r="AA118" s="2">
        <f t="shared" si="10"/>
        <v>145366.2592780019</v>
      </c>
    </row>
    <row r="119" spans="1:27" x14ac:dyDescent="0.25">
      <c r="A119" s="2">
        <v>2032</v>
      </c>
      <c r="B119" s="2">
        <f>B9/'Output-Calculation-sheet'!B8*'Output-Calculation-sheet'!B98</f>
        <v>55462656986.584229</v>
      </c>
      <c r="C119" s="2">
        <f>C9/'Output-Calculation-sheet'!C8*'Output-Calculation-sheet'!C98</f>
        <v>0</v>
      </c>
      <c r="D119" s="2">
        <f>D9/'Output-Calculation-sheet'!D8*'Output-Calculation-sheet'!D98</f>
        <v>25711587719.643238</v>
      </c>
      <c r="E119" s="2">
        <f>E9/'Output-Calculation-sheet'!E8*'Output-Calculation-sheet'!E98</f>
        <v>20399530936.657875</v>
      </c>
      <c r="F119" s="2">
        <f>F9/'Output-Calculation-sheet'!F8*'Output-Calculation-sheet'!F98</f>
        <v>13131914159.718634</v>
      </c>
      <c r="G119" s="2">
        <f>G9/'Output-Calculation-sheet'!G8*'Output-Calculation-sheet'!G98</f>
        <v>9226843314.5248013</v>
      </c>
      <c r="H119" s="2">
        <f>H9/'Output-Calculation-sheet'!H8*'Output-Calculation-sheet'!H98</f>
        <v>1.9372012048755926E-7</v>
      </c>
      <c r="I119" s="2">
        <f>I9/'Output-Calculation-sheet'!I8*'Output-Calculation-sheet'!I98</f>
        <v>8406381202.5160942</v>
      </c>
      <c r="J119" s="2">
        <f>J9/'Output-Calculation-sheet'!J8*'Output-Calculation-sheet'!J98</f>
        <v>8182189289.1228571</v>
      </c>
      <c r="K119" s="2">
        <f>K9/'Output-Calculation-sheet'!K8*'Output-Calculation-sheet'!K98</f>
        <v>8103748010.4101667</v>
      </c>
      <c r="L119" s="2">
        <f>L9/'Output-Calculation-sheet'!L8*'Output-Calculation-sheet'!L98</f>
        <v>6500933545.5257797</v>
      </c>
      <c r="M119" s="2">
        <f>M9/'Output-Calculation-sheet'!M8*'Output-Calculation-sheet'!M98</f>
        <v>0</v>
      </c>
      <c r="N119" s="2">
        <f>N9/'Output-Calculation-sheet'!N8*'Output-Calculation-sheet'!N98</f>
        <v>3172520170.9795003</v>
      </c>
      <c r="O119" s="2">
        <f>O9/'Output-Calculation-sheet'!O8*'Output-Calculation-sheet'!O98</f>
        <v>0</v>
      </c>
      <c r="P119" s="2">
        <f>P9/'Output-Calculation-sheet'!P8*'Output-Calculation-sheet'!P98</f>
        <v>5548174091.211791</v>
      </c>
      <c r="Q119" s="2">
        <f>Q9/'Output-Calculation-sheet'!Q8*'Output-Calculation-sheet'!Q98</f>
        <v>5458541643.4763737</v>
      </c>
      <c r="R119" s="2">
        <f>R9/'Output-Calculation-sheet'!R8*'Output-Calculation-sheet'!R98</f>
        <v>5251368523.5324249</v>
      </c>
      <c r="S119" s="2">
        <f>S9/'Output-Calculation-sheet'!S8*'Output-Calculation-sheet'!S98</f>
        <v>2620734786.1203036</v>
      </c>
      <c r="T119" s="2">
        <f>T9/'Output-Calculation-sheet'!T8*'Output-Calculation-sheet'!T98</f>
        <v>1930357837.8123615</v>
      </c>
      <c r="U119" s="2">
        <f>U9/'Output-Calculation-sheet'!U8*'Output-Calculation-sheet'!U98</f>
        <v>1681276049.4774623</v>
      </c>
      <c r="V119" s="2">
        <f>V9/'Output-Calculation-sheet'!V8*'Output-Calculation-sheet'!V98</f>
        <v>1294616183.8307037</v>
      </c>
      <c r="W119" s="2">
        <f>W9/'Output-Calculation-sheet'!W8*'Output-Calculation-sheet'!W98</f>
        <v>1120850523.5249889</v>
      </c>
      <c r="X119" s="2">
        <f>X9/'Output-Calculation-sheet'!X8*'Output-Calculation-sheet'!X98</f>
        <v>0</v>
      </c>
      <c r="Y119" s="2">
        <f>Y9/'Output-Calculation-sheet'!Y8*'Output-Calculation-sheet'!Y98</f>
        <v>654009555.65671825</v>
      </c>
      <c r="AA119" s="2">
        <f t="shared" si="10"/>
        <v>183858.23453032624</v>
      </c>
    </row>
    <row r="120" spans="1:27" x14ac:dyDescent="0.25">
      <c r="A120" s="2">
        <v>2033</v>
      </c>
      <c r="B120" s="2">
        <f>B10/'Output-Calculation-sheet'!B9*'Output-Calculation-sheet'!B99</f>
        <v>57115173361.648529</v>
      </c>
      <c r="C120" s="2">
        <f>C10/'Output-Calculation-sheet'!C9*'Output-Calculation-sheet'!C99</f>
        <v>0</v>
      </c>
      <c r="D120" s="2">
        <f>D10/'Output-Calculation-sheet'!D9*'Output-Calculation-sheet'!D99</f>
        <v>30021675429.470901</v>
      </c>
      <c r="E120" s="2">
        <f>E10/'Output-Calculation-sheet'!E9*'Output-Calculation-sheet'!E99</f>
        <v>23819149846.530876</v>
      </c>
      <c r="F120" s="2">
        <f>F10/'Output-Calculation-sheet'!F9*'Output-Calculation-sheet'!F99</f>
        <v>15333241498.129679</v>
      </c>
      <c r="G120" s="2">
        <f>G10/'Output-Calculation-sheet'!G9*'Output-Calculation-sheet'!G99</f>
        <v>10773556286.040686</v>
      </c>
      <c r="H120" s="2">
        <f>H10/'Output-Calculation-sheet'!H9*'Output-Calculation-sheet'!H99</f>
        <v>0</v>
      </c>
      <c r="I120" s="2">
        <f>I10/'Output-Calculation-sheet'!I9*'Output-Calculation-sheet'!I99</f>
        <v>9815559102.7669506</v>
      </c>
      <c r="J120" s="2">
        <f>J10/'Output-Calculation-sheet'!J9*'Output-Calculation-sheet'!J99</f>
        <v>9553785449.8780632</v>
      </c>
      <c r="K120" s="2">
        <f>K10/'Output-Calculation-sheet'!K9*'Output-Calculation-sheet'!K99</f>
        <v>9462195898.0113297</v>
      </c>
      <c r="L120" s="2">
        <f>L10/'Output-Calculation-sheet'!L9*'Output-Calculation-sheet'!L99</f>
        <v>7590697570.4098215</v>
      </c>
      <c r="M120" s="2">
        <f>M10/'Output-Calculation-sheet'!M9*'Output-Calculation-sheet'!M99</f>
        <v>0</v>
      </c>
      <c r="N120" s="2">
        <f>N10/'Output-Calculation-sheet'!N9*'Output-Calculation-sheet'!N99</f>
        <v>2844749062.8620405</v>
      </c>
      <c r="O120" s="2">
        <f>O10/'Output-Calculation-sheet'!O9*'Output-Calculation-sheet'!O99</f>
        <v>0</v>
      </c>
      <c r="P120" s="2">
        <f>P10/'Output-Calculation-sheet'!P9*'Output-Calculation-sheet'!P99</f>
        <v>6477888585.5555048</v>
      </c>
      <c r="Q120" s="2">
        <f>Q10/'Output-Calculation-sheet'!Q9*'Output-Calculation-sheet'!Q99</f>
        <v>6234517346.5199661</v>
      </c>
      <c r="R120" s="2">
        <f>R10/'Output-Calculation-sheet'!R9*'Output-Calculation-sheet'!R99</f>
        <v>6131374514.2077818</v>
      </c>
      <c r="S120" s="2">
        <f>S10/'Output-Calculation-sheet'!S9*'Output-Calculation-sheet'!S99</f>
        <v>2358358410.3836341</v>
      </c>
      <c r="T120" s="2">
        <f>T10/'Output-Calculation-sheet'!T9*'Output-Calculation-sheet'!T99</f>
        <v>2253928058.3456206</v>
      </c>
      <c r="U120" s="2">
        <f>U10/'Output-Calculation-sheet'!U9*'Output-Calculation-sheet'!U99</f>
        <v>1963538256.3785999</v>
      </c>
      <c r="V120" s="2">
        <f>V10/'Output-Calculation-sheet'!V9*'Output-Calculation-sheet'!V99</f>
        <v>1511635268.7827199</v>
      </c>
      <c r="W120" s="2">
        <f>W10/'Output-Calculation-sheet'!W9*'Output-Calculation-sheet'!W99</f>
        <v>1308741131.2255721</v>
      </c>
      <c r="X120" s="2">
        <f>X10/'Output-Calculation-sheet'!X9*'Output-Calculation-sheet'!X99</f>
        <v>0</v>
      </c>
      <c r="Y120" s="2">
        <f>Y10/'Output-Calculation-sheet'!Y9*'Output-Calculation-sheet'!Y99</f>
        <v>763643587.19443345</v>
      </c>
      <c r="AA120" s="2">
        <f t="shared" si="10"/>
        <v>205333.40866434269</v>
      </c>
    </row>
    <row r="121" spans="1:27" x14ac:dyDescent="0.25">
      <c r="A121" s="2">
        <v>2034</v>
      </c>
      <c r="B121" s="2">
        <f>B11/'Output-Calculation-sheet'!B10*'Output-Calculation-sheet'!B100</f>
        <v>46208230645.861221</v>
      </c>
      <c r="C121" s="2">
        <f>C11/'Output-Calculation-sheet'!C10*'Output-Calculation-sheet'!C100</f>
        <v>0</v>
      </c>
      <c r="D121" s="2">
        <f>D11/'Output-Calculation-sheet'!D10*'Output-Calculation-sheet'!D100</f>
        <v>31986560443.049698</v>
      </c>
      <c r="E121" s="2">
        <f>E11/'Output-Calculation-sheet'!E10*'Output-Calculation-sheet'!E100</f>
        <v>24748627903.00148</v>
      </c>
      <c r="F121" s="2">
        <f>F11/'Output-Calculation-sheet'!F10*'Output-Calculation-sheet'!F100</f>
        <v>16336911204.451349</v>
      </c>
      <c r="G121" s="2">
        <f>G11/'Output-Calculation-sheet'!G10*'Output-Calculation-sheet'!G100</f>
        <v>11478051590.008583</v>
      </c>
      <c r="H121" s="2">
        <f>H11/'Output-Calculation-sheet'!H10*'Output-Calculation-sheet'!H100</f>
        <v>0</v>
      </c>
      <c r="I121" s="2">
        <f>I11/'Output-Calculation-sheet'!I10*'Output-Calculation-sheet'!I100</f>
        <v>10457611129.782383</v>
      </c>
      <c r="J121" s="2">
        <f>J11/'Output-Calculation-sheet'!J10*'Output-Calculation-sheet'!J100</f>
        <v>10178815641.964113</v>
      </c>
      <c r="K121" s="2">
        <f>K11/'Output-Calculation-sheet'!K10*'Output-Calculation-sheet'!K100</f>
        <v>10081490157.699724</v>
      </c>
      <c r="L121" s="2">
        <f>L11/'Output-Calculation-sheet'!L10*'Output-Calculation-sheet'!L100</f>
        <v>7577968846.8567209</v>
      </c>
      <c r="M121" s="2">
        <f>M11/'Output-Calculation-sheet'!M10*'Output-Calculation-sheet'!M100</f>
        <v>5.4141530836349028E-7</v>
      </c>
      <c r="N121" s="2">
        <f>N11/'Output-Calculation-sheet'!N10*'Output-Calculation-sheet'!N100</f>
        <v>2235540309.6796093</v>
      </c>
      <c r="O121" s="2">
        <f>O11/'Output-Calculation-sheet'!O10*'Output-Calculation-sheet'!O100</f>
        <v>0</v>
      </c>
      <c r="P121" s="2">
        <f>P11/'Output-Calculation-sheet'!P10*'Output-Calculation-sheet'!P100</f>
        <v>6901568048.070962</v>
      </c>
      <c r="Q121" s="2">
        <f>Q11/'Output-Calculation-sheet'!Q10*'Output-Calculation-sheet'!Q100</f>
        <v>5719369015.6062384</v>
      </c>
      <c r="R121" s="2">
        <f>R11/'Output-Calculation-sheet'!R10*'Output-Calculation-sheet'!R100</f>
        <v>6532384075.5903692</v>
      </c>
      <c r="S121" s="2">
        <f>S11/'Output-Calculation-sheet'!S10*'Output-Calculation-sheet'!S100</f>
        <v>1724737321.5786829</v>
      </c>
      <c r="T121" s="2">
        <f>T11/'Output-Calculation-sheet'!T10*'Output-Calculation-sheet'!T100</f>
        <v>2401302731.521822</v>
      </c>
      <c r="U121" s="2">
        <f>U11/'Output-Calculation-sheet'!U10*'Output-Calculation-sheet'!U100</f>
        <v>2023664118.122854</v>
      </c>
      <c r="V121" s="2">
        <f>V11/'Output-Calculation-sheet'!V10*'Output-Calculation-sheet'!V100</f>
        <v>1611026341.3640456</v>
      </c>
      <c r="W121" s="2">
        <f>W11/'Output-Calculation-sheet'!W10*'Output-Calculation-sheet'!W100</f>
        <v>1394438188.6039128</v>
      </c>
      <c r="X121" s="2">
        <f>X11/'Output-Calculation-sheet'!X10*'Output-Calculation-sheet'!X100</f>
        <v>53701821.973660938</v>
      </c>
      <c r="Y121" s="2">
        <f>Y11/'Output-Calculation-sheet'!Y10*'Output-Calculation-sheet'!Y100</f>
        <v>780078114.3203522</v>
      </c>
      <c r="AA121" s="2">
        <f t="shared" si="10"/>
        <v>200432.07764910776</v>
      </c>
    </row>
    <row r="122" spans="1:27" x14ac:dyDescent="0.25">
      <c r="A122" s="2">
        <v>2035</v>
      </c>
      <c r="B122" s="2">
        <f>B12/'Output-Calculation-sheet'!B11*'Output-Calculation-sheet'!B101</f>
        <v>39567338563.634598</v>
      </c>
      <c r="C122" s="2">
        <f>C12/'Output-Calculation-sheet'!C11*'Output-Calculation-sheet'!C101</f>
        <v>0</v>
      </c>
      <c r="D122" s="2">
        <f>D12/'Output-Calculation-sheet'!D11*'Output-Calculation-sheet'!D101</f>
        <v>27688594366.005062</v>
      </c>
      <c r="E122" s="2">
        <f>E12/'Output-Calculation-sheet'!E11*'Output-Calculation-sheet'!E101</f>
        <v>21502706647.914772</v>
      </c>
      <c r="F122" s="2">
        <f>F12/'Output-Calculation-sheet'!F11*'Output-Calculation-sheet'!F101</f>
        <v>14648791259.818262</v>
      </c>
      <c r="G122" s="2">
        <f>G12/'Output-Calculation-sheet'!G11*'Output-Calculation-sheet'!G101</f>
        <v>9925697000.9835529</v>
      </c>
      <c r="H122" s="2">
        <f>H12/'Output-Calculation-sheet'!H11*'Output-Calculation-sheet'!H101</f>
        <v>0</v>
      </c>
      <c r="I122" s="2">
        <f>I12/'Output-Calculation-sheet'!I11*'Output-Calculation-sheet'!I101</f>
        <v>9107605291.0657215</v>
      </c>
      <c r="J122" s="2">
        <f>J12/'Output-Calculation-sheet'!J11*'Output-Calculation-sheet'!J101</f>
        <v>9117548240.0398808</v>
      </c>
      <c r="K122" s="2">
        <f>K12/'Output-Calculation-sheet'!K11*'Output-Calculation-sheet'!K101</f>
        <v>8951365656.4216175</v>
      </c>
      <c r="L122" s="2">
        <f>L12/'Output-Calculation-sheet'!L11*'Output-Calculation-sheet'!L101</f>
        <v>6484682498.4138088</v>
      </c>
      <c r="M122" s="2">
        <f>M12/'Output-Calculation-sheet'!M11*'Output-Calculation-sheet'!M101</f>
        <v>0</v>
      </c>
      <c r="N122" s="2">
        <f>N12/'Output-Calculation-sheet'!N11*'Output-Calculation-sheet'!N101</f>
        <v>1888149023.4555342</v>
      </c>
      <c r="O122" s="2">
        <f>O12/'Output-Calculation-sheet'!O11*'Output-Calculation-sheet'!O101</f>
        <v>0</v>
      </c>
      <c r="P122" s="2">
        <f>P12/'Output-Calculation-sheet'!P11*'Output-Calculation-sheet'!P101</f>
        <v>6019432252.4482489</v>
      </c>
      <c r="Q122" s="2">
        <f>Q12/'Output-Calculation-sheet'!Q11*'Output-Calculation-sheet'!Q101</f>
        <v>4866401561.9661312</v>
      </c>
      <c r="R122" s="2">
        <f>R12/'Output-Calculation-sheet'!R11*'Output-Calculation-sheet'!R101</f>
        <v>5962265418.8447771</v>
      </c>
      <c r="S122" s="2">
        <f>S12/'Output-Calculation-sheet'!S11*'Output-Calculation-sheet'!S101</f>
        <v>1426161243.2609577</v>
      </c>
      <c r="T122" s="2">
        <f>T12/'Output-Calculation-sheet'!T11*'Output-Calculation-sheet'!T101</f>
        <v>2224915354.1123614</v>
      </c>
      <c r="U122" s="2">
        <f>U12/'Output-Calculation-sheet'!U11*'Output-Calculation-sheet'!U101</f>
        <v>1757219459.0668259</v>
      </c>
      <c r="V122" s="2">
        <f>V12/'Output-Calculation-sheet'!V11*'Output-Calculation-sheet'!V101</f>
        <v>1530130254.9874694</v>
      </c>
      <c r="W122" s="2">
        <f>W12/'Output-Calculation-sheet'!W11*'Output-Calculation-sheet'!W101</f>
        <v>1289553115.7257054</v>
      </c>
      <c r="X122" s="2">
        <f>X12/'Output-Calculation-sheet'!X11*'Output-Calculation-sheet'!X101</f>
        <v>45468060.618064441</v>
      </c>
      <c r="Y122" s="2">
        <f>Y12/'Output-Calculation-sheet'!Y11*'Output-Calculation-sheet'!Y101</f>
        <v>681198278.71436906</v>
      </c>
      <c r="AA122" s="2">
        <f t="shared" si="10"/>
        <v>174685.22354749774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47094260752.31411</v>
      </c>
      <c r="C129" s="2">
        <f>C8/'Output-Calculation-sheet'!C7*'Output-Calculation-sheet'!C106</f>
        <v>27602811799.639172</v>
      </c>
      <c r="D129" s="2">
        <f>D8/'Output-Calculation-sheet'!D7*'Output-Calculation-sheet'!D106</f>
        <v>19780131819.291672</v>
      </c>
      <c r="E129" s="2">
        <f>E8/'Output-Calculation-sheet'!E7*'Output-Calculation-sheet'!E106</f>
        <v>15693527374.15766</v>
      </c>
      <c r="F129" s="2">
        <f>F8/'Output-Calculation-sheet'!F7*'Output-Calculation-sheet'!F106</f>
        <v>10102486727.523363</v>
      </c>
      <c r="G129" s="2">
        <f>G8/'Output-Calculation-sheet'!G7*'Output-Calculation-sheet'!G106</f>
        <v>7098284430.0227051</v>
      </c>
      <c r="H129" s="2">
        <f>H8/'Output-Calculation-sheet'!H7*'Output-Calculation-sheet'!H106</f>
        <v>6924103981.1810312</v>
      </c>
      <c r="I129" s="2">
        <f>I8/'Output-Calculation-sheet'!I7*'Output-Calculation-sheet'!I106</f>
        <v>6467095872.8340826</v>
      </c>
      <c r="J129" s="2">
        <f>J8/'Output-Calculation-sheet'!J7*'Output-Calculation-sheet'!J106</f>
        <v>6294625696.1921186</v>
      </c>
      <c r="K129" s="2">
        <f>K8/'Output-Calculation-sheet'!K7*'Output-Calculation-sheet'!K106</f>
        <v>6234279195.5990248</v>
      </c>
      <c r="L129" s="2">
        <f>L8/'Output-Calculation-sheet'!L7*'Output-Calculation-sheet'!L106</f>
        <v>5001219833.61724</v>
      </c>
      <c r="M129" s="2">
        <f>M8/'Output-Calculation-sheet'!M7*'Output-Calculation-sheet'!M106</f>
        <v>4777028151.4001188</v>
      </c>
      <c r="N129" s="2">
        <f>N8/'Output-Calculation-sheet'!N7*'Output-Calculation-sheet'!N106</f>
        <v>4688640242.5859213</v>
      </c>
      <c r="O129" s="2">
        <f>O8/'Output-Calculation-sheet'!O7*'Output-Calculation-sheet'!O106</f>
        <v>6013558797.7575188</v>
      </c>
      <c r="P129" s="2">
        <f>P8/'Output-Calculation-sheet'!P7*'Output-Calculation-sheet'!P106</f>
        <v>4268283276.070498</v>
      </c>
      <c r="Q129" s="2">
        <f>Q8/'Output-Calculation-sheet'!Q7*'Output-Calculation-sheet'!Q106</f>
        <v>4199300124.1478157</v>
      </c>
      <c r="R129" s="2">
        <f>R8/'Output-Calculation-sheet'!R7*'Output-Calculation-sheet'!R106</f>
        <v>4039919846.3981199</v>
      </c>
      <c r="S129" s="2">
        <f>S8/'Output-Calculation-sheet'!S7*'Output-Calculation-sheet'!S106</f>
        <v>2685137685.6426897</v>
      </c>
      <c r="T129" s="2">
        <f>T8/'Output-Calculation-sheet'!T7*'Output-Calculation-sheet'!T106</f>
        <v>1485040087.5583436</v>
      </c>
      <c r="U129" s="2">
        <f>U8/'Output-Calculation-sheet'!U7*'Output-Calculation-sheet'!U106</f>
        <v>1293418920.6114795</v>
      </c>
      <c r="V129" s="2">
        <f>V8/'Output-Calculation-sheet'!V7*'Output-Calculation-sheet'!V106</f>
        <v>995958828.62254107</v>
      </c>
      <c r="W129" s="2">
        <f>W8/'Output-Calculation-sheet'!W7*'Output-Calculation-sheet'!W106</f>
        <v>862279280.14356732</v>
      </c>
      <c r="X129" s="2">
        <f>X8/'Output-Calculation-sheet'!X7*'Output-Calculation-sheet'!X106</f>
        <v>517367669.82672733</v>
      </c>
      <c r="Y129" s="2">
        <f>Y8/'Output-Calculation-sheet'!Y7*'Output-Calculation-sheet'!Y106</f>
        <v>503134983.08281326</v>
      </c>
      <c r="AA129" s="2">
        <f t="shared" si="11"/>
        <v>194621.89537622032</v>
      </c>
    </row>
    <row r="130" spans="1:27" x14ac:dyDescent="0.25">
      <c r="A130" s="2">
        <v>2032</v>
      </c>
      <c r="B130" s="2">
        <f>B9/'Output-Calculation-sheet'!B8*'Output-Calculation-sheet'!B107</f>
        <v>36729834475.241035</v>
      </c>
      <c r="C130" s="2">
        <f>C9/'Output-Calculation-sheet'!C8*'Output-Calculation-sheet'!C107</f>
        <v>27621826588.80481</v>
      </c>
      <c r="D130" s="2">
        <f>D9/'Output-Calculation-sheet'!D8*'Output-Calculation-sheet'!D107</f>
        <v>15426949415.977333</v>
      </c>
      <c r="E130" s="2">
        <f>E9/'Output-Calculation-sheet'!E8*'Output-Calculation-sheet'!E107</f>
        <v>12239717284.139683</v>
      </c>
      <c r="F130" s="2">
        <f>F9/'Output-Calculation-sheet'!F8*'Output-Calculation-sheet'!F107</f>
        <v>7879149299.5143738</v>
      </c>
      <c r="G130" s="2">
        <f>G9/'Output-Calculation-sheet'!G8*'Output-Calculation-sheet'!G107</f>
        <v>5536106565.5047007</v>
      </c>
      <c r="H130" s="2">
        <f>H9/'Output-Calculation-sheet'!H8*'Output-Calculation-sheet'!H107</f>
        <v>5400258034.7360353</v>
      </c>
      <c r="I130" s="2">
        <f>I9/'Output-Calculation-sheet'!I8*'Output-Calculation-sheet'!I107</f>
        <v>5043828202.7216501</v>
      </c>
      <c r="J130" s="2">
        <f>J9/'Output-Calculation-sheet'!J8*'Output-Calculation-sheet'!J107</f>
        <v>4909313060.0439138</v>
      </c>
      <c r="K130" s="2">
        <f>K9/'Output-Calculation-sheet'!K8*'Output-Calculation-sheet'!K107</f>
        <v>4862248806.2461004</v>
      </c>
      <c r="L130" s="2">
        <f>L9/'Output-Calculation-sheet'!L8*'Output-Calculation-sheet'!L107</f>
        <v>3900559721.877799</v>
      </c>
      <c r="M130" s="2">
        <f>M9/'Output-Calculation-sheet'!M8*'Output-Calculation-sheet'!M107</f>
        <v>3725708247.9252491</v>
      </c>
      <c r="N130" s="2">
        <f>N9/'Output-Calculation-sheet'!N8*'Output-Calculation-sheet'!N107</f>
        <v>3656770233.2336211</v>
      </c>
      <c r="O130" s="2">
        <f>O9/'Output-Calculation-sheet'!O8*'Output-Calculation-sheet'!O107</f>
        <v>6015013686.5716095</v>
      </c>
      <c r="P130" s="2">
        <f>P9/'Output-Calculation-sheet'!P8*'Output-Calculation-sheet'!P107</f>
        <v>3328925749.4293361</v>
      </c>
      <c r="Q130" s="2">
        <f>Q9/'Output-Calculation-sheet'!Q8*'Output-Calculation-sheet'!Q107</f>
        <v>3275125979.3262801</v>
      </c>
      <c r="R130" s="2">
        <f>R9/'Output-Calculation-sheet'!R8*'Output-Calculation-sheet'!R107</f>
        <v>3150821442.4471598</v>
      </c>
      <c r="S130" s="2">
        <f>S9/'Output-Calculation-sheet'!S8*'Output-Calculation-sheet'!S107</f>
        <v>2094197065.1355791</v>
      </c>
      <c r="T130" s="2">
        <f>T9/'Output-Calculation-sheet'!T8*'Output-Calculation-sheet'!T107</f>
        <v>1158214945.6268466</v>
      </c>
      <c r="U130" s="2">
        <f>U9/'Output-Calculation-sheet'!U8*'Output-Calculation-sheet'!U107</f>
        <v>1008765312.7820836</v>
      </c>
      <c r="V130" s="2">
        <f>V9/'Output-Calculation-sheet'!V8*'Output-Calculation-sheet'!V107</f>
        <v>776769465.93639302</v>
      </c>
      <c r="W130" s="2">
        <f>W9/'Output-Calculation-sheet'!W8*'Output-Calculation-sheet'!W107</f>
        <v>672510384.64804029</v>
      </c>
      <c r="X130" s="2">
        <f>X9/'Output-Calculation-sheet'!X8*'Output-Calculation-sheet'!X107</f>
        <v>403506151.61615866</v>
      </c>
      <c r="Y130" s="2">
        <f>Y9/'Output-Calculation-sheet'!Y8*'Output-Calculation-sheet'!Y107</f>
        <v>392405774.09679407</v>
      </c>
      <c r="AA130" s="2">
        <f t="shared" si="11"/>
        <v>159208.52589358261</v>
      </c>
    </row>
    <row r="131" spans="1:27" x14ac:dyDescent="0.25">
      <c r="A131" s="2">
        <v>2033</v>
      </c>
      <c r="B131" s="2">
        <f>B10/'Output-Calculation-sheet'!B9*'Output-Calculation-sheet'!B108</f>
        <v>23826079483.17812</v>
      </c>
      <c r="C131" s="2">
        <f>C10/'Output-Calculation-sheet'!C9*'Output-Calculation-sheet'!C108</f>
        <v>24932259970.314545</v>
      </c>
      <c r="D131" s="2">
        <f>D10/'Output-Calculation-sheet'!D9*'Output-Calculation-sheet'!D108</f>
        <v>10007227750.713354</v>
      </c>
      <c r="E131" s="2">
        <f>E10/'Output-Calculation-sheet'!E9*'Output-Calculation-sheet'!E108</f>
        <v>7939716615.5102921</v>
      </c>
      <c r="F131" s="2">
        <f>F10/'Output-Calculation-sheet'!F9*'Output-Calculation-sheet'!F108</f>
        <v>5111080499.3765602</v>
      </c>
      <c r="G131" s="2">
        <f>G10/'Output-Calculation-sheet'!G9*'Output-Calculation-sheet'!G108</f>
        <v>3591185428.6802282</v>
      </c>
      <c r="H131" s="2">
        <f>H10/'Output-Calculation-sheet'!H9*'Output-Calculation-sheet'!H108</f>
        <v>3503063531.6207724</v>
      </c>
      <c r="I131" s="2">
        <f>I10/'Output-Calculation-sheet'!I9*'Output-Calculation-sheet'!I108</f>
        <v>3271853875.5799613</v>
      </c>
      <c r="J131" s="2">
        <f>J10/'Output-Calculation-sheet'!J9*'Output-Calculation-sheet'!J108</f>
        <v>3184595982.5942011</v>
      </c>
      <c r="K131" s="2">
        <f>K10/'Output-Calculation-sheet'!K9*'Output-Calculation-sheet'!K108</f>
        <v>3154065299.33711</v>
      </c>
      <c r="L131" s="2">
        <f>L10/'Output-Calculation-sheet'!L9*'Output-Calculation-sheet'!L108</f>
        <v>2530233180.9727416</v>
      </c>
      <c r="M131" s="2">
        <f>M10/'Output-Calculation-sheet'!M9*'Output-Calculation-sheet'!M108</f>
        <v>2416808463.907733</v>
      </c>
      <c r="N131" s="2">
        <f>N10/'Output-Calculation-sheet'!N9*'Output-Calculation-sheet'!N108</f>
        <v>2372090067.7634444</v>
      </c>
      <c r="O131" s="2">
        <f>O10/'Output-Calculation-sheet'!O9*'Output-Calculation-sheet'!O108</f>
        <v>5617731507.374794</v>
      </c>
      <c r="P131" s="2">
        <f>P10/'Output-Calculation-sheet'!P9*'Output-Calculation-sheet'!P108</f>
        <v>2159423574.164907</v>
      </c>
      <c r="Q131" s="2">
        <f>Q10/'Output-Calculation-sheet'!Q9*'Output-Calculation-sheet'!Q108</f>
        <v>2124523366.4473329</v>
      </c>
      <c r="R131" s="2">
        <f>R10/'Output-Calculation-sheet'!R9*'Output-Calculation-sheet'!R108</f>
        <v>2043888411.1290238</v>
      </c>
      <c r="S131" s="2">
        <f>S10/'Output-Calculation-sheet'!S9*'Output-Calculation-sheet'!S108</f>
        <v>1358473468.6274788</v>
      </c>
      <c r="T131" s="2">
        <f>T10/'Output-Calculation-sheet'!T9*'Output-Calculation-sheet'!T108</f>
        <v>751315656.42329943</v>
      </c>
      <c r="U131" s="2">
        <f>U10/'Output-Calculation-sheet'!U9*'Output-Calculation-sheet'!U108</f>
        <v>654370394.2368505</v>
      </c>
      <c r="V131" s="2">
        <f>V10/'Output-Calculation-sheet'!V9*'Output-Calculation-sheet'!V108</f>
        <v>503878290.83269501</v>
      </c>
      <c r="W131" s="2">
        <f>W10/'Output-Calculation-sheet'!W9*'Output-Calculation-sheet'!W108</f>
        <v>436246929.35762656</v>
      </c>
      <c r="X131" s="2">
        <f>X10/'Output-Calculation-sheet'!X9*'Output-Calculation-sheet'!X108</f>
        <v>261748106.48614737</v>
      </c>
      <c r="Y131" s="2">
        <f>Y10/'Output-Calculation-sheet'!Y9*'Output-Calculation-sheet'!Y108</f>
        <v>254547466.34938845</v>
      </c>
      <c r="AA131" s="2">
        <f t="shared" si="11"/>
        <v>112006.40732097859</v>
      </c>
    </row>
    <row r="132" spans="1:27" x14ac:dyDescent="0.25">
      <c r="A132" s="2">
        <v>2034</v>
      </c>
      <c r="B132" s="2">
        <f>B11/'Output-Calculation-sheet'!B10*'Output-Calculation-sheet'!B109</f>
        <v>10879485634.391626</v>
      </c>
      <c r="C132" s="2">
        <f>C11/'Output-Calculation-sheet'!C10*'Output-Calculation-sheet'!C109</f>
        <v>20116070329.628864</v>
      </c>
      <c r="D132" s="2">
        <f>D11/'Output-Calculation-sheet'!D10*'Output-Calculation-sheet'!D109</f>
        <v>4569509247.0634327</v>
      </c>
      <c r="E132" s="2">
        <f>E11/'Output-Calculation-sheet'!E10*'Output-Calculation-sheet'!E109</f>
        <v>3625441604.9742975</v>
      </c>
      <c r="F132" s="2">
        <f>F11/'Output-Calculation-sheet'!F10*'Output-Calculation-sheet'!F109</f>
        <v>2333826858.8345146</v>
      </c>
      <c r="G132" s="2">
        <f>G11/'Output-Calculation-sheet'!G10*'Output-Calculation-sheet'!G109</f>
        <v>1639811057.4367719</v>
      </c>
      <c r="H132" s="2">
        <f>H11/'Output-Calculation-sheet'!H10*'Output-Calculation-sheet'!H109</f>
        <v>1943236041.1117516</v>
      </c>
      <c r="I132" s="2">
        <f>I11/'Output-Calculation-sheet'!I10*'Output-Calculation-sheet'!I109</f>
        <v>1493996836.4292841</v>
      </c>
      <c r="J132" s="2">
        <f>J11/'Output-Calculation-sheet'!J10*'Output-Calculation-sheet'!J109</f>
        <v>1454153280.0522466</v>
      </c>
      <c r="K132" s="2">
        <f>K11/'Output-Calculation-sheet'!K10*'Output-Calculation-sheet'!K109</f>
        <v>1440212782.5806551</v>
      </c>
      <c r="L132" s="2">
        <f>L11/'Output-Calculation-sheet'!L10*'Output-Calculation-sheet'!L109</f>
        <v>1155357509.4131572</v>
      </c>
      <c r="M132" s="2">
        <f>M11/'Output-Calculation-sheet'!M10*'Output-Calculation-sheet'!M109</f>
        <v>1103565578.044498</v>
      </c>
      <c r="N132" s="2">
        <f>N11/'Output-Calculation-sheet'!N10*'Output-Calculation-sheet'!N109</f>
        <v>1083146553.5781584</v>
      </c>
      <c r="O132" s="2">
        <f>O11/'Output-Calculation-sheet'!O10*'Output-Calculation-sheet'!O109</f>
        <v>4774170956.5673838</v>
      </c>
      <c r="P132" s="2">
        <f>P11/'Output-Calculation-sheet'!P10*'Output-Calculation-sheet'!P109</f>
        <v>986037913.53028095</v>
      </c>
      <c r="Q132" s="2">
        <f>Q11/'Output-Calculation-sheet'!Q10*'Output-Calculation-sheet'!Q109</f>
        <v>1214368428.0821781</v>
      </c>
      <c r="R132" s="2">
        <f>R11/'Output-Calculation-sheet'!R10*'Output-Calculation-sheet'!R109</f>
        <v>933282584.0889852</v>
      </c>
      <c r="S132" s="2">
        <f>S11/'Output-Calculation-sheet'!S10*'Output-Calculation-sheet'!S109</f>
        <v>620307462.69426525</v>
      </c>
      <c r="T132" s="2">
        <f>T11/'Output-Calculation-sheet'!T10*'Output-Calculation-sheet'!T109</f>
        <v>343066639.29921454</v>
      </c>
      <c r="U132" s="2">
        <f>U11/'Output-Calculation-sheet'!U10*'Output-Calculation-sheet'!U109</f>
        <v>377339271.28405112</v>
      </c>
      <c r="V132" s="2">
        <f>V11/'Output-Calculation-sheet'!V10*'Output-Calculation-sheet'!V109</f>
        <v>230081462.00091344</v>
      </c>
      <c r="W132" s="2">
        <f>W11/'Output-Calculation-sheet'!W10*'Output-Calculation-sheet'!W109</f>
        <v>199199554.9893795</v>
      </c>
      <c r="X132" s="2">
        <f>X11/'Output-Calculation-sheet'!X10*'Output-Calculation-sheet'!X109</f>
        <v>158173035.3202289</v>
      </c>
      <c r="Y132" s="2">
        <f>Y11/'Output-Calculation-sheet'!Y10*'Output-Calculation-sheet'!Y109</f>
        <v>116231763.27369253</v>
      </c>
      <c r="AA132" s="2">
        <f t="shared" si="11"/>
        <v>62790.072384669817</v>
      </c>
    </row>
    <row r="133" spans="1:27" x14ac:dyDescent="0.25">
      <c r="A133" s="2">
        <v>2035</v>
      </c>
      <c r="B133" s="2">
        <f>B12/'Output-Calculation-sheet'!B11*'Output-Calculation-sheet'!B110</f>
        <v>9956978536.6950645</v>
      </c>
      <c r="C133" s="2">
        <f>C12/'Output-Calculation-sheet'!C11*'Output-Calculation-sheet'!C110</f>
        <v>12835791650.372873</v>
      </c>
      <c r="D133" s="2">
        <f>D12/'Output-Calculation-sheet'!D11*'Output-Calculation-sheet'!D110</f>
        <v>3786263967.8638821</v>
      </c>
      <c r="E133" s="2">
        <f>E12/'Output-Calculation-sheet'!E11*'Output-Calculation-sheet'!E110</f>
        <v>1868829806.2152629</v>
      </c>
      <c r="F133" s="2">
        <f>F12/'Output-Calculation-sheet'!F11*'Output-Calculation-sheet'!F110</f>
        <v>1530671845.5485816</v>
      </c>
      <c r="G133" s="2">
        <f>G12/'Output-Calculation-sheet'!G11*'Output-Calculation-sheet'!G110</f>
        <v>1444577080.063648</v>
      </c>
      <c r="H133" s="2">
        <f>H12/'Output-Calculation-sheet'!H11*'Output-Calculation-sheet'!H110</f>
        <v>1576231029.16467</v>
      </c>
      <c r="I133" s="2">
        <f>I12/'Output-Calculation-sheet'!I11*'Output-Calculation-sheet'!I110</f>
        <v>1239860839.2287884</v>
      </c>
      <c r="J133" s="2">
        <f>J12/'Output-Calculation-sheet'!J11*'Output-Calculation-sheet'!J110</f>
        <v>902159998.24170208</v>
      </c>
      <c r="K133" s="2">
        <f>K12/'Output-Calculation-sheet'!K11*'Output-Calculation-sheet'!K110</f>
        <v>995168733.08784139</v>
      </c>
      <c r="L133" s="2">
        <f>L12/'Output-Calculation-sheet'!L11*'Output-Calculation-sheet'!L110</f>
        <v>435327975.0475809</v>
      </c>
      <c r="M133" s="2">
        <f>M12/'Output-Calculation-sheet'!M11*'Output-Calculation-sheet'!M110</f>
        <v>867011820.9359225</v>
      </c>
      <c r="N133" s="2">
        <f>N12/'Output-Calculation-sheet'!N11*'Output-Calculation-sheet'!N110</f>
        <v>788139920.73107421</v>
      </c>
      <c r="O133" s="2">
        <f>O12/'Output-Calculation-sheet'!O11*'Output-Calculation-sheet'!O110</f>
        <v>3478896130.325603</v>
      </c>
      <c r="P133" s="2">
        <f>P12/'Output-Calculation-sheet'!P11*'Output-Calculation-sheet'!P110</f>
        <v>666437184.90166545</v>
      </c>
      <c r="Q133" s="2">
        <f>Q12/'Output-Calculation-sheet'!Q11*'Output-Calculation-sheet'!Q110</f>
        <v>957803111.22002268</v>
      </c>
      <c r="R133" s="2">
        <f>R12/'Output-Calculation-sheet'!R11*'Output-Calculation-sheet'!R110</f>
        <v>500956337.35543901</v>
      </c>
      <c r="S133" s="2">
        <f>S12/'Output-Calculation-sheet'!S11*'Output-Calculation-sheet'!S110</f>
        <v>582647240.86126196</v>
      </c>
      <c r="T133" s="2">
        <f>T12/'Output-Calculation-sheet'!T11*'Output-Calculation-sheet'!T110</f>
        <v>139487212.02209446</v>
      </c>
      <c r="U133" s="2">
        <f>U12/'Output-Calculation-sheet'!U11*'Output-Calculation-sheet'!U110</f>
        <v>322824082.89123291</v>
      </c>
      <c r="V133" s="2">
        <f>V12/'Output-Calculation-sheet'!V11*'Output-Calculation-sheet'!V110</f>
        <v>48273949.886244476</v>
      </c>
      <c r="W133" s="2">
        <f>W12/'Output-Calculation-sheet'!W11*'Output-Calculation-sheet'!W110</f>
        <v>96705675.396640196</v>
      </c>
      <c r="X133" s="2">
        <f>X12/'Output-Calculation-sheet'!X11*'Output-Calculation-sheet'!X110</f>
        <v>134494871.00969711</v>
      </c>
      <c r="Y133" s="2">
        <f>Y12/'Output-Calculation-sheet'!Y11*'Output-Calculation-sheet'!Y110</f>
        <v>94968344.556279078</v>
      </c>
      <c r="AA133" s="2">
        <f t="shared" si="11"/>
        <v>45250.507343623067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9372.5352093238907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3102.8412310774552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2144.6737220512732</v>
      </c>
      <c r="N18" s="2">
        <f>N7/'Output-Calculation-sheet'!N6*'Output-Calculation-sheet'!N24</f>
        <v>664.59784636372979</v>
      </c>
      <c r="O18" s="2">
        <f>O7/'Output-Calculation-sheet'!O6*'Output-Calculation-sheet'!O24</f>
        <v>1530.6152767725184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240.43927246334948</v>
      </c>
      <c r="Y18" s="2">
        <f>Y7/'Output-Calculation-sheet'!Y6*'Output-Calculation-sheet'!Y24</f>
        <v>0</v>
      </c>
      <c r="AA18" s="2">
        <f t="shared" si="0"/>
        <v>17.200994655248593</v>
      </c>
    </row>
    <row r="19" spans="1:27" x14ac:dyDescent="0.25">
      <c r="A19" s="2">
        <v>2031</v>
      </c>
      <c r="B19" s="2">
        <f>B8/'Output-Calculation-sheet'!B7*'Output-Calculation-sheet'!B25</f>
        <v>1050.6577135188106</v>
      </c>
      <c r="C19" s="2">
        <f>C8/'Output-Calculation-sheet'!C7*'Output-Calculation-sheet'!C25</f>
        <v>12022.875393854441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4713.8236981574364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3274.7127324533262</v>
      </c>
      <c r="N19" s="2">
        <f>N8/'Output-Calculation-sheet'!N7*'Output-Calculation-sheet'!N25</f>
        <v>1121.3887513978002</v>
      </c>
      <c r="O19" s="2">
        <f>O8/'Output-Calculation-sheet'!O7*'Output-Calculation-sheet'!O25</f>
        <v>1848.3407818752432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400.12920893913287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366.3003086826273</v>
      </c>
      <c r="Y19" s="2">
        <f>Y8/'Output-Calculation-sheet'!Y7*'Output-Calculation-sheet'!Y25</f>
        <v>0</v>
      </c>
      <c r="AA19" s="2">
        <f t="shared" si="0"/>
        <v>24.798228588878818</v>
      </c>
    </row>
    <row r="20" spans="1:27" x14ac:dyDescent="0.25">
      <c r="A20" s="2">
        <v>2032</v>
      </c>
      <c r="B20" s="2">
        <f>B9/'Output-Calculation-sheet'!B8*'Output-Calculation-sheet'!B26</f>
        <v>5749.1035202101784</v>
      </c>
      <c r="C20" s="2">
        <f>C9/'Output-Calculation-sheet'!C8*'Output-Calculation-sheet'!C26</f>
        <v>13596.333177856643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6246.5135711875037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4346.1285500858457</v>
      </c>
      <c r="N20" s="2">
        <f>N9/'Output-Calculation-sheet'!N8*'Output-Calculation-sheet'!N26</f>
        <v>1961.3298609371632</v>
      </c>
      <c r="O20" s="2">
        <f>O9/'Output-Calculation-sheet'!O8*'Output-Calculation-sheet'!O26</f>
        <v>2154.1458975435385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709.15903951161374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486.22504094200292</v>
      </c>
      <c r="Y20" s="2">
        <f>Y9/'Output-Calculation-sheet'!Y8*'Output-Calculation-sheet'!Y26</f>
        <v>0</v>
      </c>
      <c r="AA20" s="2">
        <f t="shared" si="0"/>
        <v>35.24893865827449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15322.847467281099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7635.3681692918071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5302.8377705941002</v>
      </c>
      <c r="N21" s="2">
        <f>N10/'Output-Calculation-sheet'!N9*'Output-Calculation-sheet'!N27</f>
        <v>2900.5880377387662</v>
      </c>
      <c r="O21" s="2">
        <f>O10/'Output-Calculation-sheet'!O9*'Output-Calculation-sheet'!O27</f>
        <v>2352.2452789103636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1262.7910428840246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623.61344297354947</v>
      </c>
      <c r="Y21" s="2">
        <f>Y10/'Output-Calculation-sheet'!Y9*'Output-Calculation-sheet'!Y27</f>
        <v>0</v>
      </c>
      <c r="AA21" s="2">
        <f t="shared" si="0"/>
        <v>48.804578050352191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17298.112961346036</v>
      </c>
      <c r="D22" s="2">
        <f>D11/'Output-Calculation-sheet'!D10*'Output-Calculation-sheet'!D28</f>
        <v>0</v>
      </c>
      <c r="E22" s="2">
        <f>E11/'Output-Calculation-sheet'!E10*'Output-Calculation-sheet'!E28</f>
        <v>1278.1062262101696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9111.1501603921843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749.34123337108645</v>
      </c>
      <c r="M22" s="2">
        <f>M11/'Output-Calculation-sheet'!M10*'Output-Calculation-sheet'!M28</f>
        <v>6811.4641636079486</v>
      </c>
      <c r="N22" s="2">
        <f>N11/'Output-Calculation-sheet'!N10*'Output-Calculation-sheet'!N28</f>
        <v>3920.0355682156924</v>
      </c>
      <c r="O22" s="2">
        <f>O11/'Output-Calculation-sheet'!O10*'Output-Calculation-sheet'!O28</f>
        <v>2604.5596029490625</v>
      </c>
      <c r="P22" s="2">
        <f>P11/'Output-Calculation-sheet'!P10*'Output-Calculation-sheet'!P28</f>
        <v>0</v>
      </c>
      <c r="Q22" s="2">
        <f>Q11/'Output-Calculation-sheet'!Q10*'Output-Calculation-sheet'!Q28</f>
        <v>1132.1961908798382</v>
      </c>
      <c r="R22" s="2">
        <f>R11/'Output-Calculation-sheet'!R10*'Output-Calculation-sheet'!R28</f>
        <v>0</v>
      </c>
      <c r="S22" s="2">
        <f>S11/'Output-Calculation-sheet'!S10*'Output-Calculation-sheet'!S28</f>
        <v>1988.0149970027026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656.01917825112912</v>
      </c>
      <c r="Y22" s="2">
        <f>Y11/'Output-Calculation-sheet'!Y10*'Output-Calculation-sheet'!Y28</f>
        <v>68.455605405332804</v>
      </c>
      <c r="AA22" s="2">
        <f t="shared" si="0"/>
        <v>70.226063416878617</v>
      </c>
    </row>
    <row r="23" spans="1:27" x14ac:dyDescent="0.25">
      <c r="A23" s="2">
        <v>2035</v>
      </c>
      <c r="B23" s="2">
        <f>B12/'Output-Calculation-sheet'!B11*'Output-Calculation-sheet'!B29</f>
        <v>23981.590511845658</v>
      </c>
      <c r="C23" s="2">
        <f>C12/'Output-Calculation-sheet'!C11*'Output-Calculation-sheet'!C29</f>
        <v>20375.704408754842</v>
      </c>
      <c r="D23" s="2">
        <f>D12/'Output-Calculation-sheet'!D11*'Output-Calculation-sheet'!D29</f>
        <v>0</v>
      </c>
      <c r="E23" s="2">
        <f>E12/'Output-Calculation-sheet'!E11*'Output-Calculation-sheet'!E29</f>
        <v>4034.0338933549697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8844.3654230175653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1459.8065934167855</v>
      </c>
      <c r="M23" s="2">
        <f>M12/'Output-Calculation-sheet'!M11*'Output-Calculation-sheet'!M29</f>
        <v>6704.3585089112275</v>
      </c>
      <c r="N23" s="2">
        <f>N12/'Output-Calculation-sheet'!N11*'Output-Calculation-sheet'!N29</f>
        <v>3948.0079709451911</v>
      </c>
      <c r="O23" s="2">
        <f>O12/'Output-Calculation-sheet'!O11*'Output-Calculation-sheet'!O29</f>
        <v>3052.8557248628576</v>
      </c>
      <c r="P23" s="2">
        <f>P12/'Output-Calculation-sheet'!P11*'Output-Calculation-sheet'!P29</f>
        <v>465.91366143610151</v>
      </c>
      <c r="Q23" s="2">
        <f>Q12/'Output-Calculation-sheet'!Q11*'Output-Calculation-sheet'!Q29</f>
        <v>1245.984673722106</v>
      </c>
      <c r="R23" s="2">
        <f>R12/'Output-Calculation-sheet'!R11*'Output-Calculation-sheet'!R29</f>
        <v>0</v>
      </c>
      <c r="S23" s="2">
        <f>S12/'Output-Calculation-sheet'!S11*'Output-Calculation-sheet'!S29</f>
        <v>1898.2362810482805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628.47997095890162</v>
      </c>
      <c r="Y23" s="2">
        <f>Y12/'Output-Calculation-sheet'!Y11*'Output-Calculation-sheet'!Y29</f>
        <v>88.70409174297005</v>
      </c>
      <c r="AA23" s="2">
        <f t="shared" si="0"/>
        <v>76.728041714017465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18312.622644302752</v>
      </c>
      <c r="C30" s="2">
        <f>C8/'Output-Calculation-sheet'!C7*'Output-Calculation-sheet'!C16</f>
        <v>0</v>
      </c>
      <c r="D30" s="2">
        <f>D8/'Output-Calculation-sheet'!D7*'Output-Calculation-sheet'!D16</f>
        <v>3083.6035667459537</v>
      </c>
      <c r="E30" s="2">
        <f>E8/'Output-Calculation-sheet'!E7*'Output-Calculation-sheet'!E16</f>
        <v>3317.7832208222476</v>
      </c>
      <c r="F30" s="2">
        <f>F8/'Output-Calculation-sheet'!F7*'Output-Calculation-sheet'!F16</f>
        <v>1673.8392897323874</v>
      </c>
      <c r="G30" s="2">
        <f>G8/'Output-Calculation-sheet'!G7*'Output-Calculation-sheet'!G16</f>
        <v>1096.1659301782413</v>
      </c>
      <c r="H30" s="2">
        <f>H8/'Output-Calculation-sheet'!H7*'Output-Calculation-sheet'!H16</f>
        <v>0</v>
      </c>
      <c r="I30" s="2">
        <f>I8/'Output-Calculation-sheet'!I7*'Output-Calculation-sheet'!I16</f>
        <v>1068.5976515646084</v>
      </c>
      <c r="J30" s="2">
        <f>J8/'Output-Calculation-sheet'!J7*'Output-Calculation-sheet'!J16</f>
        <v>951.25738392015865</v>
      </c>
      <c r="K30" s="2">
        <f>K8/'Output-Calculation-sheet'!K7*'Output-Calculation-sheet'!K16</f>
        <v>1270.1104306874427</v>
      </c>
      <c r="L30" s="2">
        <f>L8/'Output-Calculation-sheet'!L7*'Output-Calculation-sheet'!L16</f>
        <v>1072.8303844617708</v>
      </c>
      <c r="M30" s="2">
        <f>M8/'Output-Calculation-sheet'!M7*'Output-Calculation-sheet'!M16</f>
        <v>0</v>
      </c>
      <c r="N30" s="2">
        <f>N8/'Output-Calculation-sheet'!N7*'Output-Calculation-sheet'!N16</f>
        <v>1523.8651764853698</v>
      </c>
      <c r="O30" s="2">
        <f>O8/'Output-Calculation-sheet'!O7*'Output-Calculation-sheet'!O16</f>
        <v>0</v>
      </c>
      <c r="P30" s="2">
        <f>P8/'Output-Calculation-sheet'!P7*'Output-Calculation-sheet'!P16</f>
        <v>1369.6000186155604</v>
      </c>
      <c r="Q30" s="2">
        <f>Q8/'Output-Calculation-sheet'!Q7*'Output-Calculation-sheet'!Q16</f>
        <v>1506.1076966011094</v>
      </c>
      <c r="R30" s="2">
        <f>R8/'Output-Calculation-sheet'!R7*'Output-Calculation-sheet'!R16</f>
        <v>955.63187961600863</v>
      </c>
      <c r="S30" s="2">
        <f>S8/'Output-Calculation-sheet'!S7*'Output-Calculation-sheet'!S16</f>
        <v>961.08544845337781</v>
      </c>
      <c r="T30" s="2">
        <f>T8/'Output-Calculation-sheet'!T7*'Output-Calculation-sheet'!T16</f>
        <v>286.8669537780732</v>
      </c>
      <c r="U30" s="2">
        <f>U8/'Output-Calculation-sheet'!U7*'Output-Calculation-sheet'!U16</f>
        <v>286.35418637248279</v>
      </c>
      <c r="V30" s="2">
        <f>V8/'Output-Calculation-sheet'!V7*'Output-Calculation-sheet'!V16</f>
        <v>222.86402009816803</v>
      </c>
      <c r="W30" s="2">
        <f>W8/'Output-Calculation-sheet'!W7*'Output-Calculation-sheet'!W16</f>
        <v>135.17826332995335</v>
      </c>
      <c r="X30" s="2">
        <f>X8/'Output-Calculation-sheet'!X7*'Output-Calculation-sheet'!X16</f>
        <v>0</v>
      </c>
      <c r="Y30" s="2">
        <f>Y8/'Output-Calculation-sheet'!Y7*'Output-Calculation-sheet'!Y16</f>
        <v>114.41303185066688</v>
      </c>
      <c r="AA30" s="2">
        <f t="shared" si="1"/>
        <v>39.208777177616327</v>
      </c>
    </row>
    <row r="31" spans="1:27" x14ac:dyDescent="0.25">
      <c r="A31" s="2">
        <v>2032</v>
      </c>
      <c r="B31" s="2">
        <f>B9/'Output-Calculation-sheet'!B8*'Output-Calculation-sheet'!B17</f>
        <v>24343.603736460325</v>
      </c>
      <c r="C31" s="2">
        <f>C9/'Output-Calculation-sheet'!C8*'Output-Calculation-sheet'!C17</f>
        <v>0</v>
      </c>
      <c r="D31" s="2">
        <f>D9/'Output-Calculation-sheet'!D8*'Output-Calculation-sheet'!D17</f>
        <v>4082.7419693459619</v>
      </c>
      <c r="E31" s="2">
        <f>E9/'Output-Calculation-sheet'!E8*'Output-Calculation-sheet'!E17</f>
        <v>4798.7053672265829</v>
      </c>
      <c r="F31" s="2">
        <f>F9/'Output-Calculation-sheet'!F8*'Output-Calculation-sheet'!F17</f>
        <v>2216.2448015080727</v>
      </c>
      <c r="G31" s="2">
        <f>G9/'Output-Calculation-sheet'!G8*'Output-Calculation-sheet'!G17</f>
        <v>1451.3636713670423</v>
      </c>
      <c r="H31" s="2">
        <f>H9/'Output-Calculation-sheet'!H8*'Output-Calculation-sheet'!H17</f>
        <v>0</v>
      </c>
      <c r="I31" s="2">
        <f>I9/'Output-Calculation-sheet'!I8*'Output-Calculation-sheet'!I17</f>
        <v>1414.8688921458213</v>
      </c>
      <c r="J31" s="2">
        <f>J9/'Output-Calculation-sheet'!J8*'Output-Calculation-sheet'!J17</f>
        <v>1259.5060296551999</v>
      </c>
      <c r="K31" s="2">
        <f>K9/'Output-Calculation-sheet'!K8*'Output-Calculation-sheet'!K17</f>
        <v>1793.2021691807956</v>
      </c>
      <c r="L31" s="2">
        <f>L9/'Output-Calculation-sheet'!L8*'Output-Calculation-sheet'!L17</f>
        <v>1529.2862133401188</v>
      </c>
      <c r="M31" s="2">
        <f>M9/'Output-Calculation-sheet'!M8*'Output-Calculation-sheet'!M17</f>
        <v>0</v>
      </c>
      <c r="N31" s="2">
        <f>N9/'Output-Calculation-sheet'!N8*'Output-Calculation-sheet'!N17</f>
        <v>1662.4905231108182</v>
      </c>
      <c r="O31" s="2">
        <f>O9/'Output-Calculation-sheet'!O8*'Output-Calculation-sheet'!O17</f>
        <v>0</v>
      </c>
      <c r="P31" s="2">
        <f>P9/'Output-Calculation-sheet'!P8*'Output-Calculation-sheet'!P17</f>
        <v>2063.4087761072956</v>
      </c>
      <c r="Q31" s="2">
        <f>Q9/'Output-Calculation-sheet'!Q8*'Output-Calculation-sheet'!Q17</f>
        <v>2199.7833350344163</v>
      </c>
      <c r="R31" s="2">
        <f>R9/'Output-Calculation-sheet'!R8*'Output-Calculation-sheet'!R17</f>
        <v>1439.2145149809037</v>
      </c>
      <c r="S31" s="2">
        <f>S9/'Output-Calculation-sheet'!S8*'Output-Calculation-sheet'!S17</f>
        <v>1242.7854167015114</v>
      </c>
      <c r="T31" s="2">
        <f>T9/'Output-Calculation-sheet'!T8*'Output-Calculation-sheet'!T17</f>
        <v>390.54137364644072</v>
      </c>
      <c r="U31" s="2">
        <f>U9/'Output-Calculation-sheet'!U8*'Output-Calculation-sheet'!U17</f>
        <v>448.85654351958607</v>
      </c>
      <c r="V31" s="2">
        <f>V9/'Output-Calculation-sheet'!V8*'Output-Calculation-sheet'!V17</f>
        <v>321.4946443669624</v>
      </c>
      <c r="W31" s="2">
        <f>W9/'Output-Calculation-sheet'!W8*'Output-Calculation-sheet'!W17</f>
        <v>178.98365395290605</v>
      </c>
      <c r="X31" s="2">
        <f>X9/'Output-Calculation-sheet'!X8*'Output-Calculation-sheet'!X17</f>
        <v>0</v>
      </c>
      <c r="Y31" s="2">
        <f>Y9/'Output-Calculation-sheet'!Y8*'Output-Calculation-sheet'!Y17</f>
        <v>172.93698698448748</v>
      </c>
      <c r="AA31" s="2">
        <f t="shared" si="1"/>
        <v>53.010018618635243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1632.4379074143355</v>
      </c>
      <c r="O32" s="2">
        <f>O10/'Output-Calculation-sheet'!O9*'Output-Calculation-sheet'!O18</f>
        <v>0</v>
      </c>
      <c r="P32" s="2">
        <f>P10/'Output-Calculation-sheet'!P9*'Output-Calculation-sheet'!P18</f>
        <v>2627.4769513544211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1886.4399527067919</v>
      </c>
      <c r="S32" s="2">
        <f>S10/'Output-Calculation-sheet'!S9*'Output-Calculation-sheet'!S18</f>
        <v>1234.6696223171405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608.97274675693097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64.349035996950604</v>
      </c>
    </row>
    <row r="33" spans="1:27" x14ac:dyDescent="0.25">
      <c r="A33" s="2">
        <v>2034</v>
      </c>
      <c r="B33" s="2">
        <f>B11/'Output-Calculation-sheet'!B10*'Output-Calculation-sheet'!B19</f>
        <v>24821.298248107403</v>
      </c>
      <c r="C33" s="2">
        <f>C11/'Output-Calculation-sheet'!C10*'Output-Calculation-sheet'!C19</f>
        <v>0</v>
      </c>
      <c r="D33" s="2">
        <f>D11/'Output-Calculation-sheet'!D10*'Output-Calculation-sheet'!D19</f>
        <v>7416.6128660423201</v>
      </c>
      <c r="E33" s="2">
        <f>E11/'Output-Calculation-sheet'!E10*'Output-Calculation-sheet'!E19</f>
        <v>9158.5173414625424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2520.3811856625689</v>
      </c>
      <c r="H33" s="2">
        <f>H11/'Output-Calculation-sheet'!H10*'Output-Calculation-sheet'!H19</f>
        <v>0</v>
      </c>
      <c r="I33" s="2">
        <f>I11/'Output-Calculation-sheet'!I10*'Output-Calculation-sheet'!I19</f>
        <v>2753.9137970859006</v>
      </c>
      <c r="J33" s="2">
        <f>J11/'Output-Calculation-sheet'!J10*'Output-Calculation-sheet'!J19</f>
        <v>2325.6868472155629</v>
      </c>
      <c r="K33" s="2">
        <f>K11/'Output-Calculation-sheet'!K10*'Output-Calculation-sheet'!K19</f>
        <v>3226.6989385294819</v>
      </c>
      <c r="L33" s="2">
        <f>L11/'Output-Calculation-sheet'!L10*'Output-Calculation-sheet'!L19</f>
        <v>2626.7921157941537</v>
      </c>
      <c r="M33" s="2">
        <f>M11/'Output-Calculation-sheet'!M10*'Output-Calculation-sheet'!M19</f>
        <v>0</v>
      </c>
      <c r="N33" s="2">
        <f>N11/'Output-Calculation-sheet'!N10*'Output-Calculation-sheet'!N19</f>
        <v>1483.759852037969</v>
      </c>
      <c r="O33" s="2">
        <f>O11/'Output-Calculation-sheet'!O10*'Output-Calculation-sheet'!O19</f>
        <v>0</v>
      </c>
      <c r="P33" s="2">
        <f>P11/'Output-Calculation-sheet'!P10*'Output-Calculation-sheet'!P19</f>
        <v>3267.1558505013923</v>
      </c>
      <c r="Q33" s="2">
        <f>Q11/'Output-Calculation-sheet'!Q10*'Output-Calculation-sheet'!Q19</f>
        <v>2661.4538936226463</v>
      </c>
      <c r="R33" s="2">
        <f>R11/'Output-Calculation-sheet'!R10*'Output-Calculation-sheet'!R19</f>
        <v>2330.8628732265975</v>
      </c>
      <c r="S33" s="2">
        <f>S11/'Output-Calculation-sheet'!S10*'Output-Calculation-sheet'!S19</f>
        <v>1089.4855985201002</v>
      </c>
      <c r="T33" s="2">
        <f>T11/'Output-Calculation-sheet'!T10*'Output-Calculation-sheet'!T19</f>
        <v>683.98677365175411</v>
      </c>
      <c r="U33" s="2">
        <f>U11/'Output-Calculation-sheet'!U10*'Output-Calculation-sheet'!U19</f>
        <v>732.87715454515694</v>
      </c>
      <c r="V33" s="2">
        <f>V11/'Output-Calculation-sheet'!V10*'Output-Calculation-sheet'!V19</f>
        <v>536.35430221695049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86.399547723887011</v>
      </c>
      <c r="Y33" s="2">
        <f>Y11/'Output-Calculation-sheet'!Y10*'Output-Calculation-sheet'!Y19</f>
        <v>301.01736904861735</v>
      </c>
      <c r="AA33" s="2">
        <f t="shared" si="1"/>
        <v>72.565780681551843</v>
      </c>
    </row>
    <row r="34" spans="1:27" x14ac:dyDescent="0.25">
      <c r="A34" s="2">
        <v>2035</v>
      </c>
      <c r="B34" s="2">
        <f>B12/'Output-Calculation-sheet'!B11*'Output-Calculation-sheet'!B20</f>
        <v>21935.795581214479</v>
      </c>
      <c r="C34" s="2">
        <f>C12/'Output-Calculation-sheet'!C11*'Output-Calculation-sheet'!C20</f>
        <v>0</v>
      </c>
      <c r="D34" s="2">
        <f>D12/'Output-Calculation-sheet'!D11*'Output-Calculation-sheet'!D20</f>
        <v>7060.1827372897969</v>
      </c>
      <c r="E34" s="2">
        <f>E12/'Output-Calculation-sheet'!E11*'Output-Calculation-sheet'!E20</f>
        <v>7844.851326736225</v>
      </c>
      <c r="F34" s="2">
        <f>F12/'Output-Calculation-sheet'!F11*'Output-Calculation-sheet'!F20</f>
        <v>4387.933710655092</v>
      </c>
      <c r="G34" s="2">
        <f>G12/'Output-Calculation-sheet'!G11*'Output-Calculation-sheet'!G20</f>
        <v>2368.5525967862081</v>
      </c>
      <c r="H34" s="2">
        <f>H12/'Output-Calculation-sheet'!H11*'Output-Calculation-sheet'!H20</f>
        <v>0</v>
      </c>
      <c r="I34" s="2">
        <f>I12/'Output-Calculation-sheet'!I11*'Output-Calculation-sheet'!I20</f>
        <v>2633.2697888584612</v>
      </c>
      <c r="J34" s="2">
        <f>J12/'Output-Calculation-sheet'!J11*'Output-Calculation-sheet'!J20</f>
        <v>2440.7816407644686</v>
      </c>
      <c r="K34" s="2">
        <f>K12/'Output-Calculation-sheet'!K11*'Output-Calculation-sheet'!K20</f>
        <v>3245.9936341785146</v>
      </c>
      <c r="L34" s="2">
        <f>L12/'Output-Calculation-sheet'!L11*'Output-Calculation-sheet'!L20</f>
        <v>2590.4390043209228</v>
      </c>
      <c r="M34" s="2">
        <f>M12/'Output-Calculation-sheet'!M11*'Output-Calculation-sheet'!M20</f>
        <v>0</v>
      </c>
      <c r="N34" s="2">
        <f>N12/'Output-Calculation-sheet'!N11*'Output-Calculation-sheet'!N20</f>
        <v>1389.1449473600344</v>
      </c>
      <c r="O34" s="2">
        <f>O12/'Output-Calculation-sheet'!O11*'Output-Calculation-sheet'!O20</f>
        <v>0</v>
      </c>
      <c r="P34" s="2">
        <f>P12/'Output-Calculation-sheet'!P11*'Output-Calculation-sheet'!P20</f>
        <v>2958.7679728267981</v>
      </c>
      <c r="Q34" s="2">
        <f>Q12/'Output-Calculation-sheet'!Q11*'Output-Calculation-sheet'!Q20</f>
        <v>2467.5848989965593</v>
      </c>
      <c r="R34" s="2">
        <f>R12/'Output-Calculation-sheet'!R11*'Output-Calculation-sheet'!R20</f>
        <v>2485.7169898399256</v>
      </c>
      <c r="S34" s="2">
        <f>S12/'Output-Calculation-sheet'!S11*'Output-Calculation-sheet'!S20</f>
        <v>949.53578048784846</v>
      </c>
      <c r="T34" s="2">
        <f>T12/'Output-Calculation-sheet'!T11*'Output-Calculation-sheet'!T20</f>
        <v>753.94409489237955</v>
      </c>
      <c r="U34" s="2">
        <f>U12/'Output-Calculation-sheet'!U11*'Output-Calculation-sheet'!U20</f>
        <v>693.96917442364486</v>
      </c>
      <c r="V34" s="2">
        <f>V12/'Output-Calculation-sheet'!V11*'Output-Calculation-sheet'!V20</f>
        <v>683.26320506497461</v>
      </c>
      <c r="W34" s="2">
        <f>W12/'Output-Calculation-sheet'!W11*'Output-Calculation-sheet'!W20</f>
        <v>370.72413091896902</v>
      </c>
      <c r="X34" s="2">
        <f>X12/'Output-Calculation-sheet'!X11*'Output-Calculation-sheet'!X20</f>
        <v>78.269780748629245</v>
      </c>
      <c r="Y34" s="2">
        <f>Y12/'Output-Calculation-sheet'!Y11*'Output-Calculation-sheet'!Y20</f>
        <v>269.0688820954453</v>
      </c>
      <c r="AA34" s="2">
        <f t="shared" si="1"/>
        <v>67.607789878459371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0.99820678836432708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0.19392472494273463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1.1921315133070618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1.0573297558397052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0.20541072698069743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1.2627404828204027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1.0728308283094701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0.20842216834741292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1.2812529966568831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1.0509629695759066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0.32351913331860349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0.20417383169069495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0.19169530492685621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6.1162515093812521E-2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1.8559349299518102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0.99740231467402884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0.19376843734688448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8.3600372755147436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6309.0364002114575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1776.3273413135773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239.15630148494932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9.7383124283294684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11995.99386016779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6684.6689604593057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4562.6119708402093</v>
      </c>
      <c r="N52" s="2">
        <f>N8/'Output-Calculation-sheet'!N7*'Output-Calculation-sheet'!N43</f>
        <v>145.83139638120196</v>
      </c>
      <c r="O52" s="2">
        <f>O8/'Output-Calculation-sheet'!O7*'Output-Calculation-sheet'!O43</f>
        <v>561.36104588686339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588.02075892927974</v>
      </c>
      <c r="Y52" s="2">
        <f>Y8/'Output-Calculation-sheet'!Y7*'Output-Calculation-sheet'!Y43</f>
        <v>0</v>
      </c>
      <c r="AA52" s="2">
        <f t="shared" si="3"/>
        <v>24.538487992664649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15952.694561792041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12533.797673303201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8565.5420853765554</v>
      </c>
      <c r="N53" s="2">
        <f>N9/'Output-Calculation-sheet'!N8*'Output-Calculation-sheet'!N44</f>
        <v>3050.7601845682311</v>
      </c>
      <c r="O53" s="2">
        <f>O9/'Output-Calculation-sheet'!O8*'Output-Calculation-sheet'!O44</f>
        <v>1189.219998309301</v>
      </c>
      <c r="P53" s="2">
        <f>P9/'Output-Calculation-sheet'!P8*'Output-Calculation-sheet'!P44</f>
        <v>142.70140312126321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940.80814032069384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1071.1274266675034</v>
      </c>
      <c r="Y53" s="2">
        <f>Y9/'Output-Calculation-sheet'!Y8*'Output-Calculation-sheet'!Y44</f>
        <v>0</v>
      </c>
      <c r="AA53" s="2">
        <f t="shared" si="3"/>
        <v>43.446651473458786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22868.236077122914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2029.3737444353362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454.5717136199122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97.554807583414842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32450.786429010448</v>
      </c>
      <c r="D55" s="2">
        <f>D11/'Output-Calculation-sheet'!D10*'Output-Calculation-sheet'!D46</f>
        <v>6451.5009845773229</v>
      </c>
      <c r="E55" s="2">
        <f>E11/'Output-Calculation-sheet'!E10*'Output-Calculation-sheet'!E46</f>
        <v>8047.7922129721737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21113.880279740435</v>
      </c>
      <c r="I55" s="2">
        <f>I11/'Output-Calculation-sheet'!I10*'Output-Calculation-sheet'!I46</f>
        <v>1554.5883830196824</v>
      </c>
      <c r="J55" s="2">
        <f>J11/'Output-Calculation-sheet'!J10*'Output-Calculation-sheet'!J46</f>
        <v>1147.3798721490452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14918.964554266509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3259.6173129567087</v>
      </c>
      <c r="P55" s="2">
        <f>P11/'Output-Calculation-sheet'!P10*'Output-Calculation-sheet'!P46</f>
        <v>4184.3424361986672</v>
      </c>
      <c r="Q55" s="2">
        <f>Q11/'Output-Calculation-sheet'!Q10*'Output-Calculation-sheet'!Q46</f>
        <v>3262.1832592815881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5588.8546188309583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997.91471995167797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1501.6880629387283</v>
      </c>
      <c r="Y55" s="2">
        <f>Y11/'Output-Calculation-sheet'!Y10*'Output-Calculation-sheet'!Y46</f>
        <v>394.84872357367175</v>
      </c>
      <c r="AA55" s="2">
        <f t="shared" si="3"/>
        <v>199.00300297641272</v>
      </c>
    </row>
    <row r="56" spans="1:27" x14ac:dyDescent="0.25">
      <c r="A56" s="2">
        <v>2035</v>
      </c>
      <c r="B56" s="2">
        <f>B12/'Output-Calculation-sheet'!B11*'Output-Calculation-sheet'!B47</f>
        <v>68389.79268914822</v>
      </c>
      <c r="C56" s="2">
        <f>C12/'Output-Calculation-sheet'!C11*'Output-Calculation-sheet'!C47</f>
        <v>51007.504338154278</v>
      </c>
      <c r="D56" s="2">
        <f>D12/'Output-Calculation-sheet'!D11*'Output-Calculation-sheet'!D47</f>
        <v>6975.2398168534473</v>
      </c>
      <c r="E56" s="2">
        <f>E12/'Output-Calculation-sheet'!E11*'Output-Calculation-sheet'!E47</f>
        <v>17554.274584025505</v>
      </c>
      <c r="F56" s="2">
        <f>F12/'Output-Calculation-sheet'!F11*'Output-Calculation-sheet'!F47</f>
        <v>968.45920638448763</v>
      </c>
      <c r="G56" s="2">
        <f>G12/'Output-Calculation-sheet'!G11*'Output-Calculation-sheet'!G47</f>
        <v>2585.5740017033754</v>
      </c>
      <c r="H56" s="2">
        <f>H12/'Output-Calculation-sheet'!H11*'Output-Calculation-sheet'!H47</f>
        <v>20226.373090104091</v>
      </c>
      <c r="I56" s="2">
        <f>I12/'Output-Calculation-sheet'!I11*'Output-Calculation-sheet'!I47</f>
        <v>1650.4041219757696</v>
      </c>
      <c r="J56" s="2">
        <f>J12/'Output-Calculation-sheet'!J11*'Output-Calculation-sheet'!J47</f>
        <v>2697.5158562988163</v>
      </c>
      <c r="K56" s="2">
        <f>K12/'Output-Calculation-sheet'!K11*'Output-Calculation-sheet'!K47</f>
        <v>3711.139503315987</v>
      </c>
      <c r="L56" s="2">
        <f>L12/'Output-Calculation-sheet'!L11*'Output-Calculation-sheet'!L47</f>
        <v>3986.6737848836565</v>
      </c>
      <c r="M56" s="2">
        <f>M12/'Output-Calculation-sheet'!M11*'Output-Calculation-sheet'!M47</f>
        <v>14214.240039403572</v>
      </c>
      <c r="N56" s="2">
        <f>N12/'Output-Calculation-sheet'!N11*'Output-Calculation-sheet'!N47</f>
        <v>11365.681712308882</v>
      </c>
      <c r="O56" s="2">
        <f>O12/'Output-Calculation-sheet'!O11*'Output-Calculation-sheet'!O47</f>
        <v>5626.083575598137</v>
      </c>
      <c r="P56" s="2">
        <f>P12/'Output-Calculation-sheet'!P11*'Output-Calculation-sheet'!P47</f>
        <v>4930.2142656209226</v>
      </c>
      <c r="Q56" s="2">
        <f>Q12/'Output-Calculation-sheet'!Q11*'Output-Calculation-sheet'!Q47</f>
        <v>3590.6419507341966</v>
      </c>
      <c r="R56" s="2">
        <f>R12/'Output-Calculation-sheet'!R11*'Output-Calculation-sheet'!R47</f>
        <v>4177.9947877208615</v>
      </c>
      <c r="S56" s="2">
        <f>S12/'Output-Calculation-sheet'!S11*'Output-Calculation-sheet'!S47</f>
        <v>5293.5865400013099</v>
      </c>
      <c r="T56" s="2">
        <f>T12/'Output-Calculation-sheet'!T11*'Output-Calculation-sheet'!T47</f>
        <v>1370.0622676463213</v>
      </c>
      <c r="U56" s="2">
        <f>U12/'Output-Calculation-sheet'!U11*'Output-Calculation-sheet'!U47</f>
        <v>957.240999542498</v>
      </c>
      <c r="V56" s="2">
        <f>V12/'Output-Calculation-sheet'!V11*'Output-Calculation-sheet'!V47</f>
        <v>942.28037566135288</v>
      </c>
      <c r="W56" s="2">
        <f>W12/'Output-Calculation-sheet'!W11*'Output-Calculation-sheet'!W47</f>
        <v>336.57687686601679</v>
      </c>
      <c r="X56" s="2">
        <f>X12/'Output-Calculation-sheet'!X11*'Output-Calculation-sheet'!X47</f>
        <v>1435.3220917045182</v>
      </c>
      <c r="Y56" s="2">
        <f>Y12/'Output-Calculation-sheet'!Y11*'Output-Calculation-sheet'!Y47</f>
        <v>437.50718728423948</v>
      </c>
      <c r="AA56" s="2">
        <f t="shared" si="3"/>
        <v>234.43038366294047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3.8346552478041174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1.1490538927784513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0.96488664996288953</v>
      </c>
      <c r="N62" s="2">
        <f>N7*'Output-Calculation-sheet'!N51/10^9</f>
        <v>0.82427541372399371</v>
      </c>
      <c r="O62" s="2">
        <f>O7*'Output-Calculation-sheet'!O51/10^9</f>
        <v>0.79634445667324827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0.10062627058957395</v>
      </c>
      <c r="Y62" s="2">
        <f>Y7*'Output-Calculation-sheet'!Y51/10^9</f>
        <v>6.4346635955916262E-2</v>
      </c>
      <c r="AA62" s="2">
        <f t="shared" si="4"/>
        <v>27.958603442408169</v>
      </c>
    </row>
    <row r="63" spans="1:27" x14ac:dyDescent="0.25">
      <c r="A63" s="2">
        <v>2031</v>
      </c>
      <c r="B63" s="2">
        <f>B8*'Output-Calculation-sheet'!B52/10^9</f>
        <v>7.1319255727389264</v>
      </c>
      <c r="C63" s="2">
        <f>C8*'Output-Calculation-sheet'!C52/10^9</f>
        <v>4.4705560949704743</v>
      </c>
      <c r="D63" s="2">
        <f>D8*'Output-Calculation-sheet'!D52/10^9</f>
        <v>2.4456735636341373</v>
      </c>
      <c r="E63" s="2">
        <f>E8*'Output-Calculation-sheet'!E52/10^9</f>
        <v>2.4316677672696132</v>
      </c>
      <c r="F63" s="2">
        <f>F8*'Output-Calculation-sheet'!F52/10^9</f>
        <v>1.0298119183473555</v>
      </c>
      <c r="G63" s="2">
        <f>G8*'Output-Calculation-sheet'!G52/10^9</f>
        <v>0.74038734797605565</v>
      </c>
      <c r="H63" s="2">
        <f>H8*'Output-Calculation-sheet'!H52/10^9</f>
        <v>1.2933037039225923</v>
      </c>
      <c r="I63" s="2">
        <f>I8*'Output-Calculation-sheet'!I52/10^9</f>
        <v>0.68873221772310267</v>
      </c>
      <c r="J63" s="2">
        <f>J8*'Output-Calculation-sheet'!J52/10^9</f>
        <v>0.94774314083705546</v>
      </c>
      <c r="K63" s="2">
        <f>K8*'Output-Calculation-sheet'!K52/10^9</f>
        <v>0.83267448764380558</v>
      </c>
      <c r="L63" s="2">
        <f>L8*'Output-Calculation-sheet'!L52/10^9</f>
        <v>1.1199856715233194</v>
      </c>
      <c r="M63" s="2">
        <f>M8*'Output-Calculation-sheet'!M52/10^9</f>
        <v>1.0497571347304806</v>
      </c>
      <c r="N63" s="2">
        <f>N8*'Output-Calculation-sheet'!N52/10^9</f>
        <v>0.87610399237834791</v>
      </c>
      <c r="O63" s="2">
        <f>O8*'Output-Calculation-sheet'!O52/10^9</f>
        <v>0.91790764200689967</v>
      </c>
      <c r="P63" s="2">
        <f>P8*'Output-Calculation-sheet'!P52/10^9</f>
        <v>0.57535666670928332</v>
      </c>
      <c r="Q63" s="2">
        <f>Q8*'Output-Calculation-sheet'!Q52/10^9</f>
        <v>0.65113158964340412</v>
      </c>
      <c r="R63" s="2">
        <f>R8*'Output-Calculation-sheet'!R52/10^9</f>
        <v>0.5845875718815795</v>
      </c>
      <c r="S63" s="2">
        <f>S8*'Output-Calculation-sheet'!S52/10^9</f>
        <v>0.4332026825638996</v>
      </c>
      <c r="T63" s="2">
        <f>T8*'Output-Calculation-sheet'!T52/10^9</f>
        <v>0.22225275118844967</v>
      </c>
      <c r="U63" s="2">
        <f>U8*'Output-Calculation-sheet'!U52/10^9</f>
        <v>0.15264071829760287</v>
      </c>
      <c r="V63" s="2">
        <f>V8*'Output-Calculation-sheet'!V52/10^9</f>
        <v>0.27090141048385141</v>
      </c>
      <c r="W63" s="2">
        <f>W8*'Output-Calculation-sheet'!W52/10^9</f>
        <v>9.8053808196590958E-2</v>
      </c>
      <c r="X63" s="2">
        <f>X8*'Output-Calculation-sheet'!X52/10^9</f>
        <v>0.11286576910264567</v>
      </c>
      <c r="Y63" s="2">
        <f>Y8*'Output-Calculation-sheet'!Y52/10^9</f>
        <v>6.3977320433141319E-2</v>
      </c>
      <c r="AA63" s="2">
        <f t="shared" si="4"/>
        <v>29.141200544202622</v>
      </c>
    </row>
    <row r="64" spans="1:27" x14ac:dyDescent="0.25">
      <c r="A64" s="2">
        <v>2032</v>
      </c>
      <c r="B64" s="2">
        <f>B9*'Output-Calculation-sheet'!B53/10^9</f>
        <v>7.2082968916856993</v>
      </c>
      <c r="C64" s="2">
        <f>C9*'Output-Calculation-sheet'!C53/10^9</f>
        <v>4.8094618321364093</v>
      </c>
      <c r="D64" s="2">
        <f>D9*'Output-Calculation-sheet'!D53/10^9</f>
        <v>2.1332217572769161</v>
      </c>
      <c r="E64" s="2">
        <f>E9*'Output-Calculation-sheet'!E53/10^9</f>
        <v>2.1845230845588235</v>
      </c>
      <c r="F64" s="2">
        <f>F9*'Output-Calculation-sheet'!F53/10^9</f>
        <v>0.9214189125491391</v>
      </c>
      <c r="G64" s="2">
        <f>G9*'Output-Calculation-sheet'!G53/10^9</f>
        <v>0.65583709805081847</v>
      </c>
      <c r="H64" s="2">
        <f>H9*'Output-Calculation-sheet'!H53/10^9</f>
        <v>1.3475693465236163</v>
      </c>
      <c r="I64" s="2">
        <f>I9*'Output-Calculation-sheet'!I53/10^9</f>
        <v>0.61310060100519226</v>
      </c>
      <c r="J64" s="2">
        <f>J9*'Output-Calculation-sheet'!J53/10^9</f>
        <v>0.81162141556677381</v>
      </c>
      <c r="K64" s="2">
        <f>K9*'Output-Calculation-sheet'!K53/10^9</f>
        <v>0.75307231545683861</v>
      </c>
      <c r="L64" s="2">
        <f>L9*'Output-Calculation-sheet'!L53/10^9</f>
        <v>0.9688212956023613</v>
      </c>
      <c r="M64" s="2">
        <f>M9*'Output-Calculation-sheet'!M53/10^9</f>
        <v>1.0561580453050643</v>
      </c>
      <c r="N64" s="2">
        <f>N9*'Output-Calculation-sheet'!N53/10^9</f>
        <v>0.88910875330036698</v>
      </c>
      <c r="O64" s="2">
        <f>O9*'Output-Calculation-sheet'!O53/10^9</f>
        <v>0.97893674754775439</v>
      </c>
      <c r="P64" s="2">
        <f>P9*'Output-Calculation-sheet'!P53/10^9</f>
        <v>0.57415681180492706</v>
      </c>
      <c r="Q64" s="2">
        <f>Q9*'Output-Calculation-sheet'!Q53/10^9</f>
        <v>0.63453962988133716</v>
      </c>
      <c r="R64" s="2">
        <f>R9*'Output-Calculation-sheet'!R53/10^9</f>
        <v>0.54394956923935667</v>
      </c>
      <c r="S64" s="2">
        <f>S9*'Output-Calculation-sheet'!S53/10^9</f>
        <v>0.44942391322488284</v>
      </c>
      <c r="T64" s="2">
        <f>T9*'Output-Calculation-sheet'!T53/10^9</f>
        <v>0.19553571188242205</v>
      </c>
      <c r="U64" s="2">
        <f>U9*'Output-Calculation-sheet'!U53/10^9</f>
        <v>0.14717558283465074</v>
      </c>
      <c r="V64" s="2">
        <f>V9*'Output-Calculation-sheet'!V53/10^9</f>
        <v>0.23208774808516372</v>
      </c>
      <c r="W64" s="2">
        <f>W9*'Output-Calculation-sheet'!W53/10^9</f>
        <v>8.6239623979129112E-2</v>
      </c>
      <c r="X64" s="2">
        <f>X9*'Output-Calculation-sheet'!X53/10^9</f>
        <v>0.11705899896362788</v>
      </c>
      <c r="Y64" s="2">
        <f>Y9*'Output-Calculation-sheet'!Y53/10^9</f>
        <v>6.0422285006682452E-2</v>
      </c>
      <c r="AA64" s="2">
        <f t="shared" si="4"/>
        <v>28.371737971467951</v>
      </c>
    </row>
    <row r="65" spans="1:27" x14ac:dyDescent="0.25">
      <c r="A65" s="2">
        <v>2033</v>
      </c>
      <c r="B65" s="2">
        <f>B10*'Output-Calculation-sheet'!B54/10^9</f>
        <v>7.2757958302907895</v>
      </c>
      <c r="C65" s="2">
        <f>C10*'Output-Calculation-sheet'!C54/10^9</f>
        <v>4.9190812230144028</v>
      </c>
      <c r="D65" s="2">
        <f>D10*'Output-Calculation-sheet'!D54/10^9</f>
        <v>1.7189049267851624</v>
      </c>
      <c r="E65" s="2">
        <f>E10*'Output-Calculation-sheet'!E54/10^9</f>
        <v>1.9354672910005812</v>
      </c>
      <c r="F65" s="2">
        <f>F10*'Output-Calculation-sheet'!F54/10^9</f>
        <v>0.78576659846090036</v>
      </c>
      <c r="G65" s="2">
        <f>G10*'Output-Calculation-sheet'!G54/10^9</f>
        <v>0.53949984613263602</v>
      </c>
      <c r="H65" s="2">
        <f>H10*'Output-Calculation-sheet'!H54/10^9</f>
        <v>1.3332742210186199</v>
      </c>
      <c r="I65" s="2">
        <f>I10*'Output-Calculation-sheet'!I54/10^9</f>
        <v>0.52532551080760992</v>
      </c>
      <c r="J65" s="2">
        <f>J10*'Output-Calculation-sheet'!J54/10^9</f>
        <v>0.62788115273642775</v>
      </c>
      <c r="K65" s="2">
        <f>K10*'Output-Calculation-sheet'!K54/10^9</f>
        <v>0.66986601729784112</v>
      </c>
      <c r="L65" s="2">
        <f>L10*'Output-Calculation-sheet'!L54/10^9</f>
        <v>0.79125264753704161</v>
      </c>
      <c r="M65" s="2">
        <f>M10*'Output-Calculation-sheet'!M54/10^9</f>
        <v>1.0066810200272966</v>
      </c>
      <c r="N65" s="2">
        <f>N10*'Output-Calculation-sheet'!N54/10^9</f>
        <v>0.86933813659303161</v>
      </c>
      <c r="O65" s="2">
        <f>O10*'Output-Calculation-sheet'!O54/10^9</f>
        <v>0.99501558604249773</v>
      </c>
      <c r="P65" s="2">
        <f>P10*'Output-Calculation-sheet'!P54/10^9</f>
        <v>0.56678265186169419</v>
      </c>
      <c r="Q65" s="2">
        <f>Q10*'Output-Calculation-sheet'!Q54/10^9</f>
        <v>0.61848196727048044</v>
      </c>
      <c r="R65" s="2">
        <f>R10*'Output-Calculation-sheet'!R54/10^9</f>
        <v>0.49899072681070411</v>
      </c>
      <c r="S65" s="2">
        <f>S10*'Output-Calculation-sheet'!S54/10^9</f>
        <v>0.45325296163693263</v>
      </c>
      <c r="T65" s="2">
        <f>T10*'Output-Calculation-sheet'!T54/10^9</f>
        <v>0.16683459806129458</v>
      </c>
      <c r="U65" s="2">
        <f>U10*'Output-Calculation-sheet'!U54/10^9</f>
        <v>0.14405990552333822</v>
      </c>
      <c r="V65" s="2">
        <f>V10*'Output-Calculation-sheet'!V54/10^9</f>
        <v>0.18462766565455035</v>
      </c>
      <c r="W65" s="2">
        <f>W10*'Output-Calculation-sheet'!W54/10^9</f>
        <v>7.0294696471773055E-2</v>
      </c>
      <c r="X65" s="2">
        <f>X10*'Output-Calculation-sheet'!X54/10^9</f>
        <v>0.11578285474043738</v>
      </c>
      <c r="Y65" s="2">
        <f>Y10*'Output-Calculation-sheet'!Y54/10^9</f>
        <v>5.7856303056009264E-2</v>
      </c>
      <c r="AA65" s="2">
        <f t="shared" si="4"/>
        <v>26.870114338832053</v>
      </c>
    </row>
    <row r="66" spans="1:27" x14ac:dyDescent="0.25">
      <c r="A66" s="2">
        <v>2034</v>
      </c>
      <c r="B66" s="2">
        <f>B11*'Output-Calculation-sheet'!B55/10^9</f>
        <v>7.3114147532832279</v>
      </c>
      <c r="C66" s="2">
        <f>C11*'Output-Calculation-sheet'!C55/10^9</f>
        <v>4.8226793335969793</v>
      </c>
      <c r="D66" s="2">
        <f>D11*'Output-Calculation-sheet'!D55/10^9</f>
        <v>1.5293238825684945</v>
      </c>
      <c r="E66" s="2">
        <f>E11*'Output-Calculation-sheet'!E55/10^9</f>
        <v>1.851909654500401</v>
      </c>
      <c r="F66" s="2">
        <f>F11*'Output-Calculation-sheet'!F55/10^9</f>
        <v>0.71171240070418051</v>
      </c>
      <c r="G66" s="2">
        <f>G11*'Output-Calculation-sheet'!G55/10^9</f>
        <v>0.5087188056572326</v>
      </c>
      <c r="H66" s="2">
        <f>H11*'Output-Calculation-sheet'!H55/10^9</f>
        <v>1.300568745374955</v>
      </c>
      <c r="I66" s="2">
        <f>I11*'Output-Calculation-sheet'!I55/10^9</f>
        <v>0.49746965208625471</v>
      </c>
      <c r="J66" s="2">
        <f>J11*'Output-Calculation-sheet'!J55/10^9</f>
        <v>0.51157057871356415</v>
      </c>
      <c r="K66" s="2">
        <f>K11*'Output-Calculation-sheet'!K55/10^9</f>
        <v>0.61186697868174955</v>
      </c>
      <c r="L66" s="2">
        <f>L11*'Output-Calculation-sheet'!L55/10^9</f>
        <v>0.64797175677202257</v>
      </c>
      <c r="M66" s="2">
        <f>M11*'Output-Calculation-sheet'!M55/10^9</f>
        <v>0.94223303488998544</v>
      </c>
      <c r="N66" s="2">
        <f>N11*'Output-Calculation-sheet'!N55/10^9</f>
        <v>0.82326040514154797</v>
      </c>
      <c r="O66" s="2">
        <f>O11*'Output-Calculation-sheet'!O55/10^9</f>
        <v>0.97155062178764284</v>
      </c>
      <c r="P66" s="2">
        <f>P11*'Output-Calculation-sheet'!P55/10^9</f>
        <v>0.56591508090304121</v>
      </c>
      <c r="Q66" s="2">
        <f>Q11*'Output-Calculation-sheet'!Q55/10^9</f>
        <v>0.61635846751368217</v>
      </c>
      <c r="R66" s="2">
        <f>R11*'Output-Calculation-sheet'!R55/10^9</f>
        <v>0.45834510629448216</v>
      </c>
      <c r="S66" s="2">
        <f>S11*'Output-Calculation-sheet'!S55/10^9</f>
        <v>0.45100046080899281</v>
      </c>
      <c r="T66" s="2">
        <f>T11*'Output-Calculation-sheet'!T55/10^9</f>
        <v>0.14367118559909667</v>
      </c>
      <c r="U66" s="2">
        <f>U11*'Output-Calculation-sheet'!U55/10^9</f>
        <v>0.14609464802403851</v>
      </c>
      <c r="V66" s="2">
        <f>V11*'Output-Calculation-sheet'!V55/10^9</f>
        <v>0.1362973061602718</v>
      </c>
      <c r="W66" s="2">
        <f>W11*'Output-Calculation-sheet'!W55/10^9</f>
        <v>6.1712351991975535E-2</v>
      </c>
      <c r="X66" s="2">
        <f>X11*'Output-Calculation-sheet'!X55/10^9</f>
        <v>0.11606992604875678</v>
      </c>
      <c r="Y66" s="2">
        <f>Y11*'Output-Calculation-sheet'!Y55/10^9</f>
        <v>6.0558358488364251E-2</v>
      </c>
      <c r="AA66" s="2">
        <f t="shared" si="4"/>
        <v>25.798273495590941</v>
      </c>
    </row>
    <row r="67" spans="1:27" x14ac:dyDescent="0.25">
      <c r="A67" s="2">
        <v>2035</v>
      </c>
      <c r="B67" s="2">
        <f>B12*'Output-Calculation-sheet'!B56/10^9</f>
        <v>7.2091273861188299</v>
      </c>
      <c r="C67" s="2">
        <f>C12*'Output-Calculation-sheet'!C56/10^9</f>
        <v>4.5466178778469466</v>
      </c>
      <c r="D67" s="2">
        <f>D12*'Output-Calculation-sheet'!D56/10^9</f>
        <v>1.5014021478626425</v>
      </c>
      <c r="E67" s="2">
        <f>E12*'Output-Calculation-sheet'!E56/10^9</f>
        <v>2.0372046728791089</v>
      </c>
      <c r="F67" s="2">
        <f>F12*'Output-Calculation-sheet'!F56/10^9</f>
        <v>0.74402828819643441</v>
      </c>
      <c r="G67" s="2">
        <f>G12*'Output-Calculation-sheet'!G56/10^9</f>
        <v>0.52121342379077529</v>
      </c>
      <c r="H67" s="2">
        <f>H12*'Output-Calculation-sheet'!H56/10^9</f>
        <v>1.2579399406526068</v>
      </c>
      <c r="I67" s="2">
        <f>I12*'Output-Calculation-sheet'!I56/10^9</f>
        <v>0.50627873737746831</v>
      </c>
      <c r="J67" s="2">
        <f>J12*'Output-Calculation-sheet'!J56/10^9</f>
        <v>0.50154406731355528</v>
      </c>
      <c r="K67" s="2">
        <f>K12*'Output-Calculation-sheet'!K56/10^9</f>
        <v>0.6040426005943248</v>
      </c>
      <c r="L67" s="2">
        <f>L12*'Output-Calculation-sheet'!L56/10^9</f>
        <v>0.60680415279100786</v>
      </c>
      <c r="M67" s="2">
        <f>M12*'Output-Calculation-sheet'!M56/10^9</f>
        <v>0.92040763264290915</v>
      </c>
      <c r="N67" s="2">
        <f>N12*'Output-Calculation-sheet'!N56/10^9</f>
        <v>0.79034600479087691</v>
      </c>
      <c r="O67" s="2">
        <f>O12*'Output-Calculation-sheet'!O56/10^9</f>
        <v>0.91424765594563173</v>
      </c>
      <c r="P67" s="2">
        <f>P12*'Output-Calculation-sheet'!P56/10^9</f>
        <v>0.58502528427209499</v>
      </c>
      <c r="Q67" s="2">
        <f>Q12*'Output-Calculation-sheet'!Q56/10^9</f>
        <v>0.60162110201371644</v>
      </c>
      <c r="R67" s="2">
        <f>R12*'Output-Calculation-sheet'!R56/10^9</f>
        <v>0.45803262999560879</v>
      </c>
      <c r="S67" s="2">
        <f>S12*'Output-Calculation-sheet'!S56/10^9</f>
        <v>0.43647835500066962</v>
      </c>
      <c r="T67" s="2">
        <f>T12*'Output-Calculation-sheet'!T56/10^9</f>
        <v>0.13890062778402543</v>
      </c>
      <c r="U67" s="2">
        <f>U12*'Output-Calculation-sheet'!U56/10^9</f>
        <v>0.14504872817788911</v>
      </c>
      <c r="V67" s="2">
        <f>V12*'Output-Calculation-sheet'!V56/10^9</f>
        <v>0.11142261150230913</v>
      </c>
      <c r="W67" s="2">
        <f>W12*'Output-Calculation-sheet'!W56/10^9</f>
        <v>6.7225619234008813E-2</v>
      </c>
      <c r="X67" s="2">
        <f>X12*'Output-Calculation-sheet'!X56/10^9</f>
        <v>0.11430337074767762</v>
      </c>
      <c r="Y67" s="2">
        <f>Y12*'Output-Calculation-sheet'!Y56/10^9</f>
        <v>6.4944010157662005E-2</v>
      </c>
      <c r="AA67" s="2">
        <f t="shared" si="4"/>
        <v>25.384206927688791</v>
      </c>
    </row>
    <row r="68" spans="1:27" x14ac:dyDescent="0.25">
      <c r="B68" s="2">
        <f>SUM(B60:B67)</f>
        <v>53.770617633347207</v>
      </c>
      <c r="C68" s="2">
        <f t="shared" ref="C68:Y68" si="5">SUM(C60:C67)</f>
        <v>32.881781790318598</v>
      </c>
      <c r="D68" s="2">
        <f t="shared" si="5"/>
        <v>16.255587658647052</v>
      </c>
      <c r="E68" s="2">
        <f t="shared" si="5"/>
        <v>17.269623437290321</v>
      </c>
      <c r="F68" s="2">
        <f t="shared" si="5"/>
        <v>7.0222793199326485</v>
      </c>
      <c r="G68" s="2">
        <f t="shared" si="5"/>
        <v>5.0249005048984916</v>
      </c>
      <c r="H68" s="2">
        <f t="shared" si="5"/>
        <v>9.4373049939183566</v>
      </c>
      <c r="I68" s="2">
        <f t="shared" si="5"/>
        <v>4.7351096644279975</v>
      </c>
      <c r="J68" s="2">
        <f t="shared" si="5"/>
        <v>6.1413686364123148</v>
      </c>
      <c r="K68" s="2">
        <f t="shared" si="5"/>
        <v>5.7787708848518751</v>
      </c>
      <c r="L68" s="2">
        <f t="shared" si="5"/>
        <v>7.3859209062951772</v>
      </c>
      <c r="M68" s="2">
        <f t="shared" si="5"/>
        <v>7.4669422380946422</v>
      </c>
      <c r="N68" s="2">
        <f t="shared" si="5"/>
        <v>6.4111242157678534</v>
      </c>
      <c r="O68" s="2">
        <f t="shared" si="5"/>
        <v>6.7202578590269813</v>
      </c>
      <c r="P68" s="2">
        <f t="shared" si="5"/>
        <v>4.3314484860938762</v>
      </c>
      <c r="Q68" s="2">
        <f t="shared" si="5"/>
        <v>4.7936043157102191</v>
      </c>
      <c r="R68" s="2">
        <f t="shared" si="5"/>
        <v>4.1475793929721103</v>
      </c>
      <c r="S68" s="2">
        <f t="shared" si="5"/>
        <v>3.2711352859260145</v>
      </c>
      <c r="T68" s="2">
        <f t="shared" si="5"/>
        <v>1.4951532914170282</v>
      </c>
      <c r="U68" s="2">
        <f t="shared" si="5"/>
        <v>1.1455277396455985</v>
      </c>
      <c r="V68" s="2">
        <f t="shared" si="5"/>
        <v>1.7302217963290205</v>
      </c>
      <c r="W68" s="2">
        <f t="shared" si="5"/>
        <v>0.65856630768939417</v>
      </c>
      <c r="X68" s="2">
        <f t="shared" si="5"/>
        <v>0.8296561324739945</v>
      </c>
      <c r="Y68" s="2">
        <f t="shared" si="5"/>
        <v>0.4811041308058191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1681.3582006563536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464.68723248763183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311.30835908314276</v>
      </c>
      <c r="N73" s="2">
        <f>N7/'Output-Calculation-sheet'!N6*'Output-Calculation-sheet'!N60</f>
        <v>0</v>
      </c>
      <c r="O73" s="2">
        <f>O7/'Output-Calculation-sheet'!O6*'Output-Calculation-sheet'!O60</f>
        <v>68.652805795023269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42.530894313390398</v>
      </c>
      <c r="Y73" s="2">
        <f>Y7/'Output-Calculation-sheet'!Y6*'Output-Calculation-sheet'!Y60</f>
        <v>0</v>
      </c>
      <c r="AA73" s="2">
        <f t="shared" si="6"/>
        <v>2.5685374923355422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2749.9721399447412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1438.9558566698388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965.28918708284027</v>
      </c>
      <c r="N74" s="2">
        <f>N8/'Output-Calculation-sheet'!N7*'Output-Calculation-sheet'!N61</f>
        <v>40.085405080282882</v>
      </c>
      <c r="O74" s="2">
        <f>O8/'Output-Calculation-sheet'!O7*'Output-Calculation-sheet'!O61</f>
        <v>155.97331605262576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120.59308775425424</v>
      </c>
      <c r="Y74" s="2">
        <f>Y8/'Output-Calculation-sheet'!Y7*'Output-Calculation-sheet'!Y61</f>
        <v>0</v>
      </c>
      <c r="AA74" s="2">
        <f t="shared" si="6"/>
        <v>5.4708689925845837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3520.629842273629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2386.33229414585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1618.9070998748971</v>
      </c>
      <c r="N75" s="2">
        <f>N9/'Output-Calculation-sheet'!N8*'Output-Calculation-sheet'!N62</f>
        <v>625.59892392411825</v>
      </c>
      <c r="O75" s="2">
        <f>O9/'Output-Calculation-sheet'!O8*'Output-Calculation-sheet'!O62</f>
        <v>305.79170592889614</v>
      </c>
      <c r="P75" s="2">
        <f>P9/'Output-Calculation-sheet'!P8*'Output-Calculation-sheet'!P62</f>
        <v>41.882861816090752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206.93351754630228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195.52493667918696</v>
      </c>
      <c r="Y75" s="2">
        <f>Y9/'Output-Calculation-sheet'!Y8*'Output-Calculation-sheet'!Y62</f>
        <v>0</v>
      </c>
      <c r="AA75" s="2">
        <f t="shared" si="6"/>
        <v>8.9016011821889709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4813.2461004136976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3325.1035162646067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2264.4149649698629</v>
      </c>
      <c r="N76" s="2">
        <f>N10/'Output-Calculation-sheet'!N9*'Output-Calculation-sheet'!N63</f>
        <v>1295.6960383909257</v>
      </c>
      <c r="O76" s="2">
        <f>O10/'Output-Calculation-sheet'!O9*'Output-Calculation-sheet'!O63</f>
        <v>478.56655075981405</v>
      </c>
      <c r="P76" s="2">
        <f>P10/'Output-Calculation-sheet'!P9*'Output-Calculation-sheet'!P63</f>
        <v>444.17212709968834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342.03427151901798</v>
      </c>
      <c r="S76" s="2">
        <f>S10/'Output-Calculation-sheet'!S9*'Output-Calculation-sheet'!S63</f>
        <v>574.54622794777595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121.55138086843772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266.64748112528753</v>
      </c>
      <c r="Y76" s="2">
        <f>Y10/'Output-Calculation-sheet'!Y9*'Output-Calculation-sheet'!Y63</f>
        <v>5.0583541914109285</v>
      </c>
      <c r="AA76" s="2">
        <f t="shared" si="6"/>
        <v>19.341964937442537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6330.115907277197</v>
      </c>
      <c r="D77" s="2">
        <f>D11/'Output-Calculation-sheet'!D10*'Output-Calculation-sheet'!D64</f>
        <v>1481.3952893700334</v>
      </c>
      <c r="E77" s="2">
        <f>E11/'Output-Calculation-sheet'!E10*'Output-Calculation-sheet'!E64</f>
        <v>1847.098115977323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785.13089041602268</v>
      </c>
      <c r="H77" s="2">
        <f>H11/'Output-Calculation-sheet'!H10*'Output-Calculation-sheet'!H64</f>
        <v>3928.4587812421892</v>
      </c>
      <c r="I77" s="2">
        <f>I11/'Output-Calculation-sheet'!I10*'Output-Calculation-sheet'!I64</f>
        <v>461.39656228911281</v>
      </c>
      <c r="J77" s="2">
        <f>J11/'Output-Calculation-sheet'!J10*'Output-Calculation-sheet'!J64</f>
        <v>323.1438949016129</v>
      </c>
      <c r="K77" s="2">
        <f>K11/'Output-Calculation-sheet'!K10*'Output-Calculation-sheet'!K64</f>
        <v>702.68582961250559</v>
      </c>
      <c r="L77" s="2">
        <f>L11/'Output-Calculation-sheet'!L10*'Output-Calculation-sheet'!L64</f>
        <v>289.23459642567406</v>
      </c>
      <c r="M77" s="2">
        <f>M11/'Output-Calculation-sheet'!M10*'Output-Calculation-sheet'!M64</f>
        <v>2805.9760375140991</v>
      </c>
      <c r="N77" s="2">
        <f>N11/'Output-Calculation-sheet'!N10*'Output-Calculation-sheet'!N64</f>
        <v>1975.5827723370896</v>
      </c>
      <c r="O77" s="2">
        <f>O11/'Output-Calculation-sheet'!O10*'Output-Calculation-sheet'!O64</f>
        <v>719.46201691639533</v>
      </c>
      <c r="P77" s="2">
        <f>P11/'Output-Calculation-sheet'!P10*'Output-Calculation-sheet'!P64</f>
        <v>875.94599033033467</v>
      </c>
      <c r="Q77" s="2">
        <f>Q11/'Output-Calculation-sheet'!Q10*'Output-Calculation-sheet'!Q64</f>
        <v>616.77123591334725</v>
      </c>
      <c r="R77" s="2">
        <f>R11/'Output-Calculation-sheet'!R10*'Output-Calculation-sheet'!R64</f>
        <v>746.1989587066812</v>
      </c>
      <c r="S77" s="2">
        <f>S11/'Output-Calculation-sheet'!S10*'Output-Calculation-sheet'!S64</f>
        <v>993.45191354416431</v>
      </c>
      <c r="T77" s="2">
        <f>T11/'Output-Calculation-sheet'!T10*'Output-Calculation-sheet'!T64</f>
        <v>205.66860657023244</v>
      </c>
      <c r="U77" s="2">
        <f>U11/'Output-Calculation-sheet'!U10*'Output-Calculation-sheet'!U64</f>
        <v>218.2857972900751</v>
      </c>
      <c r="V77" s="2">
        <f>V11/'Output-Calculation-sheet'!V10*'Output-Calculation-sheet'!V64</f>
        <v>108.78252172648027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280.88421843717992</v>
      </c>
      <c r="Y77" s="2">
        <f>Y11/'Output-Calculation-sheet'!Y10*'Output-Calculation-sheet'!Y64</f>
        <v>68.308829178245205</v>
      </c>
      <c r="AA77" s="2">
        <f t="shared" si="6"/>
        <v>38.010196873201863</v>
      </c>
    </row>
    <row r="78" spans="1:27" x14ac:dyDescent="0.25">
      <c r="A78" s="2">
        <v>2035</v>
      </c>
      <c r="B78" s="2">
        <f>B12/'Output-Calculation-sheet'!B11*'Output-Calculation-sheet'!B65</f>
        <v>11845.628243139259</v>
      </c>
      <c r="C78" s="2">
        <f>C12/'Output-Calculation-sheet'!C11*'Output-Calculation-sheet'!C65</f>
        <v>9180.0384094010933</v>
      </c>
      <c r="D78" s="2">
        <f>D12/'Output-Calculation-sheet'!D11*'Output-Calculation-sheet'!D65</f>
        <v>1582.3719037855205</v>
      </c>
      <c r="E78" s="2">
        <f>E12/'Output-Calculation-sheet'!E11*'Output-Calculation-sheet'!E65</f>
        <v>2741.9776900247839</v>
      </c>
      <c r="F78" s="2">
        <f>F12/'Output-Calculation-sheet'!F11*'Output-Calculation-sheet'!F65</f>
        <v>350.89213965722757</v>
      </c>
      <c r="G78" s="2">
        <f>G12/'Output-Calculation-sheet'!G11*'Output-Calculation-sheet'!G65</f>
        <v>694.87996342552867</v>
      </c>
      <c r="H78" s="2">
        <f>H12/'Output-Calculation-sheet'!H11*'Output-Calculation-sheet'!H65</f>
        <v>3768.0305639735061</v>
      </c>
      <c r="I78" s="2">
        <f>I12/'Output-Calculation-sheet'!I11*'Output-Calculation-sheet'!I65</f>
        <v>460.21268880063735</v>
      </c>
      <c r="J78" s="2">
        <f>J12/'Output-Calculation-sheet'!J11*'Output-Calculation-sheet'!J65</f>
        <v>666.11318154255912</v>
      </c>
      <c r="K78" s="2">
        <f>K12/'Output-Calculation-sheet'!K11*'Output-Calculation-sheet'!K65</f>
        <v>834.80977158366966</v>
      </c>
      <c r="L78" s="2">
        <f>L12/'Output-Calculation-sheet'!L11*'Output-Calculation-sheet'!L65</f>
        <v>708.16224481778954</v>
      </c>
      <c r="M78" s="2">
        <f>M12/'Output-Calculation-sheet'!M11*'Output-Calculation-sheet'!M65</f>
        <v>2745.6092627871672</v>
      </c>
      <c r="N78" s="2">
        <f>N12/'Output-Calculation-sheet'!N11*'Output-Calculation-sheet'!N65</f>
        <v>1947.465847243695</v>
      </c>
      <c r="O78" s="2">
        <f>O12/'Output-Calculation-sheet'!O11*'Output-Calculation-sheet'!O65</f>
        <v>1093.2959146514302</v>
      </c>
      <c r="P78" s="2">
        <f>P12/'Output-Calculation-sheet'!P11*'Output-Calculation-sheet'!P65</f>
        <v>956.22599415257957</v>
      </c>
      <c r="Q78" s="2">
        <f>Q12/'Output-Calculation-sheet'!Q11*'Output-Calculation-sheet'!Q65</f>
        <v>658.26839922593274</v>
      </c>
      <c r="R78" s="2">
        <f>R12/'Output-Calculation-sheet'!R11*'Output-Calculation-sheet'!R65</f>
        <v>891.08399438413187</v>
      </c>
      <c r="S78" s="2">
        <f>S12/'Output-Calculation-sheet'!S11*'Output-Calculation-sheet'!S65</f>
        <v>928.54937231151189</v>
      </c>
      <c r="T78" s="2">
        <f>T12/'Output-Calculation-sheet'!T11*'Output-Calculation-sheet'!T65</f>
        <v>307.37991021010356</v>
      </c>
      <c r="U78" s="2">
        <f>U12/'Output-Calculation-sheet'!U11*'Output-Calculation-sheet'!U65</f>
        <v>210.29260916013146</v>
      </c>
      <c r="V78" s="2">
        <f>V12/'Output-Calculation-sheet'!V11*'Output-Calculation-sheet'!V65</f>
        <v>172.59435547530447</v>
      </c>
      <c r="W78" s="2">
        <f>W12/'Output-Calculation-sheet'!W11*'Output-Calculation-sheet'!W65</f>
        <v>83.117489753741197</v>
      </c>
      <c r="X78" s="2">
        <f>X12/'Output-Calculation-sheet'!X11*'Output-Calculation-sheet'!X65</f>
        <v>268.78540852997543</v>
      </c>
      <c r="Y78" s="2">
        <f>Y12/'Output-Calculation-sheet'!Y11*'Output-Calculation-sheet'!Y65</f>
        <v>73.540445776513153</v>
      </c>
      <c r="AA78" s="2">
        <f t="shared" si="6"/>
        <v>43.169325803813798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29.894537685618666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0.10683400598088033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262.6859969379808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68.043763137801619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0.33072976007578248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463.74112098232678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90.092424114340986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0.55383354509666771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564.64780437340528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109.69587807758575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0.67434368245099108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553.13840503995084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28.378871343737146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107.45991141615522</v>
      </c>
      <c r="P88" s="2">
        <f>P11/'Output-Calculation-sheet'!P10*'Output-Calculation-sheet'!P73</f>
        <v>0</v>
      </c>
      <c r="Q88" s="2">
        <f>Q11/'Output-Calculation-sheet'!Q10*'Output-Calculation-sheet'!Q73</f>
        <v>16.815377625162824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5.3651329029660104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2.1422083636786424</v>
      </c>
      <c r="Y88" s="2">
        <f>Y11/'Output-Calculation-sheet'!Y10*'Output-Calculation-sheet'!Y73</f>
        <v>0</v>
      </c>
      <c r="AA88" s="2">
        <f t="shared" si="7"/>
        <v>0.71329990669165066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437.45715555878456</v>
      </c>
      <c r="D89" s="2">
        <f>D12/'Output-Calculation-sheet'!D11*'Output-Calculation-sheet'!D74</f>
        <v>77.502664631704974</v>
      </c>
      <c r="E89" s="2">
        <f>E12/'Output-Calculation-sheet'!E11*'Output-Calculation-sheet'!E74</f>
        <v>123.18789181772283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27.8018709860578</v>
      </c>
      <c r="H89" s="2">
        <f>H12/'Output-Calculation-sheet'!H11*'Output-Calculation-sheet'!H74</f>
        <v>53.865174674045512</v>
      </c>
      <c r="I89" s="2">
        <f>I12/'Output-Calculation-sheet'!I11*'Output-Calculation-sheet'!I74</f>
        <v>25.006123060238934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24.577082803417131</v>
      </c>
      <c r="L89" s="2">
        <f>L12/'Output-Calculation-sheet'!L11*'Output-Calculation-sheet'!L74</f>
        <v>19.542518553351258</v>
      </c>
      <c r="M89" s="2">
        <f>M12/'Output-Calculation-sheet'!M11*'Output-Calculation-sheet'!M74</f>
        <v>37.064511184885454</v>
      </c>
      <c r="N89" s="2">
        <f>N12/'Output-Calculation-sheet'!N11*'Output-Calculation-sheet'!N74</f>
        <v>18.214233513315516</v>
      </c>
      <c r="O89" s="2">
        <f>O12/'Output-Calculation-sheet'!O11*'Output-Calculation-sheet'!O74</f>
        <v>84.986156731089693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15.958408669929762</v>
      </c>
      <c r="R89" s="2">
        <f>R12/'Output-Calculation-sheet'!R11*'Output-Calculation-sheet'!R74</f>
        <v>15.825737832275991</v>
      </c>
      <c r="S89" s="2">
        <f>S12/'Output-Calculation-sheet'!S11*'Output-Calculation-sheet'!S74</f>
        <v>20.881998185409508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5.0917074443749897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8.1321364969094514</v>
      </c>
      <c r="Y89" s="2">
        <f>Y12/'Output-Calculation-sheet'!Y11*'Output-Calculation-sheet'!Y74</f>
        <v>3.9238312760918341</v>
      </c>
      <c r="AA89" s="2">
        <f t="shared" si="7"/>
        <v>1.4780177925896747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1378253126.5306821</v>
      </c>
      <c r="C93" s="2">
        <f>C5/'Output-Calculation-sheet'!C4*'Output-Calculation-sheet'!C76</f>
        <v>374687734.37521321</v>
      </c>
      <c r="D93" s="2">
        <f>D5/'Output-Calculation-sheet'!D4*'Output-Calculation-sheet'!D76</f>
        <v>357879749.45921606</v>
      </c>
      <c r="E93" s="2">
        <f>E5/'Output-Calculation-sheet'!E4*'Output-Calculation-sheet'!E76</f>
        <v>913025204.71235466</v>
      </c>
      <c r="F93" s="2">
        <f>F5/'Output-Calculation-sheet'!F4*'Output-Calculation-sheet'!F76</f>
        <v>329441160.61111569</v>
      </c>
      <c r="G93" s="2">
        <f>G5/'Output-Calculation-sheet'!G4*'Output-Calculation-sheet'!G76</f>
        <v>227698653.95587379</v>
      </c>
      <c r="H93" s="2">
        <f>H5/'Output-Calculation-sheet'!H4*'Output-Calculation-sheet'!H76</f>
        <v>235482832.78229547</v>
      </c>
      <c r="I93" s="2">
        <f>I5/'Output-Calculation-sheet'!I4*'Output-Calculation-sheet'!I76</f>
        <v>161458679.47966221</v>
      </c>
      <c r="J93" s="2">
        <f>J5/'Output-Calculation-sheet'!J4*'Output-Calculation-sheet'!J76</f>
        <v>114907202.03563383</v>
      </c>
      <c r="K93" s="2">
        <f>K5/'Output-Calculation-sheet'!K4*'Output-Calculation-sheet'!K76</f>
        <v>158574349.80211928</v>
      </c>
      <c r="L93" s="2">
        <f>L5/'Output-Calculation-sheet'!L4*'Output-Calculation-sheet'!L76</f>
        <v>120810089.94100027</v>
      </c>
      <c r="M93" s="2">
        <f>M5/'Output-Calculation-sheet'!M4*'Output-Calculation-sheet'!M76</f>
        <v>173328221.4769679</v>
      </c>
      <c r="N93" s="2">
        <f>N5/'Output-Calculation-sheet'!N4*'Output-Calculation-sheet'!N76</f>
        <v>120903979.09541982</v>
      </c>
      <c r="O93" s="2">
        <f>O5/'Output-Calculation-sheet'!O4*'Output-Calculation-sheet'!O76</f>
        <v>49574422.801276468</v>
      </c>
      <c r="P93" s="2">
        <f>P5/'Output-Calculation-sheet'!P4*'Output-Calculation-sheet'!P76</f>
        <v>231130354.12993157</v>
      </c>
      <c r="Q93" s="2">
        <f>Q5/'Output-Calculation-sheet'!Q4*'Output-Calculation-sheet'!Q76</f>
        <v>97921450.706645712</v>
      </c>
      <c r="R93" s="2">
        <f>R5/'Output-Calculation-sheet'!R4*'Output-Calculation-sheet'!R76</f>
        <v>128554096.65405872</v>
      </c>
      <c r="S93" s="2">
        <f>S5/'Output-Calculation-sheet'!S4*'Output-Calculation-sheet'!S76</f>
        <v>74454647.370019644</v>
      </c>
      <c r="T93" s="2">
        <f>T5/'Output-Calculation-sheet'!T4*'Output-Calculation-sheet'!T76</f>
        <v>50593086.401852056</v>
      </c>
      <c r="U93" s="2">
        <f>U5/'Output-Calculation-sheet'!U4*'Output-Calculation-sheet'!U76</f>
        <v>37722739.284721419</v>
      </c>
      <c r="V93" s="2">
        <f>V5/'Output-Calculation-sheet'!V4*'Output-Calculation-sheet'!V76</f>
        <v>17820849.501589499</v>
      </c>
      <c r="W93" s="2">
        <f>W5/'Output-Calculation-sheet'!W4*'Output-Calculation-sheet'!W76</f>
        <v>51388465.75644286</v>
      </c>
      <c r="X93" s="2">
        <f>X5/'Output-Calculation-sheet'!X4*'Output-Calculation-sheet'!X76</f>
        <v>19944034.478105824</v>
      </c>
      <c r="Y93" s="2">
        <f>Y5/'Output-Calculation-sheet'!Y4*'Output-Calculation-sheet'!Y76</f>
        <v>29681036.211631987</v>
      </c>
      <c r="AA93" s="2">
        <f>SUM(B93:Y93)/10^9</f>
        <v>5.4552361675538306</v>
      </c>
    </row>
    <row r="94" spans="1:27" x14ac:dyDescent="0.25">
      <c r="A94" s="2">
        <v>2029</v>
      </c>
      <c r="B94" s="2">
        <f>B6/'Output-Calculation-sheet'!B5*'Output-Calculation-sheet'!B77</f>
        <v>3422050225.7833829</v>
      </c>
      <c r="C94" s="2">
        <f>C6/'Output-Calculation-sheet'!C5*'Output-Calculation-sheet'!C77</f>
        <v>887693744.0061177</v>
      </c>
      <c r="D94" s="2">
        <f>D6/'Output-Calculation-sheet'!D5*'Output-Calculation-sheet'!D77</f>
        <v>806635294.55768526</v>
      </c>
      <c r="E94" s="2">
        <f>E6/'Output-Calculation-sheet'!E5*'Output-Calculation-sheet'!E77</f>
        <v>2349494718.0927758</v>
      </c>
      <c r="F94" s="2">
        <f>F6/'Output-Calculation-sheet'!F5*'Output-Calculation-sheet'!F77</f>
        <v>787215058.49175143</v>
      </c>
      <c r="G94" s="2">
        <f>G6/'Output-Calculation-sheet'!G5*'Output-Calculation-sheet'!G77</f>
        <v>535938341.38070661</v>
      </c>
      <c r="H94" s="2">
        <f>H6/'Output-Calculation-sheet'!H5*'Output-Calculation-sheet'!H77</f>
        <v>586191808.52015138</v>
      </c>
      <c r="I94" s="2">
        <f>I6/'Output-Calculation-sheet'!I5*'Output-Calculation-sheet'!I77</f>
        <v>374517072.99031562</v>
      </c>
      <c r="J94" s="2">
        <f>J6/'Output-Calculation-sheet'!J5*'Output-Calculation-sheet'!J77</f>
        <v>276510231.75069499</v>
      </c>
      <c r="K94" s="2">
        <f>K6/'Output-Calculation-sheet'!K5*'Output-Calculation-sheet'!K77</f>
        <v>367083206.23639202</v>
      </c>
      <c r="L94" s="2">
        <f>L6/'Output-Calculation-sheet'!L5*'Output-Calculation-sheet'!L77</f>
        <v>296138308.30529749</v>
      </c>
      <c r="M94" s="2">
        <f>M6/'Output-Calculation-sheet'!M5*'Output-Calculation-sheet'!M77</f>
        <v>436891958.77861816</v>
      </c>
      <c r="N94" s="2">
        <f>N6/'Output-Calculation-sheet'!N5*'Output-Calculation-sheet'!N77</f>
        <v>299403028.17687482</v>
      </c>
      <c r="O94" s="2">
        <f>O6/'Output-Calculation-sheet'!O5*'Output-Calculation-sheet'!O77</f>
        <v>118098488.68283631</v>
      </c>
      <c r="P94" s="2">
        <f>P6/'Output-Calculation-sheet'!P5*'Output-Calculation-sheet'!P77</f>
        <v>574404834.8170048</v>
      </c>
      <c r="Q94" s="2">
        <f>Q6/'Output-Calculation-sheet'!Q5*'Output-Calculation-sheet'!Q77</f>
        <v>241935115.47727406</v>
      </c>
      <c r="R94" s="2">
        <f>R6/'Output-Calculation-sheet'!R5*'Output-Calculation-sheet'!R77</f>
        <v>317745203.18489754</v>
      </c>
      <c r="S94" s="2">
        <f>S6/'Output-Calculation-sheet'!S5*'Output-Calculation-sheet'!S77</f>
        <v>182779915.96014968</v>
      </c>
      <c r="T94" s="2">
        <f>T6/'Output-Calculation-sheet'!T5*'Output-Calculation-sheet'!T77</f>
        <v>119238958.32815294</v>
      </c>
      <c r="U94" s="2">
        <f>U6/'Output-Calculation-sheet'!U5*'Output-Calculation-sheet'!U77</f>
        <v>90701783.952230528</v>
      </c>
      <c r="V94" s="2">
        <f>V6/'Output-Calculation-sheet'!V5*'Output-Calculation-sheet'!V77</f>
        <v>42151389.993727416</v>
      </c>
      <c r="W94" s="2">
        <f>W6/'Output-Calculation-sheet'!W5*'Output-Calculation-sheet'!W77</f>
        <v>125192218.69000478</v>
      </c>
      <c r="X94" s="2">
        <f>X6/'Output-Calculation-sheet'!X5*'Output-Calculation-sheet'!X77</f>
        <v>50581374.796200179</v>
      </c>
      <c r="Y94" s="2">
        <f>Y6/'Output-Calculation-sheet'!Y5*'Output-Calculation-sheet'!Y77</f>
        <v>74060891.628813267</v>
      </c>
      <c r="AA94" s="2">
        <f t="shared" ref="AA94:AA100" si="8">SUM(B94:Y94)/10^9</f>
        <v>13.362653172582052</v>
      </c>
    </row>
    <row r="95" spans="1:27" x14ac:dyDescent="0.25">
      <c r="A95" s="2">
        <v>2030</v>
      </c>
      <c r="B95" s="2">
        <f>B7/'Output-Calculation-sheet'!B6*'Output-Calculation-sheet'!B78</f>
        <v>5827109491.1449795</v>
      </c>
      <c r="C95" s="2">
        <f>C7/'Output-Calculation-sheet'!C6*'Output-Calculation-sheet'!C78</f>
        <v>1440352240.7735927</v>
      </c>
      <c r="D95" s="2">
        <f>D7/'Output-Calculation-sheet'!D6*'Output-Calculation-sheet'!D78</f>
        <v>1244488364.8462725</v>
      </c>
      <c r="E95" s="2">
        <f>E7/'Output-Calculation-sheet'!E6*'Output-Calculation-sheet'!E78</f>
        <v>4147282881.30474</v>
      </c>
      <c r="F95" s="2">
        <f>F7/'Output-Calculation-sheet'!F6*'Output-Calculation-sheet'!F78</f>
        <v>1283701696.6167877</v>
      </c>
      <c r="G95" s="2">
        <f>G7/'Output-Calculation-sheet'!G6*'Output-Calculation-sheet'!G78</f>
        <v>861849075.17285013</v>
      </c>
      <c r="H95" s="2">
        <f>H7/'Output-Calculation-sheet'!H6*'Output-Calculation-sheet'!H78</f>
        <v>1000698507.7582684</v>
      </c>
      <c r="I95" s="2">
        <f>I7/'Output-Calculation-sheet'!I6*'Output-Calculation-sheet'!I78</f>
        <v>592776241.48546004</v>
      </c>
      <c r="J95" s="2">
        <f>J7/'Output-Calculation-sheet'!J6*'Output-Calculation-sheet'!J78</f>
        <v>456040315.96723753</v>
      </c>
      <c r="K95" s="2">
        <f>K7/'Output-Calculation-sheet'!K6*'Output-Calculation-sheet'!K78</f>
        <v>580402297.66492307</v>
      </c>
      <c r="L95" s="2">
        <f>L7/'Output-Calculation-sheet'!L6*'Output-Calculation-sheet'!L78</f>
        <v>497749905.54792625</v>
      </c>
      <c r="M95" s="2">
        <f>M7/'Output-Calculation-sheet'!M6*'Output-Calculation-sheet'!M78</f>
        <v>756217091.26025546</v>
      </c>
      <c r="N95" s="2">
        <f>N7/'Output-Calculation-sheet'!N6*'Output-Calculation-sheet'!N78</f>
        <v>509392497.48142755</v>
      </c>
      <c r="O95" s="2">
        <f>O7/'Output-Calculation-sheet'!O6*'Output-Calculation-sheet'!O78</f>
        <v>193138892.26203439</v>
      </c>
      <c r="P95" s="2">
        <f>P7/'Output-Calculation-sheet'!P6*'Output-Calculation-sheet'!P78</f>
        <v>976044439.86100578</v>
      </c>
      <c r="Q95" s="2">
        <f>Q7/'Output-Calculation-sheet'!Q6*'Output-Calculation-sheet'!Q78</f>
        <v>410603482.30751777</v>
      </c>
      <c r="R95" s="2">
        <f>R7/'Output-Calculation-sheet'!R6*'Output-Calculation-sheet'!R78</f>
        <v>538218377.19849873</v>
      </c>
      <c r="S95" s="2">
        <f>S7/'Output-Calculation-sheet'!S6*'Output-Calculation-sheet'!S78</f>
        <v>307607077.05712777</v>
      </c>
      <c r="T95" s="2">
        <f>T7/'Output-Calculation-sheet'!T6*'Output-Calculation-sheet'!T78</f>
        <v>191811793.6910798</v>
      </c>
      <c r="U95" s="2">
        <f>U7/'Output-Calculation-sheet'!U6*'Output-Calculation-sheet'!U78</f>
        <v>149161118.97299445</v>
      </c>
      <c r="V95" s="2">
        <f>V7/'Output-Calculation-sheet'!V6*'Output-Calculation-sheet'!V78</f>
        <v>68284994.020026207</v>
      </c>
      <c r="W95" s="2">
        <f>W7/'Output-Calculation-sheet'!W6*'Output-Calculation-sheet'!W78</f>
        <v>207926255.18949184</v>
      </c>
      <c r="X95" s="2">
        <f>X7/'Output-Calculation-sheet'!X6*'Output-Calculation-sheet'!X78</f>
        <v>88059332.5896485</v>
      </c>
      <c r="Y95" s="2">
        <f>Y7/'Output-Calculation-sheet'!Y6*'Output-Calculation-sheet'!Y78</f>
        <v>126329059.55993505</v>
      </c>
      <c r="AA95" s="2">
        <f t="shared" si="8"/>
        <v>22.455245429734081</v>
      </c>
    </row>
    <row r="96" spans="1:27" x14ac:dyDescent="0.25">
      <c r="A96" s="2">
        <v>2031</v>
      </c>
      <c r="B96" s="2">
        <f>B8/'Output-Calculation-sheet'!B7*'Output-Calculation-sheet'!B79</f>
        <v>8141285571.8966608</v>
      </c>
      <c r="C96" s="2">
        <f>C8/'Output-Calculation-sheet'!C7*'Output-Calculation-sheet'!C79</f>
        <v>1965984030.8433583</v>
      </c>
      <c r="D96" s="2">
        <f>D8/'Output-Calculation-sheet'!D7*'Output-Calculation-sheet'!D79</f>
        <v>1596086547.3579555</v>
      </c>
      <c r="E96" s="2">
        <f>E8/'Output-Calculation-sheet'!E7*'Output-Calculation-sheet'!E79</f>
        <v>5979955660.8289366</v>
      </c>
      <c r="F96" s="2">
        <f>F8/'Output-Calculation-sheet'!F7*'Output-Calculation-sheet'!F79</f>
        <v>1744444571.2095761</v>
      </c>
      <c r="G96" s="2">
        <f>G8/'Output-Calculation-sheet'!G7*'Output-Calculation-sheet'!G79</f>
        <v>1119682189.6768894</v>
      </c>
      <c r="H96" s="2">
        <f>H8/'Output-Calculation-sheet'!H7*'Output-Calculation-sheet'!H79</f>
        <v>1379409472.473515</v>
      </c>
      <c r="I96" s="2">
        <f>I8/'Output-Calculation-sheet'!I7*'Output-Calculation-sheet'!I79</f>
        <v>805160388.59866714</v>
      </c>
      <c r="J96" s="2">
        <f>J8/'Output-Calculation-sheet'!J7*'Output-Calculation-sheet'!J79</f>
        <v>610153828.46887064</v>
      </c>
      <c r="K96" s="2">
        <f>K8/'Output-Calculation-sheet'!K7*'Output-Calculation-sheet'!K79</f>
        <v>765211956.70982254</v>
      </c>
      <c r="L96" s="2">
        <f>L8/'Output-Calculation-sheet'!L7*'Output-Calculation-sheet'!L79</f>
        <v>694680410.44059062</v>
      </c>
      <c r="M96" s="2">
        <f>M8/'Output-Calculation-sheet'!M7*'Output-Calculation-sheet'!M79</f>
        <v>1064346460.5222826</v>
      </c>
      <c r="N96" s="2">
        <f>N8/'Output-Calculation-sheet'!N7*'Output-Calculation-sheet'!N79</f>
        <v>691897060.13061273</v>
      </c>
      <c r="O96" s="2">
        <f>O8/'Output-Calculation-sheet'!O7*'Output-Calculation-sheet'!O79</f>
        <v>259614684.20419183</v>
      </c>
      <c r="P96" s="2">
        <f>P8/'Output-Calculation-sheet'!P7*'Output-Calculation-sheet'!P79</f>
        <v>1317724327.6154931</v>
      </c>
      <c r="Q96" s="2">
        <f>Q8/'Output-Calculation-sheet'!Q7*'Output-Calculation-sheet'!Q79</f>
        <v>559463884.41361177</v>
      </c>
      <c r="R96" s="2">
        <f>R8/'Output-Calculation-sheet'!R7*'Output-Calculation-sheet'!R79</f>
        <v>742565218.27053702</v>
      </c>
      <c r="S96" s="2">
        <f>S8/'Output-Calculation-sheet'!S7*'Output-Calculation-sheet'!S79</f>
        <v>418777662.70078373</v>
      </c>
      <c r="T96" s="2">
        <f>T8/'Output-Calculation-sheet'!T7*'Output-Calculation-sheet'!T79</f>
        <v>252640918.22919333</v>
      </c>
      <c r="U96" s="2">
        <f>U8/'Output-Calculation-sheet'!U7*'Output-Calculation-sheet'!U79</f>
        <v>198859718.03117761</v>
      </c>
      <c r="V96" s="2">
        <f>V8/'Output-Calculation-sheet'!V7*'Output-Calculation-sheet'!V79</f>
        <v>91270081.570535526</v>
      </c>
      <c r="W96" s="2">
        <f>W8/'Output-Calculation-sheet'!W7*'Output-Calculation-sheet'!W79</f>
        <v>281010087.24612296</v>
      </c>
      <c r="X96" s="2">
        <f>X8/'Output-Calculation-sheet'!X7*'Output-Calculation-sheet'!X79</f>
        <v>126741770.56548725</v>
      </c>
      <c r="Y96" s="2">
        <f>Y8/'Output-Calculation-sheet'!Y7*'Output-Calculation-sheet'!Y79</f>
        <v>174419888.70658931</v>
      </c>
      <c r="AA96" s="2">
        <f t="shared" si="8"/>
        <v>30.981386390711464</v>
      </c>
    </row>
    <row r="97" spans="1:27" x14ac:dyDescent="0.25">
      <c r="A97" s="2">
        <v>2032</v>
      </c>
      <c r="B97" s="2">
        <f>B9/'Output-Calculation-sheet'!B8*'Output-Calculation-sheet'!B80</f>
        <v>9884571254.3190536</v>
      </c>
      <c r="C97" s="2">
        <f>C9/'Output-Calculation-sheet'!C8*'Output-Calculation-sheet'!C80</f>
        <v>2334556276.4268098</v>
      </c>
      <c r="D97" s="2">
        <f>D9/'Output-Calculation-sheet'!D8*'Output-Calculation-sheet'!D80</f>
        <v>1783348067.7718003</v>
      </c>
      <c r="E97" s="2">
        <f>E9/'Output-Calculation-sheet'!E8*'Output-Calculation-sheet'!E80</f>
        <v>7507633410.2223282</v>
      </c>
      <c r="F97" s="2">
        <f>F9/'Output-Calculation-sheet'!F8*'Output-Calculation-sheet'!F80</f>
        <v>2058852325.8587255</v>
      </c>
      <c r="G97" s="2">
        <f>G9/'Output-Calculation-sheet'!G8*'Output-Calculation-sheet'!G80</f>
        <v>1261551710.3377249</v>
      </c>
      <c r="H97" s="2">
        <f>H9/'Output-Calculation-sheet'!H8*'Output-Calculation-sheet'!H80</f>
        <v>1651821772.1587176</v>
      </c>
      <c r="I97" s="2">
        <f>I9/'Output-Calculation-sheet'!I8*'Output-Calculation-sheet'!I80</f>
        <v>951449096.21098053</v>
      </c>
      <c r="J97" s="2">
        <f>J9/'Output-Calculation-sheet'!J8*'Output-Calculation-sheet'!J80</f>
        <v>710996912.27674961</v>
      </c>
      <c r="K97" s="2">
        <f>K9/'Output-Calculation-sheet'!K8*'Output-Calculation-sheet'!K80</f>
        <v>876899752.02772427</v>
      </c>
      <c r="L97" s="2">
        <f>L9/'Output-Calculation-sheet'!L8*'Output-Calculation-sheet'!L80</f>
        <v>845828546.52004099</v>
      </c>
      <c r="M97" s="2">
        <f>M9/'Output-Calculation-sheet'!M8*'Output-Calculation-sheet'!M80</f>
        <v>1303176503.6306224</v>
      </c>
      <c r="N97" s="2">
        <f>N9/'Output-Calculation-sheet'!N8*'Output-Calculation-sheet'!N80</f>
        <v>818793719.0223552</v>
      </c>
      <c r="O97" s="2">
        <f>O9/'Output-Calculation-sheet'!O8*'Output-Calculation-sheet'!O80</f>
        <v>304360497.6794157</v>
      </c>
      <c r="P97" s="2">
        <f>P9/'Output-Calculation-sheet'!P8*'Output-Calculation-sheet'!P80</f>
        <v>1535032393.435534</v>
      </c>
      <c r="Q97" s="2">
        <f>Q9/'Output-Calculation-sheet'!Q8*'Output-Calculation-sheet'!Q80</f>
        <v>663956060.71784556</v>
      </c>
      <c r="R97" s="2">
        <f>R9/'Output-Calculation-sheet'!R8*'Output-Calculation-sheet'!R80</f>
        <v>889704069.62253857</v>
      </c>
      <c r="S97" s="2">
        <f>S9/'Output-Calculation-sheet'!S8*'Output-Calculation-sheet'!S80</f>
        <v>495176323.27816516</v>
      </c>
      <c r="T97" s="2">
        <f>T9/'Output-Calculation-sheet'!T8*'Output-Calculation-sheet'!T80</f>
        <v>288735215.69837373</v>
      </c>
      <c r="U97" s="2">
        <f>U9/'Output-Calculation-sheet'!U8*'Output-Calculation-sheet'!U80</f>
        <v>229752876.90284321</v>
      </c>
      <c r="V97" s="2">
        <f>V9/'Output-Calculation-sheet'!V8*'Output-Calculation-sheet'!V80</f>
        <v>105975820.75256786</v>
      </c>
      <c r="W97" s="2">
        <f>W9/'Output-Calculation-sheet'!W8*'Output-Calculation-sheet'!W80</f>
        <v>327938440.87322879</v>
      </c>
      <c r="X97" s="2">
        <f>X9/'Output-Calculation-sheet'!X8*'Output-Calculation-sheet'!X80</f>
        <v>158831408.47609109</v>
      </c>
      <c r="Y97" s="2">
        <f>Y9/'Output-Calculation-sheet'!Y8*'Output-Calculation-sheet'!Y80</f>
        <v>208498768.07373065</v>
      </c>
      <c r="AA97" s="2">
        <f t="shared" si="8"/>
        <v>37.197441222293968</v>
      </c>
    </row>
    <row r="98" spans="1:27" x14ac:dyDescent="0.25">
      <c r="A98" s="2">
        <v>2033</v>
      </c>
      <c r="B98" s="2">
        <f>B10/'Output-Calculation-sheet'!B9*'Output-Calculation-sheet'!B81</f>
        <v>10978782614.36219</v>
      </c>
      <c r="C98" s="2">
        <f>C10/'Output-Calculation-sheet'!C9*'Output-Calculation-sheet'!C81</f>
        <v>2542255217.1360364</v>
      </c>
      <c r="D98" s="2">
        <f>D10/'Output-Calculation-sheet'!D9*'Output-Calculation-sheet'!D81</f>
        <v>1828890916.0285993</v>
      </c>
      <c r="E98" s="2">
        <f>E10/'Output-Calculation-sheet'!E9*'Output-Calculation-sheet'!E81</f>
        <v>8633064390.2059555</v>
      </c>
      <c r="F98" s="2">
        <f>F10/'Output-Calculation-sheet'!F9*'Output-Calculation-sheet'!F81</f>
        <v>2224313823.8603048</v>
      </c>
      <c r="G98" s="2">
        <f>G10/'Output-Calculation-sheet'!G9*'Output-Calculation-sheet'!G81</f>
        <v>1299489731.022078</v>
      </c>
      <c r="H98" s="2">
        <f>H10/'Output-Calculation-sheet'!H9*'Output-Calculation-sheet'!H81</f>
        <v>1809089226.5286462</v>
      </c>
      <c r="I98" s="2">
        <f>I10/'Output-Calculation-sheet'!I9*'Output-Calculation-sheet'!I81</f>
        <v>1030987012.3533387</v>
      </c>
      <c r="J98" s="2">
        <f>J10/'Output-Calculation-sheet'!J9*'Output-Calculation-sheet'!J81</f>
        <v>760552668.62838674</v>
      </c>
      <c r="K98" s="2">
        <f>K10/'Output-Calculation-sheet'!K9*'Output-Calculation-sheet'!K81</f>
        <v>920991008.9444207</v>
      </c>
      <c r="L98" s="2">
        <f>L10/'Output-Calculation-sheet'!L9*'Output-Calculation-sheet'!L81</f>
        <v>943923467.70120871</v>
      </c>
      <c r="M98" s="2">
        <f>M10/'Output-Calculation-sheet'!M9*'Output-Calculation-sheet'!M81</f>
        <v>1462744452.0676525</v>
      </c>
      <c r="N98" s="2">
        <f>N10/'Output-Calculation-sheet'!N9*'Output-Calculation-sheet'!N81</f>
        <v>888932118.41216874</v>
      </c>
      <c r="O98" s="2">
        <f>O10/'Output-Calculation-sheet'!O9*'Output-Calculation-sheet'!O81</f>
        <v>327864890.84511906</v>
      </c>
      <c r="P98" s="2">
        <f>P10/'Output-Calculation-sheet'!P9*'Output-Calculation-sheet'!P81</f>
        <v>1626540918.0219903</v>
      </c>
      <c r="Q98" s="2">
        <f>Q10/'Output-Calculation-sheet'!Q9*'Output-Calculation-sheet'!Q81</f>
        <v>722726394.18414021</v>
      </c>
      <c r="R98" s="2">
        <f>R10/'Output-Calculation-sheet'!R9*'Output-Calculation-sheet'!R81</f>
        <v>975517557.83569801</v>
      </c>
      <c r="S98" s="2">
        <f>S10/'Output-Calculation-sheet'!S9*'Output-Calculation-sheet'!S81</f>
        <v>535754390.40445077</v>
      </c>
      <c r="T98" s="2">
        <f>T10/'Output-Calculation-sheet'!T9*'Output-Calculation-sheet'!T81</f>
        <v>301852413.78973973</v>
      </c>
      <c r="U98" s="2">
        <f>U10/'Output-Calculation-sheet'!U9*'Output-Calculation-sheet'!U81</f>
        <v>242547253.19576138</v>
      </c>
      <c r="V98" s="2">
        <f>V10/'Output-Calculation-sheet'!V9*'Output-Calculation-sheet'!V81</f>
        <v>112650611.74476875</v>
      </c>
      <c r="W98" s="2">
        <f>W10/'Output-Calculation-sheet'!W9*'Output-Calculation-sheet'!W81</f>
        <v>348369617.72092384</v>
      </c>
      <c r="X98" s="2">
        <f>X10/'Output-Calculation-sheet'!X9*'Output-Calculation-sheet'!X81</f>
        <v>182628289.10359171</v>
      </c>
      <c r="Y98" s="2">
        <f>Y10/'Output-Calculation-sheet'!Y9*'Output-Calculation-sheet'!Y81</f>
        <v>227368061.73314536</v>
      </c>
      <c r="AA98" s="2">
        <f t="shared" si="8"/>
        <v>40.927837045830323</v>
      </c>
    </row>
    <row r="99" spans="1:27" x14ac:dyDescent="0.25">
      <c r="A99" s="2">
        <v>2034</v>
      </c>
      <c r="B99" s="2">
        <f>B11/'Output-Calculation-sheet'!B10*'Output-Calculation-sheet'!B82</f>
        <v>11385664385.3431</v>
      </c>
      <c r="C99" s="2">
        <f>C11/'Output-Calculation-sheet'!C10*'Output-Calculation-sheet'!C82</f>
        <v>2591751200.4535494</v>
      </c>
      <c r="D99" s="2">
        <f>D11/'Output-Calculation-sheet'!D10*'Output-Calculation-sheet'!D82</f>
        <v>1758060150.9595363</v>
      </c>
      <c r="E99" s="2">
        <f>E11/'Output-Calculation-sheet'!E10*'Output-Calculation-sheet'!E82</f>
        <v>9278740972.8763294</v>
      </c>
      <c r="F99" s="2">
        <f>F11/'Output-Calculation-sheet'!F10*'Output-Calculation-sheet'!F82</f>
        <v>2245976644.9111428</v>
      </c>
      <c r="G99" s="2">
        <f>G11/'Output-Calculation-sheet'!G10*'Output-Calculation-sheet'!G82</f>
        <v>1250021476.5300229</v>
      </c>
      <c r="H99" s="2">
        <f>H11/'Output-Calculation-sheet'!H10*'Output-Calculation-sheet'!H82</f>
        <v>1849705887.7360165</v>
      </c>
      <c r="I99" s="2">
        <f>I11/'Output-Calculation-sheet'!I10*'Output-Calculation-sheet'!I82</f>
        <v>1045929172.0120939</v>
      </c>
      <c r="J99" s="2">
        <f>J11/'Output-Calculation-sheet'!J10*'Output-Calculation-sheet'!J82</f>
        <v>762477212.55639899</v>
      </c>
      <c r="K99" s="2">
        <f>K11/'Output-Calculation-sheet'!K10*'Output-Calculation-sheet'!K82</f>
        <v>905331213.9436959</v>
      </c>
      <c r="L99" s="2">
        <f>L11/'Output-Calculation-sheet'!L10*'Output-Calculation-sheet'!L82</f>
        <v>985531572.11808729</v>
      </c>
      <c r="M99" s="2">
        <f>M11/'Output-Calculation-sheet'!M10*'Output-Calculation-sheet'!M82</f>
        <v>1536295411.1047912</v>
      </c>
      <c r="N99" s="2">
        <f>N11/'Output-Calculation-sheet'!N10*'Output-Calculation-sheet'!N82</f>
        <v>903911837.33221841</v>
      </c>
      <c r="O99" s="2">
        <f>O11/'Output-Calculation-sheet'!O10*'Output-Calculation-sheet'!O82</f>
        <v>331282250.60973704</v>
      </c>
      <c r="P99" s="2">
        <f>P11/'Output-Calculation-sheet'!P10*'Output-Calculation-sheet'!P82</f>
        <v>1601292886.5130937</v>
      </c>
      <c r="Q99" s="2">
        <f>Q11/'Output-Calculation-sheet'!Q10*'Output-Calculation-sheet'!Q82</f>
        <v>736577270.26333106</v>
      </c>
      <c r="R99" s="2">
        <f>R11/'Output-Calculation-sheet'!R10*'Output-Calculation-sheet'!R82</f>
        <v>999147865.67032397</v>
      </c>
      <c r="S99" s="2">
        <f>S11/'Output-Calculation-sheet'!S10*'Output-Calculation-sheet'!S82</f>
        <v>541454066.36397314</v>
      </c>
      <c r="T99" s="2">
        <f>T11/'Output-Calculation-sheet'!T10*'Output-Calculation-sheet'!T82</f>
        <v>294844520.4356097</v>
      </c>
      <c r="U99" s="2">
        <f>U11/'Output-Calculation-sheet'!U10*'Output-Calculation-sheet'!U82</f>
        <v>238952074.62698406</v>
      </c>
      <c r="V99" s="2">
        <f>V11/'Output-Calculation-sheet'!V10*'Output-Calculation-sheet'!V82</f>
        <v>111930574.9650338</v>
      </c>
      <c r="W99" s="2">
        <f>W11/'Output-Calculation-sheet'!W10*'Output-Calculation-sheet'!W82</f>
        <v>344071684.3675552</v>
      </c>
      <c r="X99" s="2">
        <f>X11/'Output-Calculation-sheet'!X10*'Output-Calculation-sheet'!X82</f>
        <v>196651407.36273566</v>
      </c>
      <c r="Y99" s="2">
        <f>Y11/'Output-Calculation-sheet'!Y10*'Output-Calculation-sheet'!Y82</f>
        <v>230942883.87663248</v>
      </c>
      <c r="AA99" s="2">
        <f t="shared" si="8"/>
        <v>42.126544622931981</v>
      </c>
    </row>
    <row r="100" spans="1:27" x14ac:dyDescent="0.25">
      <c r="A100" s="2">
        <v>2035</v>
      </c>
      <c r="B100" s="2">
        <f>B12/'Output-Calculation-sheet'!B11*'Output-Calculation-sheet'!B83</f>
        <v>11146444921.073156</v>
      </c>
      <c r="C100" s="2">
        <f>C12/'Output-Calculation-sheet'!C11*'Output-Calculation-sheet'!C83</f>
        <v>2501296023.7112627</v>
      </c>
      <c r="D100" s="2">
        <f>D12/'Output-Calculation-sheet'!D11*'Output-Calculation-sheet'!D83</f>
        <v>1602288538.5425761</v>
      </c>
      <c r="E100" s="2">
        <f>E12/'Output-Calculation-sheet'!E11*'Output-Calculation-sheet'!E83</f>
        <v>9422364672.3810291</v>
      </c>
      <c r="F100" s="2">
        <f>F12/'Output-Calculation-sheet'!F11*'Output-Calculation-sheet'!F83</f>
        <v>2143701110.8304131</v>
      </c>
      <c r="G100" s="2">
        <f>G12/'Output-Calculation-sheet'!G11*'Output-Calculation-sheet'!G83</f>
        <v>1136091485.6936181</v>
      </c>
      <c r="H100" s="2">
        <f>H12/'Output-Calculation-sheet'!H11*'Output-Calculation-sheet'!H83</f>
        <v>1785258870.7393577</v>
      </c>
      <c r="I100" s="2">
        <f>I12/'Output-Calculation-sheet'!I11*'Output-Calculation-sheet'!I83</f>
        <v>1004655002.2724611</v>
      </c>
      <c r="J100" s="2">
        <f>J12/'Output-Calculation-sheet'!J11*'Output-Calculation-sheet'!J83</f>
        <v>724477030.57507062</v>
      </c>
      <c r="K100" s="2">
        <f>K12/'Output-Calculation-sheet'!K11*'Output-Calculation-sheet'!K83</f>
        <v>842498220.39706266</v>
      </c>
      <c r="L100" s="2">
        <f>L12/'Output-Calculation-sheet'!L11*'Output-Calculation-sheet'!L83</f>
        <v>973377281.75865901</v>
      </c>
      <c r="M100" s="2">
        <f>M12/'Output-Calculation-sheet'!M11*'Output-Calculation-sheet'!M83</f>
        <v>1526478171.862349</v>
      </c>
      <c r="N100" s="2">
        <f>N12/'Output-Calculation-sheet'!N11*'Output-Calculation-sheet'!N83</f>
        <v>870586994.23228765</v>
      </c>
      <c r="O100" s="2">
        <f>O12/'Output-Calculation-sheet'!O11*'Output-Calculation-sheet'!O83</f>
        <v>317476156.78010672</v>
      </c>
      <c r="P100" s="2">
        <f>P12/'Output-Calculation-sheet'!P11*'Output-Calculation-sheet'!P83</f>
        <v>1482144401.6020513</v>
      </c>
      <c r="Q100" s="2">
        <f>Q12/'Output-Calculation-sheet'!Q11*'Output-Calculation-sheet'!Q83</f>
        <v>710689377.94535148</v>
      </c>
      <c r="R100" s="2">
        <f>R12/'Output-Calculation-sheet'!R11*'Output-Calculation-sheet'!R83</f>
        <v>966588747.83929896</v>
      </c>
      <c r="S100" s="2">
        <f>S12/'Output-Calculation-sheet'!S11*'Output-Calculation-sheet'!S83</f>
        <v>516882913.00423998</v>
      </c>
      <c r="T100" s="2">
        <f>T12/'Output-Calculation-sheet'!T11*'Output-Calculation-sheet'!T83</f>
        <v>272243960.76027894</v>
      </c>
      <c r="U100" s="2">
        <f>U12/'Output-Calculation-sheet'!U11*'Output-Calculation-sheet'!U83</f>
        <v>222248294.65904504</v>
      </c>
      <c r="V100" s="2">
        <f>V12/'Output-Calculation-sheet'!V11*'Output-Calculation-sheet'!V83</f>
        <v>105138976.86769433</v>
      </c>
      <c r="W100" s="2">
        <f>W12/'Output-Calculation-sheet'!W11*'Output-Calculation-sheet'!W83</f>
        <v>319693126.79482311</v>
      </c>
      <c r="X100" s="2">
        <f>X12/'Output-Calculation-sheet'!X11*'Output-Calculation-sheet'!X83</f>
        <v>200483817.7261866</v>
      </c>
      <c r="Y100" s="2">
        <f>Y12/'Output-Calculation-sheet'!Y11*'Output-Calculation-sheet'!Y83</f>
        <v>220994101.3007682</v>
      </c>
      <c r="AA100" s="2">
        <f t="shared" si="8"/>
        <v>41.014102199349139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13448557421.201969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4577668980.0951958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3158202279.561491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2241676287.0744543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342035529.53682953</v>
      </c>
      <c r="Y106" s="2">
        <f>Y7/'Output-Calculation-sheet'!Y6*'Output-Calculation-sheet'!Y87</f>
        <v>0</v>
      </c>
      <c r="AA106" s="2">
        <f t="shared" si="9"/>
        <v>24999.631678287955</v>
      </c>
    </row>
    <row r="107" spans="1:27" x14ac:dyDescent="0.25">
      <c r="A107" s="2">
        <v>2031</v>
      </c>
      <c r="B107" s="2">
        <f>B8/'Output-Calculation-sheet'!B7*'Output-Calculation-sheet'!B88</f>
        <v>1351703957.0047491</v>
      </c>
      <c r="C107" s="2">
        <f>C8/'Output-Calculation-sheet'!C7*'Output-Calculation-sheet'!C88</f>
        <v>17430634401.218491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6945570511.8136187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4791862820.4514828</v>
      </c>
      <c r="N107" s="2">
        <f>N8/'Output-Calculation-sheet'!N7*'Output-Calculation-sheet'!N88</f>
        <v>1599674898.7371557</v>
      </c>
      <c r="O107" s="2">
        <f>O8/'Output-Calculation-sheet'!O7*'Output-Calculation-sheet'!O88</f>
        <v>2746247981.335752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480601554.46397942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518959857.2006374</v>
      </c>
      <c r="Y107" s="2">
        <f>Y8/'Output-Calculation-sheet'!Y7*'Output-Calculation-sheet'!Y88</f>
        <v>0</v>
      </c>
      <c r="AA107" s="2">
        <f t="shared" si="9"/>
        <v>35865.25598222587</v>
      </c>
    </row>
    <row r="108" spans="1:27" x14ac:dyDescent="0.25">
      <c r="A108" s="2">
        <v>2032</v>
      </c>
      <c r="B108" s="2">
        <f>B9/'Output-Calculation-sheet'!B8*'Output-Calculation-sheet'!B89</f>
        <v>5879976722.4384298</v>
      </c>
      <c r="C108" s="2">
        <f>C9/'Output-Calculation-sheet'!C8*'Output-Calculation-sheet'!C89</f>
        <v>19973997867.923031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9196267194.0007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6344624719.9401464</v>
      </c>
      <c r="N108" s="2">
        <f>N9/'Output-Calculation-sheet'!N8*'Output-Calculation-sheet'!N89</f>
        <v>2985647694.0973387</v>
      </c>
      <c r="O108" s="2">
        <f>O9/'Output-Calculation-sheet'!O8*'Output-Calculation-sheet'!O89</f>
        <v>3196491820.5161939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888486479.13814127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687141821.87880909</v>
      </c>
      <c r="Y108" s="2">
        <f>Y9/'Output-Calculation-sheet'!Y8*'Output-Calculation-sheet'!Y89</f>
        <v>0</v>
      </c>
      <c r="AA108" s="2">
        <f t="shared" si="9"/>
        <v>49152.634319932782</v>
      </c>
    </row>
    <row r="109" spans="1:27" x14ac:dyDescent="0.25">
      <c r="A109" s="2">
        <v>2033</v>
      </c>
      <c r="B109" s="2">
        <f>B10/'Output-Calculation-sheet'!B9*'Output-Calculation-sheet'!B90</f>
        <v>15301617124.265177</v>
      </c>
      <c r="C109" s="2">
        <f>C10/'Output-Calculation-sheet'!C9*'Output-Calculation-sheet'!C90</f>
        <v>22570469057.486599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11197643862.657461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7725401181.4523344</v>
      </c>
      <c r="N109" s="2">
        <f>N10/'Output-Calculation-sheet'!N9*'Output-Calculation-sheet'!N90</f>
        <v>4550895520.3646603</v>
      </c>
      <c r="O109" s="2">
        <f>O10/'Output-Calculation-sheet'!O9*'Output-Calculation-sheet'!O90</f>
        <v>3525954609.0478382</v>
      </c>
      <c r="P109" s="2">
        <f>P10/'Output-Calculation-sheet'!P9*'Output-Calculation-sheet'!P90</f>
        <v>0</v>
      </c>
      <c r="Q109" s="2">
        <f>Q10/'Output-Calculation-sheet'!Q9*'Output-Calculation-sheet'!Q90</f>
        <v>148116458.40087381</v>
      </c>
      <c r="R109" s="2">
        <f>R10/'Output-Calculation-sheet'!R9*'Output-Calculation-sheet'!R90</f>
        <v>-3.0518043198093637E-7</v>
      </c>
      <c r="S109" s="2">
        <f>S10/'Output-Calculation-sheet'!S9*'Output-Calculation-sheet'!S90</f>
        <v>1829296161.7559664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836684321.47889078</v>
      </c>
      <c r="Y109" s="2">
        <f>Y10/'Output-Calculation-sheet'!Y9*'Output-Calculation-sheet'!Y90</f>
        <v>0</v>
      </c>
      <c r="AA109" s="2">
        <f t="shared" si="9"/>
        <v>67686.078296909793</v>
      </c>
    </row>
    <row r="110" spans="1:27" x14ac:dyDescent="0.25">
      <c r="A110" s="2">
        <v>2034</v>
      </c>
      <c r="B110" s="2">
        <f>B11/'Output-Calculation-sheet'!B10*'Output-Calculation-sheet'!B91</f>
        <v>34223412874.124432</v>
      </c>
      <c r="C110" s="2">
        <f>C11/'Output-Calculation-sheet'!C10*'Output-Calculation-sheet'!C91</f>
        <v>25227656223.716503</v>
      </c>
      <c r="D110" s="2">
        <f>D11/'Output-Calculation-sheet'!D10*'Output-Calculation-sheet'!D91</f>
        <v>0</v>
      </c>
      <c r="E110" s="2">
        <f>E11/'Output-Calculation-sheet'!E10*'Output-Calculation-sheet'!E91</f>
        <v>724345432.2215668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12475471033.966494</v>
      </c>
      <c r="I110" s="2">
        <f>I11/'Output-Calculation-sheet'!I10*'Output-Calculation-sheet'!I91</f>
        <v>-1.2010881591988289E-6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582196130.74164307</v>
      </c>
      <c r="M110" s="2">
        <f>M11/'Output-Calculation-sheet'!M10*'Output-Calculation-sheet'!M91</f>
        <v>8829441583.0014477</v>
      </c>
      <c r="N110" s="2">
        <f>N11/'Output-Calculation-sheet'!N10*'Output-Calculation-sheet'!N91</f>
        <v>6110574474.5433455</v>
      </c>
      <c r="O110" s="2">
        <f>O11/'Output-Calculation-sheet'!O10*'Output-Calculation-sheet'!O91</f>
        <v>3874481434.0976658</v>
      </c>
      <c r="P110" s="2">
        <f>P11/'Output-Calculation-sheet'!P10*'Output-Calculation-sheet'!P91</f>
        <v>0</v>
      </c>
      <c r="Q110" s="2">
        <f>Q11/'Output-Calculation-sheet'!Q10*'Output-Calculation-sheet'!Q91</f>
        <v>978201635.20370197</v>
      </c>
      <c r="R110" s="2">
        <f>R11/'Output-Calculation-sheet'!R10*'Output-Calculation-sheet'!R91</f>
        <v>0</v>
      </c>
      <c r="S110" s="2">
        <f>S11/'Output-Calculation-sheet'!S10*'Output-Calculation-sheet'!S91</f>
        <v>2991387127.4952922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861947097.60152054</v>
      </c>
      <c r="Y110" s="2">
        <f>Y11/'Output-Calculation-sheet'!Y10*'Output-Calculation-sheet'!Y91</f>
        <v>38329350.668735027</v>
      </c>
      <c r="AA110" s="2">
        <f t="shared" si="9"/>
        <v>96917.444397382336</v>
      </c>
    </row>
    <row r="111" spans="1:27" x14ac:dyDescent="0.25">
      <c r="A111" s="2">
        <v>2035</v>
      </c>
      <c r="B111" s="2">
        <f>B12/'Output-Calculation-sheet'!B11*'Output-Calculation-sheet'!B92</f>
        <v>33480269095.738476</v>
      </c>
      <c r="C111" s="2">
        <f>C12/'Output-Calculation-sheet'!C11*'Output-Calculation-sheet'!C92</f>
        <v>29353830093.436226</v>
      </c>
      <c r="D111" s="2">
        <f>D12/'Output-Calculation-sheet'!D11*'Output-Calculation-sheet'!D92</f>
        <v>-8.763071284577618E-7</v>
      </c>
      <c r="E111" s="2">
        <f>E12/'Output-Calculation-sheet'!E11*'Output-Calculation-sheet'!E92</f>
        <v>2715525554.0147638</v>
      </c>
      <c r="F111" s="2">
        <f>F12/'Output-Calculation-sheet'!F11*'Output-Calculation-sheet'!F92</f>
        <v>-1.9250954627774334E-7</v>
      </c>
      <c r="G111" s="2">
        <f>G12/'Output-Calculation-sheet'!G11*'Output-Calculation-sheet'!G92</f>
        <v>0</v>
      </c>
      <c r="H111" s="2">
        <f>H12/'Output-Calculation-sheet'!H11*'Output-Calculation-sheet'!H92</f>
        <v>12201496275.025051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1321308959.8543708</v>
      </c>
      <c r="M111" s="2">
        <f>M12/'Output-Calculation-sheet'!M11*'Output-Calculation-sheet'!M92</f>
        <v>8694809861.1408615</v>
      </c>
      <c r="N111" s="2">
        <f>N12/'Output-Calculation-sheet'!N11*'Output-Calculation-sheet'!N92</f>
        <v>6121629027.1836176</v>
      </c>
      <c r="O111" s="2">
        <f>O12/'Output-Calculation-sheet'!O11*'Output-Calculation-sheet'!O92</f>
        <v>4435563497.6463404</v>
      </c>
      <c r="P111" s="2">
        <f>P12/'Output-Calculation-sheet'!P11*'Output-Calculation-sheet'!P92</f>
        <v>263046450.00790054</v>
      </c>
      <c r="Q111" s="2">
        <f>Q12/'Output-Calculation-sheet'!Q11*'Output-Calculation-sheet'!Q92</f>
        <v>1163378365.003515</v>
      </c>
      <c r="R111" s="2">
        <f>R12/'Output-Calculation-sheet'!R11*'Output-Calculation-sheet'!R92</f>
        <v>0</v>
      </c>
      <c r="S111" s="2">
        <f>S12/'Output-Calculation-sheet'!S11*'Output-Calculation-sheet'!S92</f>
        <v>2924452847.0727711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849910322.24007392</v>
      </c>
      <c r="Y111" s="2">
        <f>Y12/'Output-Calculation-sheet'!Y11*'Output-Calculation-sheet'!Y92</f>
        <v>57553560.389175817</v>
      </c>
      <c r="AA111" s="2">
        <f t="shared" si="9"/>
        <v>103582.77390875314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45897470261.574066</v>
      </c>
      <c r="C118" s="2">
        <f>C8/'Output-Calculation-sheet'!C7*'Output-Calculation-sheet'!C97</f>
        <v>0</v>
      </c>
      <c r="D118" s="2">
        <f>D8/'Output-Calculation-sheet'!D7*'Output-Calculation-sheet'!D97</f>
        <v>19845197620.393135</v>
      </c>
      <c r="E118" s="2">
        <f>E8/'Output-Calculation-sheet'!E7*'Output-Calculation-sheet'!E97</f>
        <v>15745150484.662485</v>
      </c>
      <c r="F118" s="2">
        <f>F8/'Output-Calculation-sheet'!F7*'Output-Calculation-sheet'!F97</f>
        <v>10135718376.232706</v>
      </c>
      <c r="G118" s="2">
        <f>G8/'Output-Calculation-sheet'!G7*'Output-Calculation-sheet'!G97</f>
        <v>7121633898.423872</v>
      </c>
      <c r="H118" s="2">
        <f>H8/'Output-Calculation-sheet'!H7*'Output-Calculation-sheet'!H97</f>
        <v>0</v>
      </c>
      <c r="I118" s="2">
        <f>I8/'Output-Calculation-sheet'!I7*'Output-Calculation-sheet'!I97</f>
        <v>6488369076.5523472</v>
      </c>
      <c r="J118" s="2">
        <f>J8/'Output-Calculation-sheet'!J7*'Output-Calculation-sheet'!J97</f>
        <v>6315331567.4824781</v>
      </c>
      <c r="K118" s="2">
        <f>K8/'Output-Calculation-sheet'!K7*'Output-Calculation-sheet'!K97</f>
        <v>6254786559.9511766</v>
      </c>
      <c r="L118" s="2">
        <f>L8/'Output-Calculation-sheet'!L7*'Output-Calculation-sheet'!L97</f>
        <v>5017671107.9531097</v>
      </c>
      <c r="M118" s="2">
        <f>M8/'Output-Calculation-sheet'!M7*'Output-Calculation-sheet'!M97</f>
        <v>0</v>
      </c>
      <c r="N118" s="2">
        <f>N8/'Output-Calculation-sheet'!N7*'Output-Calculation-sheet'!N97</f>
        <v>3104351215.5081959</v>
      </c>
      <c r="O118" s="2">
        <f>O8/'Output-Calculation-sheet'!O7*'Output-Calculation-sheet'!O97</f>
        <v>0</v>
      </c>
      <c r="P118" s="2">
        <f>P8/'Output-Calculation-sheet'!P7*'Output-Calculation-sheet'!P97</f>
        <v>4282323590.5245528</v>
      </c>
      <c r="Q118" s="2">
        <f>Q8/'Output-Calculation-sheet'!Q7*'Output-Calculation-sheet'!Q97</f>
        <v>4213113521.8106499</v>
      </c>
      <c r="R118" s="2">
        <f>R8/'Output-Calculation-sheet'!R7*'Output-Calculation-sheet'!R97</f>
        <v>4053208970.2317243</v>
      </c>
      <c r="S118" s="2">
        <f>S8/'Output-Calculation-sheet'!S7*'Output-Calculation-sheet'!S97</f>
        <v>2213369077.1321392</v>
      </c>
      <c r="T118" s="2">
        <f>T8/'Output-Calculation-sheet'!T7*'Output-Calculation-sheet'!T97</f>
        <v>1489925056.1645958</v>
      </c>
      <c r="U118" s="2">
        <f>U8/'Output-Calculation-sheet'!U7*'Output-Calculation-sheet'!U97</f>
        <v>1297673560.5197587</v>
      </c>
      <c r="V118" s="2">
        <f>V8/'Output-Calculation-sheet'!V7*'Output-Calculation-sheet'!V97</f>
        <v>999234987.73211777</v>
      </c>
      <c r="W118" s="2">
        <f>W8/'Output-Calculation-sheet'!W7*'Output-Calculation-sheet'!W97</f>
        <v>865115706.74821794</v>
      </c>
      <c r="X118" s="2">
        <f>X8/'Output-Calculation-sheet'!X7*'Output-Calculation-sheet'!X97</f>
        <v>0</v>
      </c>
      <c r="Y118" s="2">
        <f>Y8/'Output-Calculation-sheet'!Y7*'Output-Calculation-sheet'!Y97</f>
        <v>504790021.63541412</v>
      </c>
      <c r="AA118" s="2">
        <f t="shared" si="10"/>
        <v>145844.43466123272</v>
      </c>
    </row>
    <row r="119" spans="1:27" x14ac:dyDescent="0.25">
      <c r="A119" s="2">
        <v>2032</v>
      </c>
      <c r="B119" s="2">
        <f>B9/'Output-Calculation-sheet'!B8*'Output-Calculation-sheet'!B98</f>
        <v>56679653396.314407</v>
      </c>
      <c r="C119" s="2">
        <f>C9/'Output-Calculation-sheet'!C8*'Output-Calculation-sheet'!C98</f>
        <v>0</v>
      </c>
      <c r="D119" s="2">
        <f>D9/'Output-Calculation-sheet'!D8*'Output-Calculation-sheet'!D98</f>
        <v>26275767505.52758</v>
      </c>
      <c r="E119" s="2">
        <f>E9/'Output-Calculation-sheet'!E8*'Output-Calculation-sheet'!E98</f>
        <v>20847150240.509422</v>
      </c>
      <c r="F119" s="2">
        <f>F9/'Output-Calculation-sheet'!F8*'Output-Calculation-sheet'!F98</f>
        <v>13420062857.483471</v>
      </c>
      <c r="G119" s="2">
        <f>G9/'Output-Calculation-sheet'!G8*'Output-Calculation-sheet'!G98</f>
        <v>9429304498.2657032</v>
      </c>
      <c r="H119" s="2">
        <f>H9/'Output-Calculation-sheet'!H8*'Output-Calculation-sheet'!H98</f>
        <v>1.9797084888636063E-7</v>
      </c>
      <c r="I119" s="2">
        <f>I9/'Output-Calculation-sheet'!I8*'Output-Calculation-sheet'!I98</f>
        <v>8590839291.9430027</v>
      </c>
      <c r="J119" s="2">
        <f>J9/'Output-Calculation-sheet'!J8*'Output-Calculation-sheet'!J98</f>
        <v>8361728018.9569454</v>
      </c>
      <c r="K119" s="2">
        <f>K9/'Output-Calculation-sheet'!K8*'Output-Calculation-sheet'!K98</f>
        <v>8281565532.5027828</v>
      </c>
      <c r="L119" s="2">
        <f>L9/'Output-Calculation-sheet'!L8*'Output-Calculation-sheet'!L98</f>
        <v>6643581107.2304602</v>
      </c>
      <c r="M119" s="2">
        <f>M9/'Output-Calculation-sheet'!M8*'Output-Calculation-sheet'!M98</f>
        <v>0</v>
      </c>
      <c r="N119" s="2">
        <f>N9/'Output-Calculation-sheet'!N8*'Output-Calculation-sheet'!N98</f>
        <v>3242133598.6018457</v>
      </c>
      <c r="O119" s="2">
        <f>O9/'Output-Calculation-sheet'!O8*'Output-Calculation-sheet'!O98</f>
        <v>0</v>
      </c>
      <c r="P119" s="2">
        <f>P9/'Output-Calculation-sheet'!P8*'Output-Calculation-sheet'!P98</f>
        <v>5669915607.3312931</v>
      </c>
      <c r="Q119" s="2">
        <f>Q9/'Output-Calculation-sheet'!Q8*'Output-Calculation-sheet'!Q98</f>
        <v>5578316388.2038069</v>
      </c>
      <c r="R119" s="2">
        <f>R9/'Output-Calculation-sheet'!R8*'Output-Calculation-sheet'!R98</f>
        <v>5366597345.7083044</v>
      </c>
      <c r="S119" s="2">
        <f>S9/'Output-Calculation-sheet'!S8*'Output-Calculation-sheet'!S98</f>
        <v>2678240592.7089572</v>
      </c>
      <c r="T119" s="2">
        <f>T9/'Output-Calculation-sheet'!T8*'Output-Calculation-sheet'!T98</f>
        <v>1972714960.3476269</v>
      </c>
      <c r="U119" s="2">
        <f>U9/'Output-Calculation-sheet'!U8*'Output-Calculation-sheet'!U98</f>
        <v>1718167663.1712368</v>
      </c>
      <c r="V119" s="2">
        <f>V9/'Output-Calculation-sheet'!V8*'Output-Calculation-sheet'!V98</f>
        <v>1323023464.2118375</v>
      </c>
      <c r="W119" s="2">
        <f>W9/'Output-Calculation-sheet'!W8*'Output-Calculation-sheet'!W98</f>
        <v>1145444928.7894905</v>
      </c>
      <c r="X119" s="2">
        <f>X9/'Output-Calculation-sheet'!X8*'Output-Calculation-sheet'!X98</f>
        <v>0</v>
      </c>
      <c r="Y119" s="2">
        <f>Y9/'Output-Calculation-sheet'!Y8*'Output-Calculation-sheet'!Y98</f>
        <v>668360243.56833375</v>
      </c>
      <c r="AA119" s="2">
        <f t="shared" si="10"/>
        <v>187892.5672413765</v>
      </c>
    </row>
    <row r="120" spans="1:27" x14ac:dyDescent="0.25">
      <c r="A120" s="2">
        <v>2033</v>
      </c>
      <c r="B120" s="2">
        <f>B10/'Output-Calculation-sheet'!B9*'Output-Calculation-sheet'!B99</f>
        <v>60865899320.76255</v>
      </c>
      <c r="C120" s="2">
        <f>C10/'Output-Calculation-sheet'!C9*'Output-Calculation-sheet'!C99</f>
        <v>0</v>
      </c>
      <c r="D120" s="2">
        <f>D10/'Output-Calculation-sheet'!D9*'Output-Calculation-sheet'!D99</f>
        <v>31993184412.844173</v>
      </c>
      <c r="E120" s="2">
        <f>E10/'Output-Calculation-sheet'!E9*'Output-Calculation-sheet'!E99</f>
        <v>25383341958.62904</v>
      </c>
      <c r="F120" s="2">
        <f>F10/'Output-Calculation-sheet'!F9*'Output-Calculation-sheet'!F99</f>
        <v>16340168091.177828</v>
      </c>
      <c r="G120" s="2">
        <f>G10/'Output-Calculation-sheet'!G9*'Output-Calculation-sheet'!G99</f>
        <v>11481050544.670778</v>
      </c>
      <c r="H120" s="2">
        <f>H10/'Output-Calculation-sheet'!H9*'Output-Calculation-sheet'!H99</f>
        <v>0</v>
      </c>
      <c r="I120" s="2">
        <f>I10/'Output-Calculation-sheet'!I9*'Output-Calculation-sheet'!I99</f>
        <v>10460142147.22089</v>
      </c>
      <c r="J120" s="2">
        <f>J10/'Output-Calculation-sheet'!J9*'Output-Calculation-sheet'!J99</f>
        <v>10181177944.474339</v>
      </c>
      <c r="K120" s="2">
        <f>K10/'Output-Calculation-sheet'!K9*'Output-Calculation-sheet'!K99</f>
        <v>10083573750.796139</v>
      </c>
      <c r="L120" s="2">
        <f>L10/'Output-Calculation-sheet'!L9*'Output-Calculation-sheet'!L99</f>
        <v>8089175028.3148556</v>
      </c>
      <c r="M120" s="2">
        <f>M10/'Output-Calculation-sheet'!M9*'Output-Calculation-sheet'!M99</f>
        <v>0</v>
      </c>
      <c r="N120" s="2">
        <f>N10/'Output-Calculation-sheet'!N9*'Output-Calculation-sheet'!N99</f>
        <v>3031562365.3391447</v>
      </c>
      <c r="O120" s="2">
        <f>O10/'Output-Calculation-sheet'!O9*'Output-Calculation-sheet'!O99</f>
        <v>0</v>
      </c>
      <c r="P120" s="2">
        <f>P10/'Output-Calculation-sheet'!P9*'Output-Calculation-sheet'!P99</f>
        <v>6903288412.747592</v>
      </c>
      <c r="Q120" s="2">
        <f>Q10/'Output-Calculation-sheet'!Q9*'Output-Calculation-sheet'!Q99</f>
        <v>6643935101.5195646</v>
      </c>
      <c r="R120" s="2">
        <f>R10/'Output-Calculation-sheet'!R9*'Output-Calculation-sheet'!R99</f>
        <v>6534018929.0268259</v>
      </c>
      <c r="S120" s="2">
        <f>S10/'Output-Calculation-sheet'!S9*'Output-Calculation-sheet'!S99</f>
        <v>2513230672.6931858</v>
      </c>
      <c r="T120" s="2">
        <f>T10/'Output-Calculation-sheet'!T9*'Output-Calculation-sheet'!T99</f>
        <v>2401942429.6735892</v>
      </c>
      <c r="U120" s="2">
        <f>U10/'Output-Calculation-sheet'!U9*'Output-Calculation-sheet'!U99</f>
        <v>2092482869.1048896</v>
      </c>
      <c r="V120" s="2">
        <f>V10/'Output-Calculation-sheet'!V9*'Output-Calculation-sheet'!V99</f>
        <v>1610903629.7038255</v>
      </c>
      <c r="W120" s="2">
        <f>W10/'Output-Calculation-sheet'!W9*'Output-Calculation-sheet'!W99</f>
        <v>1394685531.7365596</v>
      </c>
      <c r="X120" s="2">
        <f>X10/'Output-Calculation-sheet'!X9*'Output-Calculation-sheet'!X99</f>
        <v>0</v>
      </c>
      <c r="Y120" s="2">
        <f>Y10/'Output-Calculation-sheet'!Y9*'Output-Calculation-sheet'!Y99</f>
        <v>813791694.21084988</v>
      </c>
      <c r="AA120" s="2">
        <f t="shared" si="10"/>
        <v>218817.55483464661</v>
      </c>
    </row>
    <row r="121" spans="1:27" x14ac:dyDescent="0.25">
      <c r="A121" s="2">
        <v>2034</v>
      </c>
      <c r="B121" s="2">
        <f>B11/'Output-Calculation-sheet'!B10*'Output-Calculation-sheet'!B100</f>
        <v>52821672045.538292</v>
      </c>
      <c r="C121" s="2">
        <f>C11/'Output-Calculation-sheet'!C10*'Output-Calculation-sheet'!C100</f>
        <v>0</v>
      </c>
      <c r="D121" s="2">
        <f>D11/'Output-Calculation-sheet'!D10*'Output-Calculation-sheet'!D100</f>
        <v>36564559646.018204</v>
      </c>
      <c r="E121" s="2">
        <f>E11/'Output-Calculation-sheet'!E10*'Output-Calculation-sheet'!E100</f>
        <v>28290715493.701584</v>
      </c>
      <c r="F121" s="2">
        <f>F11/'Output-Calculation-sheet'!F10*'Output-Calculation-sheet'!F100</f>
        <v>18675092160.359554</v>
      </c>
      <c r="G121" s="2">
        <f>G11/'Output-Calculation-sheet'!G10*'Output-Calculation-sheet'!G100</f>
        <v>13120819999.705114</v>
      </c>
      <c r="H121" s="2">
        <f>H11/'Output-Calculation-sheet'!H10*'Output-Calculation-sheet'!H100</f>
        <v>0</v>
      </c>
      <c r="I121" s="2">
        <f>I11/'Output-Calculation-sheet'!I10*'Output-Calculation-sheet'!I100</f>
        <v>11954331463.384274</v>
      </c>
      <c r="J121" s="2">
        <f>J11/'Output-Calculation-sheet'!J10*'Output-Calculation-sheet'!J100</f>
        <v>11635634044.775547</v>
      </c>
      <c r="K121" s="2">
        <f>K11/'Output-Calculation-sheet'!K10*'Output-Calculation-sheet'!K100</f>
        <v>11524379085.656111</v>
      </c>
      <c r="L121" s="2">
        <f>L11/'Output-Calculation-sheet'!L10*'Output-Calculation-sheet'!L100</f>
        <v>8662547334.2122879</v>
      </c>
      <c r="M121" s="2">
        <f>M11/'Output-Calculation-sheet'!M10*'Output-Calculation-sheet'!M100</f>
        <v>6.189040666367036E-7</v>
      </c>
      <c r="N121" s="2">
        <f>N11/'Output-Calculation-sheet'!N10*'Output-Calculation-sheet'!N100</f>
        <v>2555496616.7711091</v>
      </c>
      <c r="O121" s="2">
        <f>O11/'Output-Calculation-sheet'!O10*'Output-Calculation-sheet'!O100</f>
        <v>0</v>
      </c>
      <c r="P121" s="2">
        <f>P11/'Output-Calculation-sheet'!P10*'Output-Calculation-sheet'!P100</f>
        <v>7889338304.8810253</v>
      </c>
      <c r="Q121" s="2">
        <f>Q11/'Output-Calculation-sheet'!Q10*'Output-Calculation-sheet'!Q100</f>
        <v>6537939891.3822069</v>
      </c>
      <c r="R121" s="2">
        <f>R11/'Output-Calculation-sheet'!R10*'Output-Calculation-sheet'!R100</f>
        <v>7467315768.0673246</v>
      </c>
      <c r="S121" s="2">
        <f>S11/'Output-Calculation-sheet'!S10*'Output-Calculation-sheet'!S100</f>
        <v>1971586184.7934501</v>
      </c>
      <c r="T121" s="2">
        <f>T11/'Output-Calculation-sheet'!T10*'Output-Calculation-sheet'!T100</f>
        <v>2744983384.8563919</v>
      </c>
      <c r="U121" s="2">
        <f>U11/'Output-Calculation-sheet'!U10*'Output-Calculation-sheet'!U100</f>
        <v>2313296157.0642414</v>
      </c>
      <c r="V121" s="2">
        <f>V11/'Output-Calculation-sheet'!V10*'Output-Calculation-sheet'!V100</f>
        <v>1841600595.1934669</v>
      </c>
      <c r="W121" s="2">
        <f>W11/'Output-Calculation-sheet'!W10*'Output-Calculation-sheet'!W100</f>
        <v>1594013786.2172749</v>
      </c>
      <c r="X121" s="2">
        <f>X11/'Output-Calculation-sheet'!X10*'Output-Calculation-sheet'!X100</f>
        <v>61387765.532084279</v>
      </c>
      <c r="Y121" s="2">
        <f>Y11/'Output-Calculation-sheet'!Y10*'Output-Calculation-sheet'!Y100</f>
        <v>891724910.22921741</v>
      </c>
      <c r="AA121" s="2">
        <f t="shared" si="10"/>
        <v>229118.43463833875</v>
      </c>
    </row>
    <row r="122" spans="1:27" x14ac:dyDescent="0.25">
      <c r="A122" s="2">
        <v>2035</v>
      </c>
      <c r="B122" s="2">
        <f>B12/'Output-Calculation-sheet'!B11*'Output-Calculation-sheet'!B101</f>
        <v>50157313599.004318</v>
      </c>
      <c r="C122" s="2">
        <f>C12/'Output-Calculation-sheet'!C11*'Output-Calculation-sheet'!C101</f>
        <v>0</v>
      </c>
      <c r="D122" s="2">
        <f>D12/'Output-Calculation-sheet'!D11*'Output-Calculation-sheet'!D101</f>
        <v>35099290504.409599</v>
      </c>
      <c r="E122" s="2">
        <f>E12/'Output-Calculation-sheet'!E11*'Output-Calculation-sheet'!E101</f>
        <v>27257784822.50753</v>
      </c>
      <c r="F122" s="2">
        <f>F12/'Output-Calculation-sheet'!F11*'Output-Calculation-sheet'!F101</f>
        <v>18569457631.915222</v>
      </c>
      <c r="G122" s="2">
        <f>G12/'Output-Calculation-sheet'!G11*'Output-Calculation-sheet'!G101</f>
        <v>12582253829.540798</v>
      </c>
      <c r="H122" s="2">
        <f>H12/'Output-Calculation-sheet'!H11*'Output-Calculation-sheet'!H101</f>
        <v>0</v>
      </c>
      <c r="I122" s="2">
        <f>I12/'Output-Calculation-sheet'!I11*'Output-Calculation-sheet'!I101</f>
        <v>11545204486.909321</v>
      </c>
      <c r="J122" s="2">
        <f>J12/'Output-Calculation-sheet'!J11*'Output-Calculation-sheet'!J101</f>
        <v>11557808610.10537</v>
      </c>
      <c r="K122" s="2">
        <f>K12/'Output-Calculation-sheet'!K11*'Output-Calculation-sheet'!K101</f>
        <v>11347148195.131317</v>
      </c>
      <c r="L122" s="2">
        <f>L12/'Output-Calculation-sheet'!L11*'Output-Calculation-sheet'!L101</f>
        <v>8220271200.1926165</v>
      </c>
      <c r="M122" s="2">
        <f>M12/'Output-Calculation-sheet'!M11*'Output-Calculation-sheet'!M101</f>
        <v>0</v>
      </c>
      <c r="N122" s="2">
        <f>N12/'Output-Calculation-sheet'!N11*'Output-Calculation-sheet'!N101</f>
        <v>2393501461.7878194</v>
      </c>
      <c r="O122" s="2">
        <f>O12/'Output-Calculation-sheet'!O11*'Output-Calculation-sheet'!O101</f>
        <v>0</v>
      </c>
      <c r="P122" s="2">
        <f>P12/'Output-Calculation-sheet'!P11*'Output-Calculation-sheet'!P101</f>
        <v>7630499349.5694418</v>
      </c>
      <c r="Q122" s="2">
        <f>Q12/'Output-Calculation-sheet'!Q11*'Output-Calculation-sheet'!Q101</f>
        <v>6168866497.0393791</v>
      </c>
      <c r="R122" s="2">
        <f>R12/'Output-Calculation-sheet'!R11*'Output-Calculation-sheet'!R101</f>
        <v>7558032135.3316193</v>
      </c>
      <c r="S122" s="2">
        <f>S12/'Output-Calculation-sheet'!S11*'Output-Calculation-sheet'!S101</f>
        <v>1807865257.5012836</v>
      </c>
      <c r="T122" s="2">
        <f>T12/'Output-Calculation-sheet'!T11*'Output-Calculation-sheet'!T101</f>
        <v>2820401401.7262836</v>
      </c>
      <c r="U122" s="2">
        <f>U12/'Output-Calculation-sheet'!U11*'Output-Calculation-sheet'!U101</f>
        <v>2227529337.8385706</v>
      </c>
      <c r="V122" s="2">
        <f>V12/'Output-Calculation-sheet'!V11*'Output-Calculation-sheet'!V101</f>
        <v>1939660988.9063265</v>
      </c>
      <c r="W122" s="2">
        <f>W12/'Output-Calculation-sheet'!W11*'Output-Calculation-sheet'!W101</f>
        <v>1634694735.0023093</v>
      </c>
      <c r="X122" s="2">
        <f>X12/'Output-Calculation-sheet'!X11*'Output-Calculation-sheet'!X101</f>
        <v>57637330.635495424</v>
      </c>
      <c r="Y122" s="2">
        <f>Y12/'Output-Calculation-sheet'!Y11*'Output-Calculation-sheet'!Y101</f>
        <v>863517156.54640234</v>
      </c>
      <c r="AA122" s="2">
        <f t="shared" si="10"/>
        <v>221438.73853160103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25849499348.148827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5417144332.2044296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208689.9210222766</v>
      </c>
    </row>
    <row r="129" spans="1:27" x14ac:dyDescent="0.25">
      <c r="A129" s="2">
        <v>2031</v>
      </c>
      <c r="B129" s="2">
        <f>B8/'Output-Calculation-sheet'!B7*'Output-Calculation-sheet'!B106</f>
        <v>47249175079.029663</v>
      </c>
      <c r="C129" s="2">
        <f>C8/'Output-Calculation-sheet'!C7*'Output-Calculation-sheet'!C106</f>
        <v>27693609933.787338</v>
      </c>
      <c r="D129" s="2">
        <f>D8/'Output-Calculation-sheet'!D7*'Output-Calculation-sheet'!D106</f>
        <v>19845197620.393135</v>
      </c>
      <c r="E129" s="2">
        <f>E8/'Output-Calculation-sheet'!E7*'Output-Calculation-sheet'!E106</f>
        <v>15745150484.662485</v>
      </c>
      <c r="F129" s="2">
        <f>F8/'Output-Calculation-sheet'!F7*'Output-Calculation-sheet'!F106</f>
        <v>10135718376.232706</v>
      </c>
      <c r="G129" s="2">
        <f>G8/'Output-Calculation-sheet'!G7*'Output-Calculation-sheet'!G106</f>
        <v>7121633898.423872</v>
      </c>
      <c r="H129" s="2">
        <f>H8/'Output-Calculation-sheet'!H7*'Output-Calculation-sheet'!H106</f>
        <v>6946880491.2953863</v>
      </c>
      <c r="I129" s="2">
        <f>I8/'Output-Calculation-sheet'!I7*'Output-Calculation-sheet'!I106</f>
        <v>6488369076.5523472</v>
      </c>
      <c r="J129" s="2">
        <f>J8/'Output-Calculation-sheet'!J7*'Output-Calculation-sheet'!J106</f>
        <v>6315331567.4824781</v>
      </c>
      <c r="K129" s="2">
        <f>K8/'Output-Calculation-sheet'!K7*'Output-Calculation-sheet'!K106</f>
        <v>6254786559.9511766</v>
      </c>
      <c r="L129" s="2">
        <f>L8/'Output-Calculation-sheet'!L7*'Output-Calculation-sheet'!L106</f>
        <v>5017671107.9531097</v>
      </c>
      <c r="M129" s="2">
        <f>M8/'Output-Calculation-sheet'!M7*'Output-Calculation-sheet'!M106</f>
        <v>4792741957.8800106</v>
      </c>
      <c r="N129" s="2">
        <f>N8/'Output-Calculation-sheet'!N7*'Output-Calculation-sheet'!N106</f>
        <v>4704063301.2514286</v>
      </c>
      <c r="O129" s="2">
        <f>O8/'Output-Calculation-sheet'!O7*'Output-Calculation-sheet'!O106</f>
        <v>6033340112.8782415</v>
      </c>
      <c r="P129" s="2">
        <f>P8/'Output-Calculation-sheet'!P7*'Output-Calculation-sheet'!P106</f>
        <v>4282323590.5245528</v>
      </c>
      <c r="Q129" s="2">
        <f>Q8/'Output-Calculation-sheet'!Q7*'Output-Calculation-sheet'!Q106</f>
        <v>4213113521.8106499</v>
      </c>
      <c r="R129" s="2">
        <f>R8/'Output-Calculation-sheet'!R7*'Output-Calculation-sheet'!R106</f>
        <v>4053208970.2317243</v>
      </c>
      <c r="S129" s="2">
        <f>S8/'Output-Calculation-sheet'!S7*'Output-Calculation-sheet'!S106</f>
        <v>2693970318.1135044</v>
      </c>
      <c r="T129" s="2">
        <f>T8/'Output-Calculation-sheet'!T7*'Output-Calculation-sheet'!T106</f>
        <v>1489925056.1645958</v>
      </c>
      <c r="U129" s="2">
        <f>U8/'Output-Calculation-sheet'!U7*'Output-Calculation-sheet'!U106</f>
        <v>1297673560.5197587</v>
      </c>
      <c r="V129" s="2">
        <f>V8/'Output-Calculation-sheet'!V7*'Output-Calculation-sheet'!V106</f>
        <v>999234987.73211777</v>
      </c>
      <c r="W129" s="2">
        <f>W8/'Output-Calculation-sheet'!W7*'Output-Calculation-sheet'!W106</f>
        <v>865115706.74821794</v>
      </c>
      <c r="X129" s="2">
        <f>X8/'Output-Calculation-sheet'!X7*'Output-Calculation-sheet'!X106</f>
        <v>519069526.1241886</v>
      </c>
      <c r="Y129" s="2">
        <f>Y8/'Output-Calculation-sheet'!Y7*'Output-Calculation-sheet'!Y106</f>
        <v>504790021.63541412</v>
      </c>
      <c r="AA129" s="2">
        <f t="shared" si="11"/>
        <v>195262.09482737808</v>
      </c>
    </row>
    <row r="130" spans="1:27" x14ac:dyDescent="0.25">
      <c r="A130" s="2">
        <v>2032</v>
      </c>
      <c r="B130" s="2">
        <f>B9/'Output-Calculation-sheet'!B8*'Output-Calculation-sheet'!B107</f>
        <v>37535783542.866203</v>
      </c>
      <c r="C130" s="2">
        <f>C9/'Output-Calculation-sheet'!C8*'Output-Calculation-sheet'!C107</f>
        <v>28227922034.194233</v>
      </c>
      <c r="D130" s="2">
        <f>D9/'Output-Calculation-sheet'!D8*'Output-Calculation-sheet'!D107</f>
        <v>15765457216.944649</v>
      </c>
      <c r="E130" s="2">
        <f>E9/'Output-Calculation-sheet'!E8*'Output-Calculation-sheet'!E107</f>
        <v>12508288838.411114</v>
      </c>
      <c r="F130" s="2">
        <f>F9/'Output-Calculation-sheet'!F8*'Output-Calculation-sheet'!F107</f>
        <v>8052038535.808198</v>
      </c>
      <c r="G130" s="2">
        <f>G9/'Output-Calculation-sheet'!G8*'Output-Calculation-sheet'!G107</f>
        <v>5657583288.4055262</v>
      </c>
      <c r="H130" s="2">
        <f>H9/'Output-Calculation-sheet'!H8*'Output-Calculation-sheet'!H107</f>
        <v>5518753883.9608555</v>
      </c>
      <c r="I130" s="2">
        <f>I9/'Output-Calculation-sheet'!I8*'Output-Calculation-sheet'!I107</f>
        <v>5154503044.9942226</v>
      </c>
      <c r="J130" s="2">
        <f>J9/'Output-Calculation-sheet'!J8*'Output-Calculation-sheet'!J107</f>
        <v>5017036286.6783686</v>
      </c>
      <c r="K130" s="2">
        <f>K9/'Output-Calculation-sheet'!K8*'Output-Calculation-sheet'!K107</f>
        <v>4968939319.5016699</v>
      </c>
      <c r="L130" s="2">
        <f>L9/'Output-Calculation-sheet'!L8*'Output-Calculation-sheet'!L107</f>
        <v>3986148250.0042396</v>
      </c>
      <c r="M130" s="2">
        <f>M9/'Output-Calculation-sheet'!M8*'Output-Calculation-sheet'!M107</f>
        <v>3807460075.3309183</v>
      </c>
      <c r="N130" s="2">
        <f>N9/'Output-Calculation-sheet'!N8*'Output-Calculation-sheet'!N107</f>
        <v>3737009379.4780917</v>
      </c>
      <c r="O130" s="2">
        <f>O9/'Output-Calculation-sheet'!O8*'Output-Calculation-sheet'!O107</f>
        <v>6146998889.927556</v>
      </c>
      <c r="P130" s="2">
        <f>P9/'Output-Calculation-sheet'!P8*'Output-Calculation-sheet'!P107</f>
        <v>3401971126.3627515</v>
      </c>
      <c r="Q130" s="2">
        <f>Q9/'Output-Calculation-sheet'!Q8*'Output-Calculation-sheet'!Q107</f>
        <v>3346990847.9570456</v>
      </c>
      <c r="R130" s="2">
        <f>R9/'Output-Calculation-sheet'!R8*'Output-Calculation-sheet'!R107</f>
        <v>3219958742.9570599</v>
      </c>
      <c r="S130" s="2">
        <f>S9/'Output-Calculation-sheet'!S8*'Output-Calculation-sheet'!S107</f>
        <v>2140149250.7684081</v>
      </c>
      <c r="T130" s="2">
        <f>T9/'Output-Calculation-sheet'!T8*'Output-Calculation-sheet'!T107</f>
        <v>1183629224.4787352</v>
      </c>
      <c r="U130" s="2">
        <f>U9/'Output-Calculation-sheet'!U8*'Output-Calculation-sheet'!U107</f>
        <v>1030900274.0446333</v>
      </c>
      <c r="V130" s="2">
        <f>V9/'Output-Calculation-sheet'!V8*'Output-Calculation-sheet'!V107</f>
        <v>793813828.80312824</v>
      </c>
      <c r="W130" s="2">
        <f>W9/'Output-Calculation-sheet'!W8*'Output-Calculation-sheet'!W107</f>
        <v>687267029.35442162</v>
      </c>
      <c r="X130" s="2">
        <f>X9/'Output-Calculation-sheet'!X8*'Output-Calculation-sheet'!X107</f>
        <v>412360136.70273131</v>
      </c>
      <c r="Y130" s="2">
        <f>Y9/'Output-Calculation-sheet'!Y8*'Output-Calculation-sheet'!Y107</f>
        <v>401016187.73688895</v>
      </c>
      <c r="AA130" s="2">
        <f t="shared" si="11"/>
        <v>162701.97923567166</v>
      </c>
    </row>
    <row r="131" spans="1:27" x14ac:dyDescent="0.25">
      <c r="A131" s="2">
        <v>2033</v>
      </c>
      <c r="B131" s="2">
        <f>B10/'Output-Calculation-sheet'!B9*'Output-Calculation-sheet'!B108</f>
        <v>25390726661.181374</v>
      </c>
      <c r="C131" s="2">
        <f>C10/'Output-Calculation-sheet'!C9*'Output-Calculation-sheet'!C108</f>
        <v>26569549488.774281</v>
      </c>
      <c r="D131" s="2">
        <f>D10/'Output-Calculation-sheet'!D9*'Output-Calculation-sheet'!D108</f>
        <v>10664397583.074753</v>
      </c>
      <c r="E131" s="2">
        <f>E10/'Output-Calculation-sheet'!E9*'Output-Calculation-sheet'!E108</f>
        <v>8461113986.2096806</v>
      </c>
      <c r="F131" s="2">
        <f>F10/'Output-Calculation-sheet'!F9*'Output-Calculation-sheet'!F108</f>
        <v>5446722697.0592766</v>
      </c>
      <c r="G131" s="2">
        <f>G10/'Output-Calculation-sheet'!G9*'Output-Calculation-sheet'!G108</f>
        <v>3827016848.2235928</v>
      </c>
      <c r="H131" s="2">
        <f>H10/'Output-Calculation-sheet'!H9*'Output-Calculation-sheet'!H108</f>
        <v>3733108028.5757298</v>
      </c>
      <c r="I131" s="2">
        <f>I10/'Output-Calculation-sheet'!I9*'Output-Calculation-sheet'!I108</f>
        <v>3486714945.6473031</v>
      </c>
      <c r="J131" s="2">
        <f>J10/'Output-Calculation-sheet'!J9*'Output-Calculation-sheet'!J108</f>
        <v>3393726868.8050227</v>
      </c>
      <c r="K131" s="2">
        <f>K10/'Output-Calculation-sheet'!K9*'Output-Calculation-sheet'!K108</f>
        <v>3361191250.2653794</v>
      </c>
      <c r="L131" s="2">
        <f>L10/'Output-Calculation-sheet'!L9*'Output-Calculation-sheet'!L108</f>
        <v>2696392376.7856455</v>
      </c>
      <c r="M131" s="2">
        <f>M10/'Output-Calculation-sheet'!M9*'Output-Calculation-sheet'!M108</f>
        <v>2575519113.1145163</v>
      </c>
      <c r="N131" s="2">
        <f>N10/'Output-Calculation-sheet'!N9*'Output-Calculation-sheet'!N108</f>
        <v>2527864081.407444</v>
      </c>
      <c r="O131" s="2">
        <f>O10/'Output-Calculation-sheet'!O9*'Output-Calculation-sheet'!O108</f>
        <v>5986645233.0257034</v>
      </c>
      <c r="P131" s="2">
        <f>P10/'Output-Calculation-sheet'!P9*'Output-Calculation-sheet'!P108</f>
        <v>2301231881.4785919</v>
      </c>
      <c r="Q131" s="2">
        <f>Q10/'Output-Calculation-sheet'!Q9*'Output-Calculation-sheet'!Q108</f>
        <v>2264039793.9091282</v>
      </c>
      <c r="R131" s="2">
        <f>R10/'Output-Calculation-sheet'!R9*'Output-Calculation-sheet'!R108</f>
        <v>2178109579.8649225</v>
      </c>
      <c r="S131" s="2">
        <f>S10/'Output-Calculation-sheet'!S9*'Output-Calculation-sheet'!S108</f>
        <v>1447683767.8116548</v>
      </c>
      <c r="T131" s="2">
        <f>T10/'Output-Calculation-sheet'!T9*'Output-Calculation-sheet'!T108</f>
        <v>800654194.156389</v>
      </c>
      <c r="U131" s="2">
        <f>U10/'Output-Calculation-sheet'!U9*'Output-Calculation-sheet'!U108</f>
        <v>697342583.23816872</v>
      </c>
      <c r="V131" s="2">
        <f>V10/'Output-Calculation-sheet'!V9*'Output-Calculation-sheet'!V108</f>
        <v>536967735.79845643</v>
      </c>
      <c r="W131" s="2">
        <f>W10/'Output-Calculation-sheet'!W9*'Output-Calculation-sheet'!W108</f>
        <v>464895055.34973168</v>
      </c>
      <c r="X131" s="2">
        <f>X10/'Output-Calculation-sheet'!X9*'Output-Calculation-sheet'!X108</f>
        <v>278936978.723831</v>
      </c>
      <c r="Y131" s="2">
        <f>Y10/'Output-Calculation-sheet'!Y9*'Output-Calculation-sheet'!Y108</f>
        <v>271263476.01319599</v>
      </c>
      <c r="AA131" s="2">
        <f t="shared" si="11"/>
        <v>119361.81420849382</v>
      </c>
    </row>
    <row r="132" spans="1:27" x14ac:dyDescent="0.25">
      <c r="A132" s="2">
        <v>2034</v>
      </c>
      <c r="B132" s="2">
        <f>B11/'Output-Calculation-sheet'!B10*'Output-Calculation-sheet'!B109</f>
        <v>12436585737.468653</v>
      </c>
      <c r="C132" s="2">
        <f>C11/'Output-Calculation-sheet'!C10*'Output-Calculation-sheet'!C109</f>
        <v>22995134307.134758</v>
      </c>
      <c r="D132" s="2">
        <f>D11/'Output-Calculation-sheet'!D10*'Output-Calculation-sheet'!D109</f>
        <v>5223509220.8417673</v>
      </c>
      <c r="E132" s="2">
        <f>E11/'Output-Calculation-sheet'!E10*'Output-Calculation-sheet'!E109</f>
        <v>4144324177.7827039</v>
      </c>
      <c r="F132" s="2">
        <f>F11/'Output-Calculation-sheet'!F10*'Output-Calculation-sheet'!F109</f>
        <v>2667850190.8721571</v>
      </c>
      <c r="G132" s="2">
        <f>G11/'Output-Calculation-sheet'!G10*'Output-Calculation-sheet'!G109</f>
        <v>1874505054.2274048</v>
      </c>
      <c r="H132" s="2">
        <f>H11/'Output-Calculation-sheet'!H10*'Output-Calculation-sheet'!H109</f>
        <v>2221357005.7971654</v>
      </c>
      <c r="I132" s="2">
        <f>I11/'Output-Calculation-sheet'!I10*'Output-Calculation-sheet'!I109</f>
        <v>1707821525.038368</v>
      </c>
      <c r="J132" s="2">
        <f>J11/'Output-Calculation-sheet'!J10*'Output-Calculation-sheet'!J109</f>
        <v>1662275455.8931231</v>
      </c>
      <c r="K132" s="2">
        <f>K11/'Output-Calculation-sheet'!K10*'Output-Calculation-sheet'!K109</f>
        <v>1646339758.3928337</v>
      </c>
      <c r="L132" s="2">
        <f>L11/'Output-Calculation-sheet'!L10*'Output-Calculation-sheet'!L109</f>
        <v>1320715262.2935984</v>
      </c>
      <c r="M132" s="2">
        <f>M11/'Output-Calculation-sheet'!M10*'Output-Calculation-sheet'!M109</f>
        <v>1261510735.8462007</v>
      </c>
      <c r="N132" s="2">
        <f>N11/'Output-Calculation-sheet'!N10*'Output-Calculation-sheet'!N109</f>
        <v>1238169287.8232954</v>
      </c>
      <c r="O132" s="2">
        <f>O11/'Output-Calculation-sheet'!O10*'Output-Calculation-sheet'!O109</f>
        <v>5457462643.177907</v>
      </c>
      <c r="P132" s="2">
        <f>P11/'Output-Calculation-sheet'!P10*'Output-Calculation-sheet'!P109</f>
        <v>1127162208.2250929</v>
      </c>
      <c r="Q132" s="2">
        <f>Q11/'Output-Calculation-sheet'!Q10*'Output-Calculation-sheet'!Q109</f>
        <v>1388171976.1619568</v>
      </c>
      <c r="R132" s="2">
        <f>R11/'Output-Calculation-sheet'!R10*'Output-Calculation-sheet'!R109</f>
        <v>1066856399.6829075</v>
      </c>
      <c r="S132" s="2">
        <f>S11/'Output-Calculation-sheet'!S10*'Output-Calculation-sheet'!S109</f>
        <v>709087469.99970269</v>
      </c>
      <c r="T132" s="2">
        <f>T11/'Output-Calculation-sheet'!T10*'Output-Calculation-sheet'!T109</f>
        <v>392167223.40462923</v>
      </c>
      <c r="U132" s="2">
        <f>U11/'Output-Calculation-sheet'!U10*'Output-Calculation-sheet'!U109</f>
        <v>431345043.06006777</v>
      </c>
      <c r="V132" s="2">
        <f>V11/'Output-Calculation-sheet'!V10*'Output-Calculation-sheet'!V109</f>
        <v>263011315.51027641</v>
      </c>
      <c r="W132" s="2">
        <f>W11/'Output-Calculation-sheet'!W10*'Output-Calculation-sheet'!W109</f>
        <v>227709510.14997613</v>
      </c>
      <c r="X132" s="2">
        <f>X11/'Output-Calculation-sheet'!X10*'Output-Calculation-sheet'!X109</f>
        <v>180811168.9487685</v>
      </c>
      <c r="Y132" s="2">
        <f>Y11/'Output-Calculation-sheet'!Y10*'Output-Calculation-sheet'!Y109</f>
        <v>132867153.64565763</v>
      </c>
      <c r="AA132" s="2">
        <f t="shared" si="11"/>
        <v>71776.749831378984</v>
      </c>
    </row>
    <row r="133" spans="1:27" x14ac:dyDescent="0.25">
      <c r="A133" s="2">
        <v>2035</v>
      </c>
      <c r="B133" s="2">
        <f>B12/'Output-Calculation-sheet'!B11*'Output-Calculation-sheet'!B110</f>
        <v>12621907691.880247</v>
      </c>
      <c r="C133" s="2">
        <f>C12/'Output-Calculation-sheet'!C11*'Output-Calculation-sheet'!C110</f>
        <v>16271218901.008991</v>
      </c>
      <c r="D133" s="2">
        <f>D12/'Output-Calculation-sheet'!D11*'Output-Calculation-sheet'!D110</f>
        <v>4799636167.0708828</v>
      </c>
      <c r="E133" s="2">
        <f>E12/'Output-Calculation-sheet'!E11*'Output-Calculation-sheet'!E110</f>
        <v>2369011564.9996095</v>
      </c>
      <c r="F133" s="2">
        <f>F12/'Output-Calculation-sheet'!F11*'Output-Calculation-sheet'!F110</f>
        <v>1940347533.1269414</v>
      </c>
      <c r="G133" s="2">
        <f>G12/'Output-Calculation-sheet'!G11*'Output-Calculation-sheet'!G110</f>
        <v>1831209989.1722071</v>
      </c>
      <c r="H133" s="2">
        <f>H12/'Output-Calculation-sheet'!H11*'Output-Calculation-sheet'!H110</f>
        <v>1998100375.3170145</v>
      </c>
      <c r="I133" s="2">
        <f>I12/'Output-Calculation-sheet'!I11*'Output-Calculation-sheet'!I110</f>
        <v>1571702600.9295104</v>
      </c>
      <c r="J133" s="2">
        <f>J12/'Output-Calculation-sheet'!J11*'Output-Calculation-sheet'!J110</f>
        <v>1143618034.2408564</v>
      </c>
      <c r="K133" s="2">
        <f>K12/'Output-Calculation-sheet'!K11*'Output-Calculation-sheet'!K110</f>
        <v>1261520032.4665344</v>
      </c>
      <c r="L133" s="2">
        <f>L12/'Output-Calculation-sheet'!L11*'Output-Calculation-sheet'!L110</f>
        <v>551841052.63397622</v>
      </c>
      <c r="M133" s="2">
        <f>M12/'Output-Calculation-sheet'!M11*'Output-Calculation-sheet'!M110</f>
        <v>1099062645.4894969</v>
      </c>
      <c r="N133" s="2">
        <f>N12/'Output-Calculation-sheet'!N11*'Output-Calculation-sheet'!N110</f>
        <v>999081125.97532332</v>
      </c>
      <c r="O133" s="2">
        <f>O12/'Output-Calculation-sheet'!O11*'Output-Calculation-sheet'!O110</f>
        <v>4410003061.1478977</v>
      </c>
      <c r="P133" s="2">
        <f>P12/'Output-Calculation-sheet'!P11*'Output-Calculation-sheet'!P110</f>
        <v>844805339.216627</v>
      </c>
      <c r="Q133" s="2">
        <f>Q12/'Output-Calculation-sheet'!Q11*'Output-Calculation-sheet'!Q110</f>
        <v>1214153712.6208906</v>
      </c>
      <c r="R133" s="2">
        <f>R12/'Output-Calculation-sheet'!R11*'Output-Calculation-sheet'!R110</f>
        <v>635034476.01701069</v>
      </c>
      <c r="S133" s="2">
        <f>S12/'Output-Calculation-sheet'!S11*'Output-Calculation-sheet'!S110</f>
        <v>738589489.16852403</v>
      </c>
      <c r="T133" s="2">
        <f>T12/'Output-Calculation-sheet'!T11*'Output-Calculation-sheet'!T110</f>
        <v>176820177.71276468</v>
      </c>
      <c r="U133" s="2">
        <f>U12/'Output-Calculation-sheet'!U11*'Output-Calculation-sheet'!U110</f>
        <v>409226128.18260676</v>
      </c>
      <c r="V133" s="2">
        <f>V12/'Output-Calculation-sheet'!V11*'Output-Calculation-sheet'!V110</f>
        <v>61194200.343116686</v>
      </c>
      <c r="W133" s="2">
        <f>W12/'Output-Calculation-sheet'!W11*'Output-Calculation-sheet'!W110</f>
        <v>122588404.06644826</v>
      </c>
      <c r="X133" s="2">
        <f>X12/'Output-Calculation-sheet'!X11*'Output-Calculation-sheet'!X110</f>
        <v>170491664.78159362</v>
      </c>
      <c r="Y133" s="2">
        <f>Y12/'Output-Calculation-sheet'!Y11*'Output-Calculation-sheet'!Y110</f>
        <v>120386086.42395455</v>
      </c>
      <c r="AA133" s="2">
        <f t="shared" si="11"/>
        <v>57361.550453993048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1272.5976104580825</v>
      </c>
      <c r="C19" s="2">
        <f>C8/'Output-Calculation-sheet'!C7*'Output-Calculation-sheet'!C25</f>
        <v>14562.57570870678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5709.5671570381846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3966.4598133482878</v>
      </c>
      <c r="N19" s="2">
        <f>N8/'Output-Calculation-sheet'!N7*'Output-Calculation-sheet'!N25</f>
        <v>1358.2698028684515</v>
      </c>
      <c r="O19" s="2">
        <f>O8/'Output-Calculation-sheet'!O7*'Output-Calculation-sheet'!O25</f>
        <v>2238.7824617484671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484.65210754987396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443.67722383948745</v>
      </c>
      <c r="Y19" s="2">
        <f>Y8/'Output-Calculation-sheet'!Y7*'Output-Calculation-sheet'!Y25</f>
        <v>0</v>
      </c>
      <c r="AA19" s="2">
        <f t="shared" si="0"/>
        <v>30.036581885557609</v>
      </c>
    </row>
    <row r="20" spans="1:27" x14ac:dyDescent="0.25">
      <c r="A20" s="2">
        <v>2032</v>
      </c>
      <c r="B20" s="2">
        <f>B9/'Output-Calculation-sheet'!B8*'Output-Calculation-sheet'!B26</f>
        <v>7258.6890158256656</v>
      </c>
      <c r="C20" s="2">
        <f>C9/'Output-Calculation-sheet'!C8*'Output-Calculation-sheet'!C26</f>
        <v>17166.424982030258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7886.707777480945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5487.324320561399</v>
      </c>
      <c r="N20" s="2">
        <f>N9/'Output-Calculation-sheet'!N8*'Output-Calculation-sheet'!N26</f>
        <v>2476.3310432571584</v>
      </c>
      <c r="O20" s="2">
        <f>O9/'Output-Calculation-sheet'!O8*'Output-Calculation-sheet'!O26</f>
        <v>2719.7762416380301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895.36828002502978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613.89681912982383</v>
      </c>
      <c r="Y20" s="2">
        <f>Y9/'Output-Calculation-sheet'!Y8*'Output-Calculation-sheet'!Y26</f>
        <v>0</v>
      </c>
      <c r="AA20" s="2">
        <f t="shared" si="0"/>
        <v>44.50451847994831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19864.851108734132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9898.6465907999482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6874.7067404773361</v>
      </c>
      <c r="N21" s="2">
        <f>N10/'Output-Calculation-sheet'!N9*'Output-Calculation-sheet'!N27</f>
        <v>3760.3813273277979</v>
      </c>
      <c r="O21" s="2">
        <f>O10/'Output-Calculation-sheet'!O9*'Output-Calculation-sheet'!O27</f>
        <v>3049.4986220122214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1637.1079919641977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808.46515117550564</v>
      </c>
      <c r="Y21" s="2">
        <f>Y10/'Output-Calculation-sheet'!Y9*'Output-Calculation-sheet'!Y27</f>
        <v>0</v>
      </c>
      <c r="AA21" s="2">
        <f t="shared" si="0"/>
        <v>63.27124762319837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22612.99228838049</v>
      </c>
      <c r="D22" s="2">
        <f>D11/'Output-Calculation-sheet'!D10*'Output-Calculation-sheet'!D28</f>
        <v>0</v>
      </c>
      <c r="E22" s="2">
        <f>E11/'Output-Calculation-sheet'!E10*'Output-Calculation-sheet'!E28</f>
        <v>1670.8068852137205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11910.56901845975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979.57780536238067</v>
      </c>
      <c r="M22" s="2">
        <f>M11/'Output-Calculation-sheet'!M10*'Output-Calculation-sheet'!M28</f>
        <v>8904.2999631481835</v>
      </c>
      <c r="N22" s="2">
        <f>N11/'Output-Calculation-sheet'!N10*'Output-Calculation-sheet'!N28</f>
        <v>5124.4742286236606</v>
      </c>
      <c r="O22" s="2">
        <f>O11/'Output-Calculation-sheet'!O10*'Output-Calculation-sheet'!O28</f>
        <v>3404.8156783184463</v>
      </c>
      <c r="P22" s="2">
        <f>P11/'Output-Calculation-sheet'!P10*'Output-Calculation-sheet'!P28</f>
        <v>0</v>
      </c>
      <c r="Q22" s="2">
        <f>Q11/'Output-Calculation-sheet'!Q10*'Output-Calculation-sheet'!Q28</f>
        <v>1480.0657037279127</v>
      </c>
      <c r="R22" s="2">
        <f>R11/'Output-Calculation-sheet'!R10*'Output-Calculation-sheet'!R28</f>
        <v>0</v>
      </c>
      <c r="S22" s="2">
        <f>S11/'Output-Calculation-sheet'!S10*'Output-Calculation-sheet'!S28</f>
        <v>2598.8365260917303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857.58236473373984</v>
      </c>
      <c r="Y22" s="2">
        <f>Y11/'Output-Calculation-sheet'!Y10*'Output-Calculation-sheet'!Y28</f>
        <v>89.488725191372168</v>
      </c>
      <c r="AA22" s="2">
        <f t="shared" si="0"/>
        <v>91.803159919105155</v>
      </c>
    </row>
    <row r="23" spans="1:27" x14ac:dyDescent="0.25">
      <c r="A23" s="2">
        <v>2035</v>
      </c>
      <c r="B23" s="2">
        <f>B12/'Output-Calculation-sheet'!B11*'Output-Calculation-sheet'!B29</f>
        <v>30933.843363971566</v>
      </c>
      <c r="C23" s="2">
        <f>C12/'Output-Calculation-sheet'!C11*'Output-Calculation-sheet'!C29</f>
        <v>26282.612418874905</v>
      </c>
      <c r="D23" s="2">
        <f>D12/'Output-Calculation-sheet'!D11*'Output-Calculation-sheet'!D29</f>
        <v>0</v>
      </c>
      <c r="E23" s="2">
        <f>E12/'Output-Calculation-sheet'!E11*'Output-Calculation-sheet'!E29</f>
        <v>5203.4985969907266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11408.343183668831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1883.0039016862688</v>
      </c>
      <c r="M23" s="2">
        <f>M12/'Output-Calculation-sheet'!M11*'Output-Calculation-sheet'!M29</f>
        <v>8647.9491786889321</v>
      </c>
      <c r="N23" s="2">
        <f>N12/'Output-Calculation-sheet'!N11*'Output-Calculation-sheet'!N29</f>
        <v>5092.5337963970887</v>
      </c>
      <c r="O23" s="2">
        <f>O12/'Output-Calculation-sheet'!O11*'Output-Calculation-sheet'!O29</f>
        <v>3937.8772962979574</v>
      </c>
      <c r="P23" s="2">
        <f>P12/'Output-Calculation-sheet'!P11*'Output-Calculation-sheet'!P29</f>
        <v>600.98183299726611</v>
      </c>
      <c r="Q23" s="2">
        <f>Q12/'Output-Calculation-sheet'!Q11*'Output-Calculation-sheet'!Q29</f>
        <v>1607.195098748374</v>
      </c>
      <c r="R23" s="2">
        <f>R12/'Output-Calculation-sheet'!R11*'Output-Calculation-sheet'!R29</f>
        <v>0</v>
      </c>
      <c r="S23" s="2">
        <f>S12/'Output-Calculation-sheet'!S11*'Output-Calculation-sheet'!S29</f>
        <v>2448.5341686053275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810.67604625444142</v>
      </c>
      <c r="Y23" s="2">
        <f>Y12/'Output-Calculation-sheet'!Y11*'Output-Calculation-sheet'!Y29</f>
        <v>114.41937007326626</v>
      </c>
      <c r="AA23" s="2">
        <f t="shared" si="0"/>
        <v>98.971468253254955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22180.962951587386</v>
      </c>
      <c r="C30" s="2">
        <f>C8/'Output-Calculation-sheet'!C7*'Output-Calculation-sheet'!C16</f>
        <v>0</v>
      </c>
      <c r="D30" s="2">
        <f>D8/'Output-Calculation-sheet'!D7*'Output-Calculation-sheet'!D16</f>
        <v>3734.9809363681638</v>
      </c>
      <c r="E30" s="2">
        <f>E8/'Output-Calculation-sheet'!E7*'Output-Calculation-sheet'!E16</f>
        <v>4018.6284691096216</v>
      </c>
      <c r="F30" s="2">
        <f>F8/'Output-Calculation-sheet'!F7*'Output-Calculation-sheet'!F16</f>
        <v>2027.419446881692</v>
      </c>
      <c r="G30" s="2">
        <f>G8/'Output-Calculation-sheet'!G7*'Output-Calculation-sheet'!G16</f>
        <v>1327.7189378245739</v>
      </c>
      <c r="H30" s="2">
        <f>H8/'Output-Calculation-sheet'!H7*'Output-Calculation-sheet'!H16</f>
        <v>0</v>
      </c>
      <c r="I30" s="2">
        <f>I8/'Output-Calculation-sheet'!I7*'Output-Calculation-sheet'!I16</f>
        <v>1294.3271632849362</v>
      </c>
      <c r="J30" s="2">
        <f>J8/'Output-Calculation-sheet'!J7*'Output-Calculation-sheet'!J16</f>
        <v>1152.200053481763</v>
      </c>
      <c r="K30" s="2">
        <f>K8/'Output-Calculation-sheet'!K7*'Output-Calculation-sheet'!K16</f>
        <v>1538.4073026955293</v>
      </c>
      <c r="L30" s="2">
        <f>L8/'Output-Calculation-sheet'!L7*'Output-Calculation-sheet'!L16</f>
        <v>1299.4540144956845</v>
      </c>
      <c r="M30" s="2">
        <f>M8/'Output-Calculation-sheet'!M7*'Output-Calculation-sheet'!M16</f>
        <v>0</v>
      </c>
      <c r="N30" s="2">
        <f>N8/'Output-Calculation-sheet'!N7*'Output-Calculation-sheet'!N16</f>
        <v>1845.7649501859823</v>
      </c>
      <c r="O30" s="2">
        <f>O8/'Output-Calculation-sheet'!O7*'Output-Calculation-sheet'!O16</f>
        <v>0</v>
      </c>
      <c r="P30" s="2">
        <f>P8/'Output-Calculation-sheet'!P7*'Output-Calculation-sheet'!P16</f>
        <v>1658.9129728426078</v>
      </c>
      <c r="Q30" s="2">
        <f>Q8/'Output-Calculation-sheet'!Q7*'Output-Calculation-sheet'!Q16</f>
        <v>1824.2563978023686</v>
      </c>
      <c r="R30" s="2">
        <f>R8/'Output-Calculation-sheet'!R7*'Output-Calculation-sheet'!R16</f>
        <v>1157.4986133246766</v>
      </c>
      <c r="S30" s="2">
        <f>S8/'Output-Calculation-sheet'!S7*'Output-Calculation-sheet'!S16</f>
        <v>1164.1041886529733</v>
      </c>
      <c r="T30" s="2">
        <f>T8/'Output-Calculation-sheet'!T7*'Output-Calculation-sheet'!T16</f>
        <v>347.46444555639681</v>
      </c>
      <c r="U30" s="2">
        <f>U8/'Output-Calculation-sheet'!U7*'Output-Calculation-sheet'!U16</f>
        <v>346.84336167086599</v>
      </c>
      <c r="V30" s="2">
        <f>V8/'Output-Calculation-sheet'!V7*'Output-Calculation-sheet'!V16</f>
        <v>269.94159542610441</v>
      </c>
      <c r="W30" s="2">
        <f>W8/'Output-Calculation-sheet'!W7*'Output-Calculation-sheet'!W16</f>
        <v>163.73318606630318</v>
      </c>
      <c r="X30" s="2">
        <f>X8/'Output-Calculation-sheet'!X7*'Output-Calculation-sheet'!X16</f>
        <v>0</v>
      </c>
      <c r="Y30" s="2">
        <f>Y8/'Output-Calculation-sheet'!Y7*'Output-Calculation-sheet'!Y16</f>
        <v>138.5815276135755</v>
      </c>
      <c r="AA30" s="2">
        <f t="shared" si="1"/>
        <v>47.491200514871203</v>
      </c>
    </row>
    <row r="31" spans="1:27" x14ac:dyDescent="0.25">
      <c r="A31" s="2">
        <v>2032</v>
      </c>
      <c r="B31" s="2">
        <f>B9/'Output-Calculation-sheet'!B8*'Output-Calculation-sheet'!B17</f>
        <v>30735.687473061404</v>
      </c>
      <c r="C31" s="2">
        <f>C9/'Output-Calculation-sheet'!C8*'Output-Calculation-sheet'!C17</f>
        <v>0</v>
      </c>
      <c r="D31" s="2">
        <f>D9/'Output-Calculation-sheet'!D8*'Output-Calculation-sheet'!D17</f>
        <v>5154.7783377291771</v>
      </c>
      <c r="E31" s="2">
        <f>E9/'Output-Calculation-sheet'!E8*'Output-Calculation-sheet'!E17</f>
        <v>6058.7376478477217</v>
      </c>
      <c r="F31" s="2">
        <f>F9/'Output-Calculation-sheet'!F8*'Output-Calculation-sheet'!F17</f>
        <v>2798.1809234319139</v>
      </c>
      <c r="G31" s="2">
        <f>G9/'Output-Calculation-sheet'!G8*'Output-Calculation-sheet'!G17</f>
        <v>1832.4591829467038</v>
      </c>
      <c r="H31" s="2">
        <f>H9/'Output-Calculation-sheet'!H8*'Output-Calculation-sheet'!H17</f>
        <v>0</v>
      </c>
      <c r="I31" s="2">
        <f>I9/'Output-Calculation-sheet'!I8*'Output-Calculation-sheet'!I17</f>
        <v>1786.3816941457412</v>
      </c>
      <c r="J31" s="2">
        <f>J9/'Output-Calculation-sheet'!J8*'Output-Calculation-sheet'!J17</f>
        <v>1590.2240324401334</v>
      </c>
      <c r="K31" s="2">
        <f>K9/'Output-Calculation-sheet'!K8*'Output-Calculation-sheet'!K17</f>
        <v>2264.0567947385898</v>
      </c>
      <c r="L31" s="2">
        <f>L9/'Output-Calculation-sheet'!L8*'Output-Calculation-sheet'!L17</f>
        <v>1930.8424347905511</v>
      </c>
      <c r="M31" s="2">
        <f>M9/'Output-Calculation-sheet'!M8*'Output-Calculation-sheet'!M17</f>
        <v>0</v>
      </c>
      <c r="N31" s="2">
        <f>N9/'Output-Calculation-sheet'!N8*'Output-Calculation-sheet'!N17</f>
        <v>2099.0232053740433</v>
      </c>
      <c r="O31" s="2">
        <f>O9/'Output-Calculation-sheet'!O8*'Output-Calculation-sheet'!O17</f>
        <v>0</v>
      </c>
      <c r="P31" s="2">
        <f>P9/'Output-Calculation-sheet'!P8*'Output-Calculation-sheet'!P17</f>
        <v>2605.2135894990374</v>
      </c>
      <c r="Q31" s="2">
        <f>Q9/'Output-Calculation-sheet'!Q8*'Output-Calculation-sheet'!Q17</f>
        <v>2777.397045483523</v>
      </c>
      <c r="R31" s="2">
        <f>R9/'Output-Calculation-sheet'!R8*'Output-Calculation-sheet'!R17</f>
        <v>1817.1199308873868</v>
      </c>
      <c r="S31" s="2">
        <f>S9/'Output-Calculation-sheet'!S8*'Output-Calculation-sheet'!S17</f>
        <v>1569.1129619648582</v>
      </c>
      <c r="T31" s="2">
        <f>T9/'Output-Calculation-sheet'!T8*'Output-Calculation-sheet'!T17</f>
        <v>493.08876925723712</v>
      </c>
      <c r="U31" s="2">
        <f>U9/'Output-Calculation-sheet'!U8*'Output-Calculation-sheet'!U17</f>
        <v>566.71619334625996</v>
      </c>
      <c r="V31" s="2">
        <f>V9/'Output-Calculation-sheet'!V8*'Output-Calculation-sheet'!V17</f>
        <v>405.91191922526656</v>
      </c>
      <c r="W31" s="2">
        <f>W9/'Output-Calculation-sheet'!W8*'Output-Calculation-sheet'!W17</f>
        <v>225.98074263112335</v>
      </c>
      <c r="X31" s="2">
        <f>X9/'Output-Calculation-sheet'!X8*'Output-Calculation-sheet'!X17</f>
        <v>0</v>
      </c>
      <c r="Y31" s="2">
        <f>Y9/'Output-Calculation-sheet'!Y8*'Output-Calculation-sheet'!Y17</f>
        <v>218.34635668699772</v>
      </c>
      <c r="AA31" s="2">
        <f t="shared" si="1"/>
        <v>66.929259235487635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2116.3257054071146</v>
      </c>
      <c r="O32" s="2">
        <f>O10/'Output-Calculation-sheet'!O9*'Output-Calculation-sheet'!O18</f>
        <v>0</v>
      </c>
      <c r="P32" s="2">
        <f>P10/'Output-Calculation-sheet'!P9*'Output-Calculation-sheet'!P18</f>
        <v>3406.3145601192682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2445.619123084391</v>
      </c>
      <c r="S32" s="2">
        <f>S10/'Output-Calculation-sheet'!S9*'Output-Calculation-sheet'!S18</f>
        <v>1600.6508103783283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789.48465482243842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83.423399064665958</v>
      </c>
    </row>
    <row r="33" spans="1:27" x14ac:dyDescent="0.25">
      <c r="A33" s="2">
        <v>2034</v>
      </c>
      <c r="B33" s="2">
        <f>B11/'Output-Calculation-sheet'!B10*'Output-Calculation-sheet'!B19</f>
        <v>32447.691093605226</v>
      </c>
      <c r="C33" s="2">
        <f>C11/'Output-Calculation-sheet'!C10*'Output-Calculation-sheet'!C19</f>
        <v>0</v>
      </c>
      <c r="D33" s="2">
        <f>D11/'Output-Calculation-sheet'!D10*'Output-Calculation-sheet'!D19</f>
        <v>9695.3817980310014</v>
      </c>
      <c r="E33" s="2">
        <f>E11/'Output-Calculation-sheet'!E10*'Output-Calculation-sheet'!E19</f>
        <v>11972.489859343368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3294.7732762829669</v>
      </c>
      <c r="H33" s="2">
        <f>H11/'Output-Calculation-sheet'!H10*'Output-Calculation-sheet'!H19</f>
        <v>0</v>
      </c>
      <c r="I33" s="2">
        <f>I11/'Output-Calculation-sheet'!I10*'Output-Calculation-sheet'!I19</f>
        <v>3600.0592431974901</v>
      </c>
      <c r="J33" s="2">
        <f>J11/'Output-Calculation-sheet'!J10*'Output-Calculation-sheet'!J19</f>
        <v>3040.258718323294</v>
      </c>
      <c r="K33" s="2">
        <f>K11/'Output-Calculation-sheet'!K10*'Output-Calculation-sheet'!K19</f>
        <v>4218.1085518946093</v>
      </c>
      <c r="L33" s="2">
        <f>L11/'Output-Calculation-sheet'!L10*'Output-Calculation-sheet'!L19</f>
        <v>3433.8791745877088</v>
      </c>
      <c r="M33" s="2">
        <f>M11/'Output-Calculation-sheet'!M10*'Output-Calculation-sheet'!M19</f>
        <v>0</v>
      </c>
      <c r="N33" s="2">
        <f>N11/'Output-Calculation-sheet'!N10*'Output-Calculation-sheet'!N19</f>
        <v>1939.6479932185814</v>
      </c>
      <c r="O33" s="2">
        <f>O11/'Output-Calculation-sheet'!O10*'Output-Calculation-sheet'!O19</f>
        <v>0</v>
      </c>
      <c r="P33" s="2">
        <f>P11/'Output-Calculation-sheet'!P10*'Output-Calculation-sheet'!P19</f>
        <v>4270.9959298691192</v>
      </c>
      <c r="Q33" s="2">
        <f>Q11/'Output-Calculation-sheet'!Q10*'Output-Calculation-sheet'!Q19</f>
        <v>3479.1908520226257</v>
      </c>
      <c r="R33" s="2">
        <f>R11/'Output-Calculation-sheet'!R10*'Output-Calculation-sheet'!R19</f>
        <v>3047.0250885356709</v>
      </c>
      <c r="S33" s="2">
        <f>S11/'Output-Calculation-sheet'!S10*'Output-Calculation-sheet'!S19</f>
        <v>1424.2321976211419</v>
      </c>
      <c r="T33" s="2">
        <f>T11/'Output-Calculation-sheet'!T10*'Output-Calculation-sheet'!T19</f>
        <v>894.14305898588702</v>
      </c>
      <c r="U33" s="2">
        <f>U11/'Output-Calculation-sheet'!U10*'Output-Calculation-sheet'!U19</f>
        <v>958.05510584261401</v>
      </c>
      <c r="V33" s="2">
        <f>V11/'Output-Calculation-sheet'!V10*'Output-Calculation-sheet'!V19</f>
        <v>701.15021950508913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112.94597918082908</v>
      </c>
      <c r="Y33" s="2">
        <f>Y11/'Output-Calculation-sheet'!Y10*'Output-Calculation-sheet'!Y19</f>
        <v>393.50554943047939</v>
      </c>
      <c r="AA33" s="2">
        <f t="shared" si="1"/>
        <v>94.86175992832429</v>
      </c>
    </row>
    <row r="34" spans="1:27" x14ac:dyDescent="0.25">
      <c r="A34" s="2">
        <v>2035</v>
      </c>
      <c r="B34" s="2">
        <f>B12/'Output-Calculation-sheet'!B11*'Output-Calculation-sheet'!B20</f>
        <v>28294.973356259077</v>
      </c>
      <c r="C34" s="2">
        <f>C12/'Output-Calculation-sheet'!C11*'Output-Calculation-sheet'!C20</f>
        <v>0</v>
      </c>
      <c r="D34" s="2">
        <f>D12/'Output-Calculation-sheet'!D11*'Output-Calculation-sheet'!D20</f>
        <v>9106.9266989802491</v>
      </c>
      <c r="E34" s="2">
        <f>E12/'Output-Calculation-sheet'!E11*'Output-Calculation-sheet'!E20</f>
        <v>10119.070377547972</v>
      </c>
      <c r="F34" s="2">
        <f>F12/'Output-Calculation-sheet'!F11*'Output-Calculation-sheet'!F20</f>
        <v>5659.9938202534495</v>
      </c>
      <c r="G34" s="2">
        <f>G12/'Output-Calculation-sheet'!G11*'Output-Calculation-sheet'!G20</f>
        <v>3055.1949835071155</v>
      </c>
      <c r="H34" s="2">
        <f>H12/'Output-Calculation-sheet'!H11*'Output-Calculation-sheet'!H20</f>
        <v>0</v>
      </c>
      <c r="I34" s="2">
        <f>I12/'Output-Calculation-sheet'!I11*'Output-Calculation-sheet'!I20</f>
        <v>3396.6535765586741</v>
      </c>
      <c r="J34" s="2">
        <f>J12/'Output-Calculation-sheet'!J11*'Output-Calculation-sheet'!J20</f>
        <v>3148.3631965015484</v>
      </c>
      <c r="K34" s="2">
        <f>K12/'Output-Calculation-sheet'!K11*'Output-Calculation-sheet'!K20</f>
        <v>4187.0058030775381</v>
      </c>
      <c r="L34" s="2">
        <f>L12/'Output-Calculation-sheet'!L11*'Output-Calculation-sheet'!L20</f>
        <v>3341.4061658673036</v>
      </c>
      <c r="M34" s="2">
        <f>M12/'Output-Calculation-sheet'!M11*'Output-Calculation-sheet'!M20</f>
        <v>0</v>
      </c>
      <c r="N34" s="2">
        <f>N12/'Output-Calculation-sheet'!N11*'Output-Calculation-sheet'!N20</f>
        <v>1791.8574746016996</v>
      </c>
      <c r="O34" s="2">
        <f>O12/'Output-Calculation-sheet'!O11*'Output-Calculation-sheet'!O20</f>
        <v>0</v>
      </c>
      <c r="P34" s="2">
        <f>P12/'Output-Calculation-sheet'!P11*'Output-Calculation-sheet'!P20</f>
        <v>3816.5135451108122</v>
      </c>
      <c r="Q34" s="2">
        <f>Q12/'Output-Calculation-sheet'!Q11*'Output-Calculation-sheet'!Q20</f>
        <v>3182.936707853351</v>
      </c>
      <c r="R34" s="2">
        <f>R12/'Output-Calculation-sheet'!R11*'Output-Calculation-sheet'!R20</f>
        <v>3206.3252840919845</v>
      </c>
      <c r="S34" s="2">
        <f>S12/'Output-Calculation-sheet'!S11*'Output-Calculation-sheet'!S20</f>
        <v>1224.8057979135688</v>
      </c>
      <c r="T34" s="2">
        <f>T12/'Output-Calculation-sheet'!T11*'Output-Calculation-sheet'!T20</f>
        <v>972.51216615812609</v>
      </c>
      <c r="U34" s="2">
        <f>U12/'Output-Calculation-sheet'!U11*'Output-Calculation-sheet'!U20</f>
        <v>895.1505418475914</v>
      </c>
      <c r="V34" s="2">
        <f>V12/'Output-Calculation-sheet'!V11*'Output-Calculation-sheet'!V20</f>
        <v>881.34091654200529</v>
      </c>
      <c r="W34" s="2">
        <f>W12/'Output-Calculation-sheet'!W11*'Output-Calculation-sheet'!W20</f>
        <v>478.19689821771073</v>
      </c>
      <c r="X34" s="2">
        <f>X12/'Output-Calculation-sheet'!X11*'Output-Calculation-sheet'!X20</f>
        <v>100.96015677586334</v>
      </c>
      <c r="Y34" s="2">
        <f>Y12/'Output-Calculation-sheet'!Y11*'Output-Calculation-sheet'!Y20</f>
        <v>347.07183615482654</v>
      </c>
      <c r="AA34" s="2">
        <f t="shared" si="1"/>
        <v>87.207259303820436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1.2090670037161784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0.23488919216548118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1.4439561958816596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1.3349608087312232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0.259346971649772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1.5943077803809953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1.3908397061795648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0.27020273815435508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1.6610424443339198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1.3738734149498901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0.42292102515602098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0.2669066442003114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0.25059406547501456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7.9954818496382141E-2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2.4261745979181391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1.2865488199270632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0.24994182461790174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10.783608512954874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14530.015746413723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8096.731824575827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5526.4136138993254</v>
      </c>
      <c r="N52" s="2">
        <f>N8/'Output-Calculation-sheet'!N7*'Output-Calculation-sheet'!N43</f>
        <v>176.636676413798</v>
      </c>
      <c r="O52" s="2">
        <f>O8/'Output-Calculation-sheet'!O7*'Output-Calculation-sheet'!O43</f>
        <v>679.94239837376131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712.23368284894025</v>
      </c>
      <c r="Y52" s="2">
        <f>Y8/'Output-Calculation-sheet'!Y7*'Output-Calculation-sheet'!Y43</f>
        <v>0</v>
      </c>
      <c r="AA52" s="2">
        <f t="shared" si="3"/>
        <v>29.721973942525377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20141.51395629565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15824.891511861522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10814.661108666605</v>
      </c>
      <c r="N53" s="2">
        <f>N9/'Output-Calculation-sheet'!N8*'Output-Calculation-sheet'!N44</f>
        <v>3851.8213081044223</v>
      </c>
      <c r="O53" s="2">
        <f>O9/'Output-Calculation-sheet'!O8*'Output-Calculation-sheet'!O44</f>
        <v>1501.4824674460483</v>
      </c>
      <c r="P53" s="2">
        <f>P9/'Output-Calculation-sheet'!P8*'Output-Calculation-sheet'!P44</f>
        <v>180.17158740278794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1187.843233321277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1352.3814381092895</v>
      </c>
      <c r="Y53" s="2">
        <f>Y9/'Output-Calculation-sheet'!Y8*'Output-Calculation-sheet'!Y44</f>
        <v>0</v>
      </c>
      <c r="AA53" s="2">
        <f t="shared" si="3"/>
        <v>54.854766611207602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29646.846368564406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2630.9213978187204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589.31601509337349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126.47203672318537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42421.354566873801</v>
      </c>
      <c r="D55" s="2">
        <f>D11/'Output-Calculation-sheet'!D10*'Output-Calculation-sheet'!D46</f>
        <v>8433.737387351066</v>
      </c>
      <c r="E55" s="2">
        <f>E11/'Output-Calculation-sheet'!E10*'Output-Calculation-sheet'!E46</f>
        <v>10520.492244274683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27601.16164176137</v>
      </c>
      <c r="I55" s="2">
        <f>I11/'Output-Calculation-sheet'!I10*'Output-Calculation-sheet'!I46</f>
        <v>2032.2387300501539</v>
      </c>
      <c r="J55" s="2">
        <f>J11/'Output-Calculation-sheet'!J10*'Output-Calculation-sheet'!J46</f>
        <v>1499.9146010161339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19502.845840474783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4261.141161794445</v>
      </c>
      <c r="P55" s="2">
        <f>P11/'Output-Calculation-sheet'!P10*'Output-Calculation-sheet'!P46</f>
        <v>5469.9899031264558</v>
      </c>
      <c r="Q55" s="2">
        <f>Q11/'Output-Calculation-sheet'!Q10*'Output-Calculation-sheet'!Q46</f>
        <v>4264.4955001888438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7306.0412242024067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1304.5259859936034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1963.0846822810965</v>
      </c>
      <c r="Y55" s="2">
        <f>Y11/'Output-Calculation-sheet'!Y10*'Output-Calculation-sheet'!Y46</f>
        <v>516.16677271100093</v>
      </c>
      <c r="AA55" s="2">
        <f t="shared" si="3"/>
        <v>260.14706816436552</v>
      </c>
    </row>
    <row r="56" spans="1:27" x14ac:dyDescent="0.25">
      <c r="A56" s="2">
        <v>2035</v>
      </c>
      <c r="B56" s="2">
        <f>B12/'Output-Calculation-sheet'!B11*'Output-Calculation-sheet'!B47</f>
        <v>88215.964395506759</v>
      </c>
      <c r="C56" s="2">
        <f>C12/'Output-Calculation-sheet'!C11*'Output-Calculation-sheet'!C47</f>
        <v>65794.558071708583</v>
      </c>
      <c r="D56" s="2">
        <f>D12/'Output-Calculation-sheet'!D11*'Output-Calculation-sheet'!D47</f>
        <v>8997.3588621698254</v>
      </c>
      <c r="E56" s="2">
        <f>E12/'Output-Calculation-sheet'!E11*'Output-Calculation-sheet'!E47</f>
        <v>22643.25129236811</v>
      </c>
      <c r="F56" s="2">
        <f>F12/'Output-Calculation-sheet'!F11*'Output-Calculation-sheet'!F47</f>
        <v>1249.2151168996145</v>
      </c>
      <c r="G56" s="2">
        <f>G12/'Output-Calculation-sheet'!G11*'Output-Calculation-sheet'!G47</f>
        <v>3335.1308010677008</v>
      </c>
      <c r="H56" s="2">
        <f>H12/'Output-Calculation-sheet'!H11*'Output-Calculation-sheet'!H47</f>
        <v>26089.990014693827</v>
      </c>
      <c r="I56" s="2">
        <f>I12/'Output-Calculation-sheet'!I11*'Output-Calculation-sheet'!I47</f>
        <v>2128.8555724122548</v>
      </c>
      <c r="J56" s="2">
        <f>J12/'Output-Calculation-sheet'!J11*'Output-Calculation-sheet'!J47</f>
        <v>3479.5245515246361</v>
      </c>
      <c r="K56" s="2">
        <f>K12/'Output-Calculation-sheet'!K11*'Output-Calculation-sheet'!K47</f>
        <v>4786.9972611165576</v>
      </c>
      <c r="L56" s="2">
        <f>L12/'Output-Calculation-sheet'!L11*'Output-Calculation-sheet'!L47</f>
        <v>5142.4088132906581</v>
      </c>
      <c r="M56" s="2">
        <f>M12/'Output-Calculation-sheet'!M11*'Output-Calculation-sheet'!M47</f>
        <v>18334.942159053786</v>
      </c>
      <c r="N56" s="2">
        <f>N12/'Output-Calculation-sheet'!N11*'Output-Calculation-sheet'!N47</f>
        <v>14660.587988926542</v>
      </c>
      <c r="O56" s="2">
        <f>O12/'Output-Calculation-sheet'!O11*'Output-Calculation-sheet'!O47</f>
        <v>7257.0828025022347</v>
      </c>
      <c r="P56" s="2">
        <f>P12/'Output-Calculation-sheet'!P11*'Output-Calculation-sheet'!P47</f>
        <v>6359.4812766152254</v>
      </c>
      <c r="Q56" s="2">
        <f>Q12/'Output-Calculation-sheet'!Q11*'Output-Calculation-sheet'!Q47</f>
        <v>4631.5675194792848</v>
      </c>
      <c r="R56" s="2">
        <f>R12/'Output-Calculation-sheet'!R11*'Output-Calculation-sheet'!R47</f>
        <v>5389.1936931792843</v>
      </c>
      <c r="S56" s="2">
        <f>S12/'Output-Calculation-sheet'!S11*'Output-Calculation-sheet'!S47</f>
        <v>6828.1950182221763</v>
      </c>
      <c r="T56" s="2">
        <f>T12/'Output-Calculation-sheet'!T11*'Output-Calculation-sheet'!T47</f>
        <v>1767.2427341849925</v>
      </c>
      <c r="U56" s="2">
        <f>U12/'Output-Calculation-sheet'!U11*'Output-Calculation-sheet'!U47</f>
        <v>1234.7447566829587</v>
      </c>
      <c r="V56" s="2">
        <f>V12/'Output-Calculation-sheet'!V11*'Output-Calculation-sheet'!V47</f>
        <v>1215.4470543250586</v>
      </c>
      <c r="W56" s="2">
        <f>W12/'Output-Calculation-sheet'!W11*'Output-Calculation-sheet'!W47</f>
        <v>434.15036979158288</v>
      </c>
      <c r="X56" s="2">
        <f>X12/'Output-Calculation-sheet'!X11*'Output-Calculation-sheet'!X47</f>
        <v>1851.4213533795557</v>
      </c>
      <c r="Y56" s="2">
        <f>Y12/'Output-Calculation-sheet'!Y11*'Output-Calculation-sheet'!Y47</f>
        <v>564.34033411493101</v>
      </c>
      <c r="AA56" s="2">
        <f t="shared" si="3"/>
        <v>302.39165181321607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8.6384664815673595</v>
      </c>
      <c r="C63" s="2">
        <f>C8*'Output-Calculation-sheet'!C52/10^9</f>
        <v>5.4149119457984005</v>
      </c>
      <c r="D63" s="2">
        <f>D8*'Output-Calculation-sheet'!D52/10^9</f>
        <v>2.9622952299255956</v>
      </c>
      <c r="E63" s="2">
        <f>E8*'Output-Calculation-sheet'!E52/10^9</f>
        <v>2.9453308629802843</v>
      </c>
      <c r="F63" s="2">
        <f>F8*'Output-Calculation-sheet'!F52/10^9</f>
        <v>1.2473483701184811</v>
      </c>
      <c r="G63" s="2">
        <f>G8*'Output-Calculation-sheet'!G52/10^9</f>
        <v>0.8967860395676388</v>
      </c>
      <c r="H63" s="2">
        <f>H8*'Output-Calculation-sheet'!H52/10^9</f>
        <v>1.5664999000447655</v>
      </c>
      <c r="I63" s="2">
        <f>I8*'Output-Calculation-sheet'!I52/10^9</f>
        <v>0.83421933065570564</v>
      </c>
      <c r="J63" s="2">
        <f>J8*'Output-Calculation-sheet'!J52/10^9</f>
        <v>1.1479434651632443</v>
      </c>
      <c r="K63" s="2">
        <f>K8*'Output-Calculation-sheet'!K52/10^9</f>
        <v>1.0085678234026911</v>
      </c>
      <c r="L63" s="2">
        <f>L8*'Output-Calculation-sheet'!L52/10^9</f>
        <v>1.3565703377880822</v>
      </c>
      <c r="M63" s="2">
        <f>M8*'Output-Calculation-sheet'!M52/10^9</f>
        <v>1.2715067942966327</v>
      </c>
      <c r="N63" s="2">
        <f>N8*'Output-Calculation-sheet'!N52/10^9</f>
        <v>1.0611713337918689</v>
      </c>
      <c r="O63" s="2">
        <f>O8*'Output-Calculation-sheet'!O52/10^9</f>
        <v>1.1118055450494531</v>
      </c>
      <c r="P63" s="2">
        <f>P8*'Output-Calculation-sheet'!P52/10^9</f>
        <v>0.69689444030551262</v>
      </c>
      <c r="Q63" s="2">
        <f>Q8*'Output-Calculation-sheet'!Q52/10^9</f>
        <v>0.78867598306471054</v>
      </c>
      <c r="R63" s="2">
        <f>R8*'Output-Calculation-sheet'!R52/10^9</f>
        <v>0.70807527276262783</v>
      </c>
      <c r="S63" s="2">
        <f>S8*'Output-Calculation-sheet'!S52/10^9</f>
        <v>0.52471198905349259</v>
      </c>
      <c r="T63" s="2">
        <f>T8*'Output-Calculation-sheet'!T52/10^9</f>
        <v>0.26920120267607206</v>
      </c>
      <c r="U63" s="2">
        <f>U8*'Output-Calculation-sheet'!U52/10^9</f>
        <v>0.18488439276152224</v>
      </c>
      <c r="V63" s="2">
        <f>V8*'Output-Calculation-sheet'!V52/10^9</f>
        <v>0.32812635667696094</v>
      </c>
      <c r="W63" s="2">
        <f>W8*'Output-Calculation-sheet'!W52/10^9</f>
        <v>0.1187665977241814</v>
      </c>
      <c r="X63" s="2">
        <f>X8*'Output-Calculation-sheet'!X52/10^9</f>
        <v>0.1367074226119685</v>
      </c>
      <c r="Y63" s="2">
        <f>Y8*'Output-Calculation-sheet'!Y52/10^9</f>
        <v>7.749182636659814E-2</v>
      </c>
      <c r="AA63" s="2">
        <f t="shared" si="4"/>
        <v>35.296958944153857</v>
      </c>
    </row>
    <row r="64" spans="1:27" x14ac:dyDescent="0.25">
      <c r="A64" s="2">
        <v>2032</v>
      </c>
      <c r="B64" s="2">
        <f>B9*'Output-Calculation-sheet'!B53/10^9</f>
        <v>9.1010338023233981</v>
      </c>
      <c r="C64" s="2">
        <f>C9*'Output-Calculation-sheet'!C53/10^9</f>
        <v>6.0723185189201594</v>
      </c>
      <c r="D64" s="2">
        <f>D9*'Output-Calculation-sheet'!D53/10^9</f>
        <v>2.6933578919622918</v>
      </c>
      <c r="E64" s="2">
        <f>E9*'Output-Calculation-sheet'!E53/10^9</f>
        <v>2.7581297958825135</v>
      </c>
      <c r="F64" s="2">
        <f>F9*'Output-Calculation-sheet'!F53/10^9</f>
        <v>1.163362829697308</v>
      </c>
      <c r="G64" s="2">
        <f>G9*'Output-Calculation-sheet'!G53/10^9</f>
        <v>0.82804519401286059</v>
      </c>
      <c r="H64" s="2">
        <f>H9*'Output-Calculation-sheet'!H53/10^9</f>
        <v>1.7014107989686615</v>
      </c>
      <c r="I64" s="2">
        <f>I9*'Output-Calculation-sheet'!I53/10^9</f>
        <v>0.7740870524366219</v>
      </c>
      <c r="J64" s="2">
        <f>J9*'Output-Calculation-sheet'!J53/10^9</f>
        <v>1.0247349753702195</v>
      </c>
      <c r="K64" s="2">
        <f>K9*'Output-Calculation-sheet'!K53/10^9</f>
        <v>0.95081219621683133</v>
      </c>
      <c r="L64" s="2">
        <f>L9*'Output-Calculation-sheet'!L53/10^9</f>
        <v>1.2232120141802143</v>
      </c>
      <c r="M64" s="2">
        <f>M9*'Output-Calculation-sheet'!M53/10^9</f>
        <v>1.3334814333194522</v>
      </c>
      <c r="N64" s="2">
        <f>N9*'Output-Calculation-sheet'!N53/10^9</f>
        <v>1.1225687481132514</v>
      </c>
      <c r="O64" s="2">
        <f>O9*'Output-Calculation-sheet'!O53/10^9</f>
        <v>1.2359835566768871</v>
      </c>
      <c r="P64" s="2">
        <f>P9*'Output-Calculation-sheet'!P53/10^9</f>
        <v>0.72491749862551569</v>
      </c>
      <c r="Q64" s="2">
        <f>Q9*'Output-Calculation-sheet'!Q53/10^9</f>
        <v>0.80115548890957522</v>
      </c>
      <c r="R64" s="2">
        <f>R9*'Output-Calculation-sheet'!R53/10^9</f>
        <v>0.68677851242735588</v>
      </c>
      <c r="S64" s="2">
        <f>S9*'Output-Calculation-sheet'!S53/10^9</f>
        <v>0.56743254159660406</v>
      </c>
      <c r="T64" s="2">
        <f>T9*'Output-Calculation-sheet'!T53/10^9</f>
        <v>0.24687899931756671</v>
      </c>
      <c r="U64" s="2">
        <f>U9*'Output-Calculation-sheet'!U53/10^9</f>
        <v>0.18582058624690836</v>
      </c>
      <c r="V64" s="2">
        <f>V9*'Output-Calculation-sheet'!V53/10^9</f>
        <v>0.29302877949776496</v>
      </c>
      <c r="W64" s="2">
        <f>W9*'Output-Calculation-sheet'!W53/10^9</f>
        <v>0.10888421283521352</v>
      </c>
      <c r="X64" s="2">
        <f>X9*'Output-Calculation-sheet'!X53/10^9</f>
        <v>0.14779606368085893</v>
      </c>
      <c r="Y64" s="2">
        <f>Y9*'Output-Calculation-sheet'!Y53/10^9</f>
        <v>7.6287820344042051E-2</v>
      </c>
      <c r="AA64" s="2">
        <f t="shared" si="4"/>
        <v>35.821519311562071</v>
      </c>
    </row>
    <row r="65" spans="1:27" x14ac:dyDescent="0.25">
      <c r="A65" s="2">
        <v>2033</v>
      </c>
      <c r="B65" s="2">
        <f>B10*'Output-Calculation-sheet'!B54/10^9</f>
        <v>9.4324896971594772</v>
      </c>
      <c r="C65" s="2">
        <f>C10*'Output-Calculation-sheet'!C54/10^9</f>
        <v>6.3771969469516536</v>
      </c>
      <c r="D65" s="2">
        <f>D10*'Output-Calculation-sheet'!D54/10^9</f>
        <v>2.2284233079764291</v>
      </c>
      <c r="E65" s="2">
        <f>E10*'Output-Calculation-sheet'!E54/10^9</f>
        <v>2.5091791616179129</v>
      </c>
      <c r="F65" s="2">
        <f>F10*'Output-Calculation-sheet'!F54/10^9</f>
        <v>1.01868379999034</v>
      </c>
      <c r="G65" s="2">
        <f>G10*'Output-Calculation-sheet'!G54/10^9</f>
        <v>0.69941857344034752</v>
      </c>
      <c r="H65" s="2">
        <f>H10*'Output-Calculation-sheet'!H54/10^9</f>
        <v>1.7284838176587261</v>
      </c>
      <c r="I65" s="2">
        <f>I10*'Output-Calculation-sheet'!I54/10^9</f>
        <v>0.68104267683247788</v>
      </c>
      <c r="J65" s="2">
        <f>J10*'Output-Calculation-sheet'!J54/10^9</f>
        <v>0.81399789691326041</v>
      </c>
      <c r="K65" s="2">
        <f>K10*'Output-Calculation-sheet'!K54/10^9</f>
        <v>0.86842792926290913</v>
      </c>
      <c r="L65" s="2">
        <f>L10*'Output-Calculation-sheet'!L54/10^9</f>
        <v>1.0257960255936724</v>
      </c>
      <c r="M65" s="2">
        <f>M10*'Output-Calculation-sheet'!M54/10^9</f>
        <v>1.3050817492983395</v>
      </c>
      <c r="N65" s="2">
        <f>N10*'Output-Calculation-sheet'!N54/10^9</f>
        <v>1.1270276417904734</v>
      </c>
      <c r="O65" s="2">
        <f>O10*'Output-Calculation-sheet'!O54/10^9</f>
        <v>1.2899584434166091</v>
      </c>
      <c r="P65" s="2">
        <f>P10*'Output-Calculation-sheet'!P54/10^9</f>
        <v>0.734788557693831</v>
      </c>
      <c r="Q65" s="2">
        <f>Q10*'Output-Calculation-sheet'!Q54/10^9</f>
        <v>0.80181260170470903</v>
      </c>
      <c r="R65" s="2">
        <f>R10*'Output-Calculation-sheet'!R54/10^9</f>
        <v>0.64690172723441763</v>
      </c>
      <c r="S65" s="2">
        <f>S10*'Output-Calculation-sheet'!S54/10^9</f>
        <v>0.58760635820047713</v>
      </c>
      <c r="T65" s="2">
        <f>T10*'Output-Calculation-sheet'!T54/10^9</f>
        <v>0.21628776618378659</v>
      </c>
      <c r="U65" s="2">
        <f>U10*'Output-Calculation-sheet'!U54/10^9</f>
        <v>0.18676219156198443</v>
      </c>
      <c r="V65" s="2">
        <f>V10*'Output-Calculation-sheet'!V54/10^9</f>
        <v>0.23935506090576336</v>
      </c>
      <c r="W65" s="2">
        <f>W10*'Output-Calculation-sheet'!W54/10^9</f>
        <v>9.1131474233307599E-2</v>
      </c>
      <c r="X65" s="2">
        <f>X10*'Output-Calculation-sheet'!X54/10^9</f>
        <v>0.15010324779870021</v>
      </c>
      <c r="Y65" s="2">
        <f>Y10*'Output-Calculation-sheet'!Y54/10^9</f>
        <v>7.5006088024013817E-2</v>
      </c>
      <c r="AA65" s="2">
        <f t="shared" si="4"/>
        <v>34.834962741443611</v>
      </c>
    </row>
    <row r="66" spans="1:27" x14ac:dyDescent="0.25">
      <c r="A66" s="2">
        <v>2034</v>
      </c>
      <c r="B66" s="2">
        <f>B11*'Output-Calculation-sheet'!B55/10^9</f>
        <v>9.5578613576286742</v>
      </c>
      <c r="C66" s="2">
        <f>C11*'Output-Calculation-sheet'!C55/10^9</f>
        <v>6.3044570713379384</v>
      </c>
      <c r="D66" s="2">
        <f>D11*'Output-Calculation-sheet'!D55/10^9</f>
        <v>1.9992116620023777</v>
      </c>
      <c r="E66" s="2">
        <f>E11*'Output-Calculation-sheet'!E55/10^9</f>
        <v>2.420912548644631</v>
      </c>
      <c r="F66" s="2">
        <f>F11*'Output-Calculation-sheet'!F55/10^9</f>
        <v>0.9303874396375813</v>
      </c>
      <c r="G66" s="2">
        <f>G11*'Output-Calculation-sheet'!G55/10^9</f>
        <v>0.66502366211776587</v>
      </c>
      <c r="H66" s="2">
        <f>H11*'Output-Calculation-sheet'!H55/10^9</f>
        <v>1.7001710576980793</v>
      </c>
      <c r="I66" s="2">
        <f>I11*'Output-Calculation-sheet'!I55/10^9</f>
        <v>0.65031818392371343</v>
      </c>
      <c r="J66" s="2">
        <f>J11*'Output-Calculation-sheet'!J55/10^9</f>
        <v>0.6687516480706347</v>
      </c>
      <c r="K66" s="2">
        <f>K11*'Output-Calculation-sheet'!K55/10^9</f>
        <v>0.79986431475866759</v>
      </c>
      <c r="L66" s="2">
        <f>L11*'Output-Calculation-sheet'!L55/10^9</f>
        <v>0.84706235713204214</v>
      </c>
      <c r="M66" s="2">
        <f>M11*'Output-Calculation-sheet'!M55/10^9</f>
        <v>1.231735993367373</v>
      </c>
      <c r="N66" s="2">
        <f>N11*'Output-Calculation-sheet'!N55/10^9</f>
        <v>1.076208788461178</v>
      </c>
      <c r="O66" s="2">
        <f>O11*'Output-Calculation-sheet'!O55/10^9</f>
        <v>1.2700614666668062</v>
      </c>
      <c r="P66" s="2">
        <f>P11*'Output-Calculation-sheet'!P55/10^9</f>
        <v>0.73979360574963571</v>
      </c>
      <c r="Q66" s="2">
        <f>Q11*'Output-Calculation-sheet'!Q55/10^9</f>
        <v>0.80573582239344799</v>
      </c>
      <c r="R66" s="2">
        <f>R11*'Output-Calculation-sheet'!R55/10^9</f>
        <v>0.59917254426621303</v>
      </c>
      <c r="S66" s="2">
        <f>S11*'Output-Calculation-sheet'!S55/10^9</f>
        <v>0.58957124196836186</v>
      </c>
      <c r="T66" s="2">
        <f>T11*'Output-Calculation-sheet'!T55/10^9</f>
        <v>0.1878144407586323</v>
      </c>
      <c r="U66" s="2">
        <f>U11*'Output-Calculation-sheet'!U55/10^9</f>
        <v>0.19098251679379574</v>
      </c>
      <c r="V66" s="2">
        <f>V11*'Output-Calculation-sheet'!V55/10^9</f>
        <v>0.17817492231762086</v>
      </c>
      <c r="W66" s="2">
        <f>W11*'Output-Calculation-sheet'!W55/10^9</f>
        <v>8.0673593866031484E-2</v>
      </c>
      <c r="X66" s="2">
        <f>X11*'Output-Calculation-sheet'!X55/10^9</f>
        <v>0.15173263976934936</v>
      </c>
      <c r="Y66" s="2">
        <f>Y11*'Output-Calculation-sheet'!Y55/10^9</f>
        <v>7.9165033582241265E-2</v>
      </c>
      <c r="AA66" s="2">
        <f t="shared" si="4"/>
        <v>33.724843912912789</v>
      </c>
    </row>
    <row r="67" spans="1:27" x14ac:dyDescent="0.25">
      <c r="A67" s="2">
        <v>2035</v>
      </c>
      <c r="B67" s="2">
        <f>B12*'Output-Calculation-sheet'!B56/10^9</f>
        <v>9.2990503379233456</v>
      </c>
      <c r="C67" s="2">
        <f>C12*'Output-Calculation-sheet'!C56/10^9</f>
        <v>5.8646804597751467</v>
      </c>
      <c r="D67" s="2">
        <f>D12*'Output-Calculation-sheet'!D56/10^9</f>
        <v>1.9366579896096749</v>
      </c>
      <c r="E67" s="2">
        <f>E12*'Output-Calculation-sheet'!E56/10^9</f>
        <v>2.6277894379051046</v>
      </c>
      <c r="F67" s="2">
        <f>F12*'Output-Calculation-sheet'!F56/10^9</f>
        <v>0.95972177133388492</v>
      </c>
      <c r="G67" s="2">
        <f>G12*'Output-Calculation-sheet'!G56/10^9</f>
        <v>0.67231297285220448</v>
      </c>
      <c r="H67" s="2">
        <f>H12*'Output-Calculation-sheet'!H56/10^9</f>
        <v>1.6226161924585638</v>
      </c>
      <c r="I67" s="2">
        <f>I12*'Output-Calculation-sheet'!I56/10^9</f>
        <v>0.65304872722299678</v>
      </c>
      <c r="J67" s="2">
        <f>J12*'Output-Calculation-sheet'!J56/10^9</f>
        <v>0.64694147832869076</v>
      </c>
      <c r="K67" s="2">
        <f>K12*'Output-Calculation-sheet'!K56/10^9</f>
        <v>0.77915429265299518</v>
      </c>
      <c r="L67" s="2">
        <f>L12*'Output-Calculation-sheet'!L56/10^9</f>
        <v>0.78271641765264588</v>
      </c>
      <c r="M67" s="2">
        <f>M12*'Output-Calculation-sheet'!M56/10^9</f>
        <v>1.1872334124426016</v>
      </c>
      <c r="N67" s="2">
        <f>N12*'Output-Calculation-sheet'!N56/10^9</f>
        <v>1.0194669741969555</v>
      </c>
      <c r="O67" s="2">
        <f>O12*'Output-Calculation-sheet'!O56/10^9</f>
        <v>1.1792876611303538</v>
      </c>
      <c r="P67" s="2">
        <f>P12*'Output-Calculation-sheet'!P56/10^9</f>
        <v>0.75462386444706053</v>
      </c>
      <c r="Q67" s="2">
        <f>Q12*'Output-Calculation-sheet'!Q56/10^9</f>
        <v>0.7760308026675572</v>
      </c>
      <c r="R67" s="2">
        <f>R12*'Output-Calculation-sheet'!R56/10^9</f>
        <v>0.59081609390642809</v>
      </c>
      <c r="S67" s="2">
        <f>S12*'Output-Calculation-sheet'!S56/10^9</f>
        <v>0.56301324379154194</v>
      </c>
      <c r="T67" s="2">
        <f>T12*'Output-Calculation-sheet'!T56/10^9</f>
        <v>0.17916786048473302</v>
      </c>
      <c r="U67" s="2">
        <f>U12*'Output-Calculation-sheet'!U56/10^9</f>
        <v>0.18709829255827751</v>
      </c>
      <c r="V67" s="2">
        <f>V12*'Output-Calculation-sheet'!V56/10^9</f>
        <v>0.14372397901275907</v>
      </c>
      <c r="W67" s="2">
        <f>W12*'Output-Calculation-sheet'!W56/10^9</f>
        <v>8.671429755268463E-2</v>
      </c>
      <c r="X67" s="2">
        <f>X12*'Output-Calculation-sheet'!X56/10^9</f>
        <v>0.14743986913362175</v>
      </c>
      <c r="Y67" s="2">
        <f>Y12*'Output-Calculation-sheet'!Y56/10^9</f>
        <v>8.3771250979077866E-2</v>
      </c>
      <c r="AA67" s="2">
        <f t="shared" si="4"/>
        <v>32.743077680018907</v>
      </c>
    </row>
    <row r="68" spans="1:27" x14ac:dyDescent="0.25">
      <c r="B68" s="2">
        <f>SUM(B60:B67)</f>
        <v>65.873640116127149</v>
      </c>
      <c r="C68" s="2">
        <f t="shared" ref="C68:Y68" si="5">SUM(C60:C67)</f>
        <v>40.535579429144164</v>
      </c>
      <c r="D68" s="2">
        <f t="shared" si="5"/>
        <v>19.605216072166666</v>
      </c>
      <c r="E68" s="2">
        <f t="shared" si="5"/>
        <v>20.936962744517896</v>
      </c>
      <c r="F68" s="2">
        <f t="shared" si="5"/>
        <v>8.5006899908649824</v>
      </c>
      <c r="G68" s="2">
        <f t="shared" si="5"/>
        <v>6.0764253744729428</v>
      </c>
      <c r="H68" s="2">
        <f t="shared" si="5"/>
        <v>11.590784200015525</v>
      </c>
      <c r="I68" s="2">
        <f t="shared" si="5"/>
        <v>5.7334142512585595</v>
      </c>
      <c r="J68" s="2">
        <f t="shared" si="5"/>
        <v>7.3822618881614499</v>
      </c>
      <c r="K68" s="2">
        <f t="shared" si="5"/>
        <v>7.0005624807028406</v>
      </c>
      <c r="L68" s="2">
        <f t="shared" si="5"/>
        <v>8.8882445451832659</v>
      </c>
      <c r="M68" s="2">
        <f t="shared" si="5"/>
        <v>9.1338279949174233</v>
      </c>
      <c r="N68" s="2">
        <f t="shared" si="5"/>
        <v>7.8404217178297522</v>
      </c>
      <c r="O68" s="2">
        <f t="shared" si="5"/>
        <v>8.2774043438616882</v>
      </c>
      <c r="P68" s="2">
        <f t="shared" si="5"/>
        <v>5.2982242338280257</v>
      </c>
      <c r="Q68" s="2">
        <f t="shared" si="5"/>
        <v>5.8537458114388397</v>
      </c>
      <c r="R68" s="2">
        <f t="shared" si="5"/>
        <v>5.034710519791826</v>
      </c>
      <c r="S68" s="2">
        <f t="shared" si="5"/>
        <v>4.0117216560123294</v>
      </c>
      <c r="T68" s="2">
        <f t="shared" si="5"/>
        <v>1.8051270402512374</v>
      </c>
      <c r="U68" s="2">
        <f t="shared" si="5"/>
        <v>1.3971866494410057</v>
      </c>
      <c r="V68" s="2">
        <f t="shared" si="5"/>
        <v>2.0754306448229936</v>
      </c>
      <c r="W68" s="2">
        <f t="shared" si="5"/>
        <v>0.79531913806855725</v>
      </c>
      <c r="X68" s="2">
        <f t="shared" si="5"/>
        <v>1.0194115484868327</v>
      </c>
      <c r="Y68" s="2">
        <f t="shared" si="5"/>
        <v>0.58664143897545695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3330.8735367289737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1742.9194695765343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1169.1959208755707</v>
      </c>
      <c r="N74" s="2">
        <f>N8/'Output-Calculation-sheet'!N7*'Output-Calculation-sheet'!N61</f>
        <v>48.553006429242721</v>
      </c>
      <c r="O74" s="2">
        <f>O8/'Output-Calculation-sheet'!O7*'Output-Calculation-sheet'!O61</f>
        <v>188.92096517239446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146.06705241790257</v>
      </c>
      <c r="Y74" s="2">
        <f>Y8/'Output-Calculation-sheet'!Y7*'Output-Calculation-sheet'!Y61</f>
        <v>0</v>
      </c>
      <c r="AA74" s="2">
        <f t="shared" si="6"/>
        <v>6.6265299512006175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4445.0681875989922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3012.9295725385186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2043.9957538065864</v>
      </c>
      <c r="N75" s="2">
        <f>N9/'Output-Calculation-sheet'!N8*'Output-Calculation-sheet'!N62</f>
        <v>789.86715432014739</v>
      </c>
      <c r="O75" s="2">
        <f>O9/'Output-Calculation-sheet'!O8*'Output-Calculation-sheet'!O62</f>
        <v>386.0857417428316</v>
      </c>
      <c r="P75" s="2">
        <f>P9/'Output-Calculation-sheet'!P8*'Output-Calculation-sheet'!P62</f>
        <v>52.880360902718259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261.26961282558347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246.86539478790556</v>
      </c>
      <c r="Y75" s="2">
        <f>Y9/'Output-Calculation-sheet'!Y8*'Output-Calculation-sheet'!Y62</f>
        <v>0</v>
      </c>
      <c r="AA75" s="2">
        <f t="shared" si="6"/>
        <v>11.238961778523283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6239.9901414263177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4310.7318279299689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2935.6336166346664</v>
      </c>
      <c r="N76" s="2">
        <f>N10/'Output-Calculation-sheet'!N9*'Output-Calculation-sheet'!N63</f>
        <v>1679.7666973956716</v>
      </c>
      <c r="O76" s="2">
        <f>O10/'Output-Calculation-sheet'!O9*'Output-Calculation-sheet'!O63</f>
        <v>620.42340999371913</v>
      </c>
      <c r="P76" s="2">
        <f>P10/'Output-Calculation-sheet'!P9*'Output-Calculation-sheet'!P63</f>
        <v>575.83377961085182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443.42018624918489</v>
      </c>
      <c r="S76" s="2">
        <f>S10/'Output-Calculation-sheet'!S9*'Output-Calculation-sheet'!S63</f>
        <v>744.8534156355845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157.58168239737748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345.68721788710218</v>
      </c>
      <c r="Y76" s="2">
        <f>Y10/'Output-Calculation-sheet'!Y9*'Output-Calculation-sheet'!Y63</f>
        <v>6.5577532558606864</v>
      </c>
      <c r="AA76" s="2">
        <f t="shared" si="6"/>
        <v>25.075316742080016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8275.0565056244959</v>
      </c>
      <c r="D77" s="2">
        <f>D11/'Output-Calculation-sheet'!D10*'Output-Calculation-sheet'!D64</f>
        <v>1936.5569140069413</v>
      </c>
      <c r="E77" s="2">
        <f>E11/'Output-Calculation-sheet'!E10*'Output-Calculation-sheet'!E64</f>
        <v>2414.6226554198183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1026.3639051276782</v>
      </c>
      <c r="H77" s="2">
        <f>H11/'Output-Calculation-sheet'!H10*'Output-Calculation-sheet'!H64</f>
        <v>5135.4854904669146</v>
      </c>
      <c r="I77" s="2">
        <f>I11/'Output-Calculation-sheet'!I10*'Output-Calculation-sheet'!I64</f>
        <v>603.16156613403803</v>
      </c>
      <c r="J77" s="2">
        <f>J11/'Output-Calculation-sheet'!J10*'Output-Calculation-sheet'!J64</f>
        <v>422.43049399527115</v>
      </c>
      <c r="K77" s="2">
        <f>K11/'Output-Calculation-sheet'!K10*'Output-Calculation-sheet'!K64</f>
        <v>918.58743677353027</v>
      </c>
      <c r="L77" s="2">
        <f>L11/'Output-Calculation-sheet'!L10*'Output-Calculation-sheet'!L64</f>
        <v>378.10249667820824</v>
      </c>
      <c r="M77" s="2">
        <f>M11/'Output-Calculation-sheet'!M10*'Output-Calculation-sheet'!M64</f>
        <v>3668.117709687413</v>
      </c>
      <c r="N77" s="2">
        <f>N11/'Output-Calculation-sheet'!N10*'Output-Calculation-sheet'!N64</f>
        <v>2582.584475875668</v>
      </c>
      <c r="O77" s="2">
        <f>O11/'Output-Calculation-sheet'!O10*'Output-Calculation-sheet'!O64</f>
        <v>940.51814071672891</v>
      </c>
      <c r="P77" s="2">
        <f>P11/'Output-Calculation-sheet'!P10*'Output-Calculation-sheet'!P64</f>
        <v>1145.0821236188958</v>
      </c>
      <c r="Q77" s="2">
        <f>Q11/'Output-Calculation-sheet'!Q10*'Output-Calculation-sheet'!Q64</f>
        <v>806.27541469807534</v>
      </c>
      <c r="R77" s="2">
        <f>R11/'Output-Calculation-sheet'!R10*'Output-Calculation-sheet'!R64</f>
        <v>975.47006060935769</v>
      </c>
      <c r="S77" s="2">
        <f>S11/'Output-Calculation-sheet'!S10*'Output-Calculation-sheet'!S64</f>
        <v>1298.6919735147192</v>
      </c>
      <c r="T77" s="2">
        <f>T11/'Output-Calculation-sheet'!T10*'Output-Calculation-sheet'!T64</f>
        <v>268.86069160995527</v>
      </c>
      <c r="U77" s="2">
        <f>U11/'Output-Calculation-sheet'!U10*'Output-Calculation-sheet'!U64</f>
        <v>285.35453906524594</v>
      </c>
      <c r="V77" s="2">
        <f>V11/'Output-Calculation-sheet'!V10*'Output-Calculation-sheet'!V64</f>
        <v>142.20616609501357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367.18644858204721</v>
      </c>
      <c r="Y77" s="2">
        <f>Y11/'Output-Calculation-sheet'!Y10*'Output-Calculation-sheet'!Y64</f>
        <v>89.296851679003169</v>
      </c>
      <c r="AA77" s="2">
        <f t="shared" si="6"/>
        <v>49.6889048357015</v>
      </c>
    </row>
    <row r="78" spans="1:27" x14ac:dyDescent="0.25">
      <c r="A78" s="2">
        <v>2035</v>
      </c>
      <c r="B78" s="2">
        <f>B12/'Output-Calculation-sheet'!B11*'Output-Calculation-sheet'!B65</f>
        <v>15279.670814165134</v>
      </c>
      <c r="C78" s="2">
        <f>C12/'Output-Calculation-sheet'!C11*'Output-Calculation-sheet'!C65</f>
        <v>11841.327625512904</v>
      </c>
      <c r="D78" s="2">
        <f>D12/'Output-Calculation-sheet'!D11*'Output-Calculation-sheet'!D65</f>
        <v>2041.1008432102369</v>
      </c>
      <c r="E78" s="2">
        <f>E12/'Output-Calculation-sheet'!E11*'Output-Calculation-sheet'!E65</f>
        <v>3536.8758518678992</v>
      </c>
      <c r="F78" s="2">
        <f>F12/'Output-Calculation-sheet'!F11*'Output-Calculation-sheet'!F65</f>
        <v>452.61562115506831</v>
      </c>
      <c r="G78" s="2">
        <f>G12/'Output-Calculation-sheet'!G11*'Output-Calculation-sheet'!G65</f>
        <v>896.32536819232382</v>
      </c>
      <c r="H78" s="2">
        <f>H12/'Output-Calculation-sheet'!H11*'Output-Calculation-sheet'!H65</f>
        <v>4860.3810159730419</v>
      </c>
      <c r="I78" s="2">
        <f>I12/'Output-Calculation-sheet'!I11*'Output-Calculation-sheet'!I65</f>
        <v>593.62815082841109</v>
      </c>
      <c r="J78" s="2">
        <f>J12/'Output-Calculation-sheet'!J11*'Output-Calculation-sheet'!J65</f>
        <v>859.2191085214414</v>
      </c>
      <c r="K78" s="2">
        <f>K12/'Output-Calculation-sheet'!K11*'Output-Calculation-sheet'!K65</f>
        <v>1076.820768002292</v>
      </c>
      <c r="L78" s="2">
        <f>L12/'Output-Calculation-sheet'!L11*'Output-Calculation-sheet'!L65</f>
        <v>913.45817729026271</v>
      </c>
      <c r="M78" s="2">
        <f>M12/'Output-Calculation-sheet'!M11*'Output-Calculation-sheet'!M65</f>
        <v>3541.5602160238527</v>
      </c>
      <c r="N78" s="2">
        <f>N12/'Output-Calculation-sheet'!N11*'Output-Calculation-sheet'!N65</f>
        <v>2512.0353650256825</v>
      </c>
      <c r="O78" s="2">
        <f>O12/'Output-Calculation-sheet'!O11*'Output-Calculation-sheet'!O65</f>
        <v>1410.2419336028663</v>
      </c>
      <c r="P78" s="2">
        <f>P12/'Output-Calculation-sheet'!P11*'Output-Calculation-sheet'!P65</f>
        <v>1233.4355016637885</v>
      </c>
      <c r="Q78" s="2">
        <f>Q12/'Output-Calculation-sheet'!Q11*'Output-Calculation-sheet'!Q65</f>
        <v>849.1001271600046</v>
      </c>
      <c r="R78" s="2">
        <f>R12/'Output-Calculation-sheet'!R11*'Output-Calculation-sheet'!R65</f>
        <v>1149.4088639702757</v>
      </c>
      <c r="S78" s="2">
        <f>S12/'Output-Calculation-sheet'!S11*'Output-Calculation-sheet'!S65</f>
        <v>1197.7354389655875</v>
      </c>
      <c r="T78" s="2">
        <f>T12/'Output-Calculation-sheet'!T11*'Output-Calculation-sheet'!T65</f>
        <v>396.48921496571762</v>
      </c>
      <c r="U78" s="2">
        <f>U12/'Output-Calculation-sheet'!U11*'Output-Calculation-sheet'!U65</f>
        <v>271.25634678597277</v>
      </c>
      <c r="V78" s="2">
        <f>V12/'Output-Calculation-sheet'!V11*'Output-Calculation-sheet'!V65</f>
        <v>222.6293854505399</v>
      </c>
      <c r="W78" s="2">
        <f>W12/'Output-Calculation-sheet'!W11*'Output-Calculation-sheet'!W65</f>
        <v>107.21321455216786</v>
      </c>
      <c r="X78" s="2">
        <f>X12/'Output-Calculation-sheet'!X11*'Output-Calculation-sheet'!X65</f>
        <v>346.7061837237361</v>
      </c>
      <c r="Y78" s="2">
        <f>Y12/'Output-Calculation-sheet'!Y11*'Output-Calculation-sheet'!Y65</f>
        <v>94.859789614188671</v>
      </c>
      <c r="AA78" s="2">
        <f t="shared" si="6"/>
        <v>55.684094926223388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318.17552729373119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82.417260408940763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0.40059278770267198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585.50912663650149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113.74867177621579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0.69925779841271729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732.02089798924453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142.21196744966056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0.87423286543890499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723.09127102625791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37.098335540001841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140.47718115805864</v>
      </c>
      <c r="P88" s="2">
        <f>P11/'Output-Calculation-sheet'!P10*'Output-Calculation-sheet'!P73</f>
        <v>0</v>
      </c>
      <c r="Q88" s="2">
        <f>Q11/'Output-Calculation-sheet'!Q10*'Output-Calculation-sheet'!Q73</f>
        <v>21.981935567983733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7.0135805698580826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2.8004061088175414</v>
      </c>
      <c r="Y88" s="2">
        <f>Y11/'Output-Calculation-sheet'!Y10*'Output-Calculation-sheet'!Y73</f>
        <v>0</v>
      </c>
      <c r="AA88" s="2">
        <f t="shared" si="7"/>
        <v>0.9324627099709778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564.27579821362417</v>
      </c>
      <c r="D89" s="2">
        <f>D12/'Output-Calculation-sheet'!D11*'Output-Calculation-sheet'!D74</f>
        <v>99.970654024109166</v>
      </c>
      <c r="E89" s="2">
        <f>E12/'Output-Calculation-sheet'!E11*'Output-Calculation-sheet'!E74</f>
        <v>158.9000090692499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35.861621516856999</v>
      </c>
      <c r="H89" s="2">
        <f>H12/'Output-Calculation-sheet'!H11*'Output-Calculation-sheet'!H74</f>
        <v>69.480665818092746</v>
      </c>
      <c r="I89" s="2">
        <f>I12/'Output-Calculation-sheet'!I11*'Output-Calculation-sheet'!I74</f>
        <v>32.255387460791738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31.701968616665944</v>
      </c>
      <c r="L89" s="2">
        <f>L12/'Output-Calculation-sheet'!L11*'Output-Calculation-sheet'!L74</f>
        <v>25.207886339660089</v>
      </c>
      <c r="M89" s="2">
        <f>M12/'Output-Calculation-sheet'!M11*'Output-Calculation-sheet'!M74</f>
        <v>47.809497155290181</v>
      </c>
      <c r="N89" s="2">
        <f>N12/'Output-Calculation-sheet'!N11*'Output-Calculation-sheet'!N74</f>
        <v>23.494532033536125</v>
      </c>
      <c r="O89" s="2">
        <f>O12/'Output-Calculation-sheet'!O11*'Output-Calculation-sheet'!O74</f>
        <v>109.62360728855339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20.584744531019044</v>
      </c>
      <c r="R89" s="2">
        <f>R12/'Output-Calculation-sheet'!R11*'Output-Calculation-sheet'!R74</f>
        <v>20.413612474163955</v>
      </c>
      <c r="S89" s="2">
        <f>S12/'Output-Calculation-sheet'!S11*'Output-Calculation-sheet'!S74</f>
        <v>26.935680545255135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6.5677912589519076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10.489639395918163</v>
      </c>
      <c r="Y89" s="2">
        <f>Y12/'Output-Calculation-sheet'!Y11*'Output-Calculation-sheet'!Y74</f>
        <v>5.061348288026287</v>
      </c>
      <c r="AA89" s="2">
        <f t="shared" si="7"/>
        <v>1.906494519725384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9861042689.3011723</v>
      </c>
      <c r="C96" s="2">
        <f>C8/'Output-Calculation-sheet'!C7*'Output-Calculation-sheet'!C79</f>
        <v>2381276554.3506513</v>
      </c>
      <c r="D96" s="2">
        <f>D8/'Output-Calculation-sheet'!D7*'Output-Calculation-sheet'!D79</f>
        <v>1933242292.0584781</v>
      </c>
      <c r="E96" s="2">
        <f>E8/'Output-Calculation-sheet'!E7*'Output-Calculation-sheet'!E79</f>
        <v>7243155584.0663805</v>
      </c>
      <c r="F96" s="2">
        <f>F8/'Output-Calculation-sheet'!F7*'Output-Calculation-sheet'!F79</f>
        <v>2112939318.2322409</v>
      </c>
      <c r="G96" s="2">
        <f>G8/'Output-Calculation-sheet'!G7*'Output-Calculation-sheet'!G79</f>
        <v>1356202748.736372</v>
      </c>
      <c r="H96" s="2">
        <f>H8/'Output-Calculation-sheet'!H7*'Output-Calculation-sheet'!H79</f>
        <v>1670794566.0379055</v>
      </c>
      <c r="I96" s="2">
        <f>I8/'Output-Calculation-sheet'!I7*'Output-Calculation-sheet'!I79</f>
        <v>975241673.27004552</v>
      </c>
      <c r="J96" s="2">
        <f>J8/'Output-Calculation-sheet'!J7*'Output-Calculation-sheet'!J79</f>
        <v>739042120.12186742</v>
      </c>
      <c r="K96" s="2">
        <f>K8/'Output-Calculation-sheet'!K7*'Output-Calculation-sheet'!K79</f>
        <v>926854574.11381674</v>
      </c>
      <c r="L96" s="2">
        <f>L8/'Output-Calculation-sheet'!L7*'Output-Calculation-sheet'!L79</f>
        <v>841424013.72367382</v>
      </c>
      <c r="M96" s="2">
        <f>M8/'Output-Calculation-sheet'!M7*'Output-Calculation-sheet'!M79</f>
        <v>1289177954.8486836</v>
      </c>
      <c r="N96" s="2">
        <f>N8/'Output-Calculation-sheet'!N7*'Output-Calculation-sheet'!N79</f>
        <v>838052711.24526465</v>
      </c>
      <c r="O96" s="2">
        <f>O8/'Output-Calculation-sheet'!O7*'Output-Calculation-sheet'!O79</f>
        <v>314455433.49372566</v>
      </c>
      <c r="P96" s="2">
        <f>P8/'Output-Calculation-sheet'!P7*'Output-Calculation-sheet'!P79</f>
        <v>1596079112.1493404</v>
      </c>
      <c r="Q96" s="2">
        <f>Q8/'Output-Calculation-sheet'!Q7*'Output-Calculation-sheet'!Q79</f>
        <v>677644482.38604426</v>
      </c>
      <c r="R96" s="2">
        <f>R8/'Output-Calculation-sheet'!R7*'Output-Calculation-sheet'!R79</f>
        <v>899423961.03053153</v>
      </c>
      <c r="S96" s="2">
        <f>S8/'Output-Calculation-sheet'!S7*'Output-Calculation-sheet'!S79</f>
        <v>507239842.2521044</v>
      </c>
      <c r="T96" s="2">
        <f>T8/'Output-Calculation-sheet'!T7*'Output-Calculation-sheet'!T79</f>
        <v>306008536.08700132</v>
      </c>
      <c r="U96" s="2">
        <f>U8/'Output-Calculation-sheet'!U7*'Output-Calculation-sheet'!U79</f>
        <v>240866648.31620619</v>
      </c>
      <c r="V96" s="2">
        <f>V8/'Output-Calculation-sheet'!V7*'Output-Calculation-sheet'!V79</f>
        <v>110549883.39063698</v>
      </c>
      <c r="W96" s="2">
        <f>W8/'Output-Calculation-sheet'!W7*'Output-Calculation-sheet'!W79</f>
        <v>340370380.32713282</v>
      </c>
      <c r="X96" s="2">
        <f>X8/'Output-Calculation-sheet'!X7*'Output-Calculation-sheet'!X79</f>
        <v>153514576.90885535</v>
      </c>
      <c r="Y96" s="2">
        <f>Y8/'Output-Calculation-sheet'!Y7*'Output-Calculation-sheet'!Y79</f>
        <v>211264173.60128793</v>
      </c>
      <c r="AA96" s="2">
        <f t="shared" si="8"/>
        <v>37.525863830049424</v>
      </c>
    </row>
    <row r="97" spans="1:27" x14ac:dyDescent="0.25">
      <c r="A97" s="2">
        <v>2032</v>
      </c>
      <c r="B97" s="2">
        <f>B9/'Output-Calculation-sheet'!B8*'Output-Calculation-sheet'!B80</f>
        <v>12480037720.254652</v>
      </c>
      <c r="C97" s="2">
        <f>C9/'Output-Calculation-sheet'!C8*'Output-Calculation-sheet'!C80</f>
        <v>2947558335.1309428</v>
      </c>
      <c r="D97" s="2">
        <f>D9/'Output-Calculation-sheet'!D8*'Output-Calculation-sheet'!D80</f>
        <v>2251615227.5608792</v>
      </c>
      <c r="E97" s="2">
        <f>E9/'Output-Calculation-sheet'!E8*'Output-Calculation-sheet'!E80</f>
        <v>9478969369.4077606</v>
      </c>
      <c r="F97" s="2">
        <f>F9/'Output-Calculation-sheet'!F8*'Output-Calculation-sheet'!F80</f>
        <v>2599460717.7244759</v>
      </c>
      <c r="G97" s="2">
        <f>G9/'Output-Calculation-sheet'!G8*'Output-Calculation-sheet'!G80</f>
        <v>1592806862.9367373</v>
      </c>
      <c r="H97" s="2">
        <f>H9/'Output-Calculation-sheet'!H8*'Output-Calculation-sheet'!H80</f>
        <v>2085553079.9751251</v>
      </c>
      <c r="I97" s="2">
        <f>I9/'Output-Calculation-sheet'!I8*'Output-Calculation-sheet'!I80</f>
        <v>1201278265.2992513</v>
      </c>
      <c r="J97" s="2">
        <f>J9/'Output-Calculation-sheet'!J8*'Output-Calculation-sheet'!J80</f>
        <v>897688736.91119969</v>
      </c>
      <c r="K97" s="2">
        <f>K9/'Output-Calculation-sheet'!K8*'Output-Calculation-sheet'!K80</f>
        <v>1107153937.2439744</v>
      </c>
      <c r="L97" s="2">
        <f>L9/'Output-Calculation-sheet'!L8*'Output-Calculation-sheet'!L80</f>
        <v>1067924130.8342899</v>
      </c>
      <c r="M97" s="2">
        <f>M9/'Output-Calculation-sheet'!M8*'Output-Calculation-sheet'!M80</f>
        <v>1645361392.3166718</v>
      </c>
      <c r="N97" s="2">
        <f>N9/'Output-Calculation-sheet'!N8*'Output-Calculation-sheet'!N80</f>
        <v>1033790564.6683047</v>
      </c>
      <c r="O97" s="2">
        <f>O9/'Output-Calculation-sheet'!O8*'Output-Calculation-sheet'!O80</f>
        <v>384278730.34299463</v>
      </c>
      <c r="P97" s="2">
        <f>P9/'Output-Calculation-sheet'!P8*'Output-Calculation-sheet'!P80</f>
        <v>1938097432.7558725</v>
      </c>
      <c r="Q97" s="2">
        <f>Q9/'Output-Calculation-sheet'!Q8*'Output-Calculation-sheet'!Q80</f>
        <v>838296013.97529078</v>
      </c>
      <c r="R97" s="2">
        <f>R9/'Output-Calculation-sheet'!R8*'Output-Calculation-sheet'!R80</f>
        <v>1123320381.1345561</v>
      </c>
      <c r="S97" s="2">
        <f>S9/'Output-Calculation-sheet'!S8*'Output-Calculation-sheet'!S80</f>
        <v>625198507.21782684</v>
      </c>
      <c r="T97" s="2">
        <f>T9/'Output-Calculation-sheet'!T8*'Output-Calculation-sheet'!T80</f>
        <v>364550600.15952176</v>
      </c>
      <c r="U97" s="2">
        <f>U9/'Output-Calculation-sheet'!U8*'Output-Calculation-sheet'!U80</f>
        <v>290080823.56952339</v>
      </c>
      <c r="V97" s="2">
        <f>V9/'Output-Calculation-sheet'!V8*'Output-Calculation-sheet'!V80</f>
        <v>133802691.73021461</v>
      </c>
      <c r="W97" s="2">
        <f>W9/'Output-Calculation-sheet'!W8*'Output-Calculation-sheet'!W80</f>
        <v>414047712.00684124</v>
      </c>
      <c r="X97" s="2">
        <f>X9/'Output-Calculation-sheet'!X8*'Output-Calculation-sheet'!X80</f>
        <v>200536969.98508275</v>
      </c>
      <c r="Y97" s="2">
        <f>Y9/'Output-Calculation-sheet'!Y8*'Output-Calculation-sheet'!Y80</f>
        <v>263245862.99580902</v>
      </c>
      <c r="AA97" s="2">
        <f t="shared" si="8"/>
        <v>46.964654066137818</v>
      </c>
    </row>
    <row r="98" spans="1:27" x14ac:dyDescent="0.25">
      <c r="A98" s="2">
        <v>2033</v>
      </c>
      <c r="B98" s="2">
        <f>B10/'Output-Calculation-sheet'!B9*'Output-Calculation-sheet'!B81</f>
        <v>14233117079.260609</v>
      </c>
      <c r="C98" s="2">
        <f>C10/'Output-Calculation-sheet'!C9*'Output-Calculation-sheet'!C81</f>
        <v>3295831370.5494952</v>
      </c>
      <c r="D98" s="2">
        <f>D10/'Output-Calculation-sheet'!D9*'Output-Calculation-sheet'!D81</f>
        <v>2371011381.4420838</v>
      </c>
      <c r="E98" s="2">
        <f>E10/'Output-Calculation-sheet'!E9*'Output-Calculation-sheet'!E81</f>
        <v>11192080263.78573</v>
      </c>
      <c r="F98" s="2">
        <f>F10/'Output-Calculation-sheet'!F9*'Output-Calculation-sheet'!F81</f>
        <v>2883645681.6811466</v>
      </c>
      <c r="G98" s="2">
        <f>G10/'Output-Calculation-sheet'!G9*'Output-Calculation-sheet'!G81</f>
        <v>1684684917.6827989</v>
      </c>
      <c r="H98" s="2">
        <f>H10/'Output-Calculation-sheet'!H9*'Output-Calculation-sheet'!H81</f>
        <v>2345340068.4268055</v>
      </c>
      <c r="I98" s="2">
        <f>I10/'Output-Calculation-sheet'!I9*'Output-Calculation-sheet'!I81</f>
        <v>1336592532.1105983</v>
      </c>
      <c r="J98" s="2">
        <f>J10/'Output-Calculation-sheet'!J9*'Output-Calculation-sheet'!J81</f>
        <v>985995948.52810609</v>
      </c>
      <c r="K98" s="2">
        <f>K10/'Output-Calculation-sheet'!K9*'Output-Calculation-sheet'!K81</f>
        <v>1193991476.0771346</v>
      </c>
      <c r="L98" s="2">
        <f>L10/'Output-Calculation-sheet'!L9*'Output-Calculation-sheet'!L81</f>
        <v>1223721582.0338449</v>
      </c>
      <c r="M98" s="2">
        <f>M10/'Output-Calculation-sheet'!M9*'Output-Calculation-sheet'!M81</f>
        <v>1896331658.492111</v>
      </c>
      <c r="N98" s="2">
        <f>N10/'Output-Calculation-sheet'!N9*'Output-Calculation-sheet'!N81</f>
        <v>1152429678.3437662</v>
      </c>
      <c r="O98" s="2">
        <f>O10/'Output-Calculation-sheet'!O9*'Output-Calculation-sheet'!O81</f>
        <v>425050712.95180947</v>
      </c>
      <c r="P98" s="2">
        <f>P10/'Output-Calculation-sheet'!P9*'Output-Calculation-sheet'!P81</f>
        <v>2108680728.4197204</v>
      </c>
      <c r="Q98" s="2">
        <f>Q10/'Output-Calculation-sheet'!Q9*'Output-Calculation-sheet'!Q81</f>
        <v>936957196.98812199</v>
      </c>
      <c r="R98" s="2">
        <f>R10/'Output-Calculation-sheet'!R9*'Output-Calculation-sheet'!R81</f>
        <v>1264680803.0779557</v>
      </c>
      <c r="S98" s="2">
        <f>S10/'Output-Calculation-sheet'!S9*'Output-Calculation-sheet'!S81</f>
        <v>694562888.4553194</v>
      </c>
      <c r="T98" s="2">
        <f>T10/'Output-Calculation-sheet'!T9*'Output-Calculation-sheet'!T81</f>
        <v>391327608.62816095</v>
      </c>
      <c r="U98" s="2">
        <f>U10/'Output-Calculation-sheet'!U9*'Output-Calculation-sheet'!U81</f>
        <v>314443192.22353905</v>
      </c>
      <c r="V98" s="2">
        <f>V10/'Output-Calculation-sheet'!V9*'Output-Calculation-sheet'!V81</f>
        <v>146042544.2722705</v>
      </c>
      <c r="W98" s="2">
        <f>W10/'Output-Calculation-sheet'!W9*'Output-Calculation-sheet'!W81</f>
        <v>451633457.92025471</v>
      </c>
      <c r="X98" s="2">
        <f>X10/'Output-Calculation-sheet'!X9*'Output-Calculation-sheet'!X81</f>
        <v>236763028.47968227</v>
      </c>
      <c r="Y98" s="2">
        <f>Y10/'Output-Calculation-sheet'!Y9*'Output-Calculation-sheet'!Y81</f>
        <v>294764579.68107921</v>
      </c>
      <c r="AA98" s="2">
        <f t="shared" si="8"/>
        <v>53.059680379512145</v>
      </c>
    </row>
    <row r="99" spans="1:27" x14ac:dyDescent="0.25">
      <c r="A99" s="2">
        <v>2034</v>
      </c>
      <c r="B99" s="2">
        <f>B11/'Output-Calculation-sheet'!B10*'Output-Calculation-sheet'!B82</f>
        <v>14883932225.392153</v>
      </c>
      <c r="C99" s="2">
        <f>C11/'Output-Calculation-sheet'!C10*'Output-Calculation-sheet'!C82</f>
        <v>3388071868.8922544</v>
      </c>
      <c r="D99" s="2">
        <f>D11/'Output-Calculation-sheet'!D10*'Output-Calculation-sheet'!D82</f>
        <v>2298227600.0273929</v>
      </c>
      <c r="E99" s="2">
        <f>E11/'Output-Calculation-sheet'!E10*'Output-Calculation-sheet'!E82</f>
        <v>12129652438.644129</v>
      </c>
      <c r="F99" s="2">
        <f>F11/'Output-Calculation-sheet'!F10*'Output-Calculation-sheet'!F82</f>
        <v>2936057399.1364622</v>
      </c>
      <c r="G99" s="2">
        <f>G11/'Output-Calculation-sheet'!G10*'Output-Calculation-sheet'!G82</f>
        <v>1634093040.7985871</v>
      </c>
      <c r="H99" s="2">
        <f>H11/'Output-Calculation-sheet'!H10*'Output-Calculation-sheet'!H82</f>
        <v>2418031670.1950693</v>
      </c>
      <c r="I99" s="2">
        <f>I11/'Output-Calculation-sheet'!I10*'Output-Calculation-sheet'!I82</f>
        <v>1367292973.1556826</v>
      </c>
      <c r="J99" s="2">
        <f>J11/'Output-Calculation-sheet'!J10*'Output-Calculation-sheet'!J82</f>
        <v>996749840.06244111</v>
      </c>
      <c r="K99" s="2">
        <f>K11/'Output-Calculation-sheet'!K10*'Output-Calculation-sheet'!K82</f>
        <v>1183496015.1483436</v>
      </c>
      <c r="L99" s="2">
        <f>L11/'Output-Calculation-sheet'!L10*'Output-Calculation-sheet'!L82</f>
        <v>1288338091.5630035</v>
      </c>
      <c r="M99" s="2">
        <f>M11/'Output-Calculation-sheet'!M10*'Output-Calculation-sheet'!M82</f>
        <v>2008325206.4324422</v>
      </c>
      <c r="N99" s="2">
        <f>N11/'Output-Calculation-sheet'!N10*'Output-Calculation-sheet'!N82</f>
        <v>1181640532.2733402</v>
      </c>
      <c r="O99" s="2">
        <f>O11/'Output-Calculation-sheet'!O10*'Output-Calculation-sheet'!O82</f>
        <v>433069375.54721528</v>
      </c>
      <c r="P99" s="2">
        <f>P11/'Output-Calculation-sheet'!P10*'Output-Calculation-sheet'!P82</f>
        <v>2093293284.3642077</v>
      </c>
      <c r="Q99" s="2">
        <f>Q11/'Output-Calculation-sheet'!Q10*'Output-Calculation-sheet'!Q82</f>
        <v>962892089.41349018</v>
      </c>
      <c r="R99" s="2">
        <f>R11/'Output-Calculation-sheet'!R10*'Output-Calculation-sheet'!R82</f>
        <v>1306138018.1666214</v>
      </c>
      <c r="S99" s="2">
        <f>S11/'Output-Calculation-sheet'!S10*'Output-Calculation-sheet'!S82</f>
        <v>707816896.24531341</v>
      </c>
      <c r="T99" s="2">
        <f>T11/'Output-Calculation-sheet'!T10*'Output-Calculation-sheet'!T82</f>
        <v>385436080.90549052</v>
      </c>
      <c r="U99" s="2">
        <f>U11/'Output-Calculation-sheet'!U10*'Output-Calculation-sheet'!U82</f>
        <v>312370570.8771165</v>
      </c>
      <c r="V99" s="2">
        <f>V11/'Output-Calculation-sheet'!V10*'Output-Calculation-sheet'!V82</f>
        <v>146321464.90048993</v>
      </c>
      <c r="W99" s="2">
        <f>W11/'Output-Calculation-sheet'!W10*'Output-Calculation-sheet'!W82</f>
        <v>449788388.05364001</v>
      </c>
      <c r="X99" s="2">
        <f>X11/'Output-Calculation-sheet'!X10*'Output-Calculation-sheet'!X82</f>
        <v>257072940.15998164</v>
      </c>
      <c r="Y99" s="2">
        <f>Y11/'Output-Calculation-sheet'!Y10*'Output-Calculation-sheet'!Y82</f>
        <v>301900540.47099209</v>
      </c>
      <c r="AA99" s="2">
        <f t="shared" si="8"/>
        <v>55.070008550825854</v>
      </c>
    </row>
    <row r="100" spans="1:27" x14ac:dyDescent="0.25">
      <c r="A100" s="2">
        <v>2035</v>
      </c>
      <c r="B100" s="2">
        <f>B12/'Output-Calculation-sheet'!B11*'Output-Calculation-sheet'!B83</f>
        <v>14377794545.49935</v>
      </c>
      <c r="C100" s="2">
        <f>C12/'Output-Calculation-sheet'!C11*'Output-Calculation-sheet'!C83</f>
        <v>3226420673.2322464</v>
      </c>
      <c r="D100" s="2">
        <f>D12/'Output-Calculation-sheet'!D11*'Output-Calculation-sheet'!D83</f>
        <v>2066791301.8813524</v>
      </c>
      <c r="E100" s="2">
        <f>E12/'Output-Calculation-sheet'!E11*'Output-Calculation-sheet'!E83</f>
        <v>12153904168.68652</v>
      </c>
      <c r="F100" s="2">
        <f>F12/'Output-Calculation-sheet'!F11*'Output-Calculation-sheet'!F83</f>
        <v>2765159147.7573075</v>
      </c>
      <c r="G100" s="2">
        <f>G12/'Output-Calculation-sheet'!G11*'Output-Calculation-sheet'!G83</f>
        <v>1465443922.4216168</v>
      </c>
      <c r="H100" s="2">
        <f>H12/'Output-Calculation-sheet'!H11*'Output-Calculation-sheet'!H83</f>
        <v>2302804655.2756295</v>
      </c>
      <c r="I100" s="2">
        <f>I12/'Output-Calculation-sheet'!I11*'Output-Calculation-sheet'!I83</f>
        <v>1295904058.5642548</v>
      </c>
      <c r="J100" s="2">
        <f>J12/'Output-Calculation-sheet'!J11*'Output-Calculation-sheet'!J83</f>
        <v>934502612.47412586</v>
      </c>
      <c r="K100" s="2">
        <f>K12/'Output-Calculation-sheet'!K11*'Output-Calculation-sheet'!K83</f>
        <v>1086738094.8446438</v>
      </c>
      <c r="L100" s="2">
        <f>L12/'Output-Calculation-sheet'!L11*'Output-Calculation-sheet'!L83</f>
        <v>1255558940.2253308</v>
      </c>
      <c r="M100" s="2">
        <f>M12/'Output-Calculation-sheet'!M11*'Output-Calculation-sheet'!M83</f>
        <v>1969003542.2624466</v>
      </c>
      <c r="N100" s="2">
        <f>N12/'Output-Calculation-sheet'!N11*'Output-Calculation-sheet'!N83</f>
        <v>1122969792.2241685</v>
      </c>
      <c r="O100" s="2">
        <f>O12/'Output-Calculation-sheet'!O11*'Output-Calculation-sheet'!O83</f>
        <v>409512359.10648042</v>
      </c>
      <c r="P100" s="2">
        <f>P12/'Output-Calculation-sheet'!P11*'Output-Calculation-sheet'!P83</f>
        <v>1911817430.9288828</v>
      </c>
      <c r="Q100" s="2">
        <f>Q12/'Output-Calculation-sheet'!Q11*'Output-Calculation-sheet'!Q83</f>
        <v>916717925.23272252</v>
      </c>
      <c r="R100" s="2">
        <f>R12/'Output-Calculation-sheet'!R11*'Output-Calculation-sheet'!R83</f>
        <v>1246802413.2206366</v>
      </c>
      <c r="S100" s="2">
        <f>S12/'Output-Calculation-sheet'!S11*'Output-Calculation-sheet'!S83</f>
        <v>666727048.83726048</v>
      </c>
      <c r="T100" s="2">
        <f>T12/'Output-Calculation-sheet'!T11*'Output-Calculation-sheet'!T83</f>
        <v>351167368.76921827</v>
      </c>
      <c r="U100" s="2">
        <f>U12/'Output-Calculation-sheet'!U11*'Output-Calculation-sheet'!U83</f>
        <v>286677980.40737993</v>
      </c>
      <c r="V100" s="2">
        <f>V12/'Output-Calculation-sheet'!V11*'Output-Calculation-sheet'!V83</f>
        <v>135618721.37992656</v>
      </c>
      <c r="W100" s="2">
        <f>W12/'Output-Calculation-sheet'!W11*'Output-Calculation-sheet'!W83</f>
        <v>412372027.78208315</v>
      </c>
      <c r="X100" s="2">
        <f>X12/'Output-Calculation-sheet'!X11*'Output-Calculation-sheet'!X83</f>
        <v>258603990.90250283</v>
      </c>
      <c r="Y100" s="2">
        <f>Y12/'Output-Calculation-sheet'!Y11*'Output-Calculation-sheet'!Y83</f>
        <v>285060196.92992848</v>
      </c>
      <c r="AA100" s="2">
        <f t="shared" si="8"/>
        <v>52.904072918846019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1637236564.8655</v>
      </c>
      <c r="C107" s="2">
        <f>C8/'Output-Calculation-sheet'!C7*'Output-Calculation-sheet'!C88</f>
        <v>21112664383.786449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8412745961.764533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5804091186.3921757</v>
      </c>
      <c r="N107" s="2">
        <f>N8/'Output-Calculation-sheet'!N7*'Output-Calculation-sheet'!N88</f>
        <v>1937588643.2363131</v>
      </c>
      <c r="O107" s="2">
        <f>O8/'Output-Calculation-sheet'!O7*'Output-Calculation-sheet'!O88</f>
        <v>3326362690.5363593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582123351.80495489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628584424.498564</v>
      </c>
      <c r="Y107" s="2">
        <f>Y8/'Output-Calculation-sheet'!Y7*'Output-Calculation-sheet'!Y88</f>
        <v>0</v>
      </c>
      <c r="AA107" s="2">
        <f t="shared" si="9"/>
        <v>43441.39720688486</v>
      </c>
    </row>
    <row r="108" spans="1:27" x14ac:dyDescent="0.25">
      <c r="A108" s="2">
        <v>2032</v>
      </c>
      <c r="B108" s="2">
        <f>B9/'Output-Calculation-sheet'!B8*'Output-Calculation-sheet'!B89</f>
        <v>7423926582.3681116</v>
      </c>
      <c r="C108" s="2">
        <f>C9/'Output-Calculation-sheet'!C8*'Output-Calculation-sheet'!C89</f>
        <v>25218721217.376472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11611000468.687061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8010580710.9352417</v>
      </c>
      <c r="N108" s="2">
        <f>N9/'Output-Calculation-sheet'!N8*'Output-Calculation-sheet'!N89</f>
        <v>3769611739.6538544</v>
      </c>
      <c r="O108" s="2">
        <f>O9/'Output-Calculation-sheet'!O8*'Output-Calculation-sheet'!O89</f>
        <v>4035818799.4341846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1121783078.7283983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867569835.41040909</v>
      </c>
      <c r="Y108" s="2">
        <f>Y9/'Output-Calculation-sheet'!Y8*'Output-Calculation-sheet'!Y89</f>
        <v>0</v>
      </c>
      <c r="AA108" s="2">
        <f t="shared" si="9"/>
        <v>62059.012432593729</v>
      </c>
    </row>
    <row r="109" spans="1:27" x14ac:dyDescent="0.25">
      <c r="A109" s="2">
        <v>2033</v>
      </c>
      <c r="B109" s="2">
        <f>B10/'Output-Calculation-sheet'!B9*'Output-Calculation-sheet'!B90</f>
        <v>19837327660.243298</v>
      </c>
      <c r="C109" s="2">
        <f>C10/'Output-Calculation-sheet'!C9*'Output-Calculation-sheet'!C90</f>
        <v>29260815148.009777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14516853252.980331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10015367218.950735</v>
      </c>
      <c r="N109" s="2">
        <f>N10/'Output-Calculation-sheet'!N9*'Output-Calculation-sheet'!N90</f>
        <v>5899873513.4893484</v>
      </c>
      <c r="O109" s="2">
        <f>O10/'Output-Calculation-sheet'!O9*'Output-Calculation-sheet'!O90</f>
        <v>4571119269.7344398</v>
      </c>
      <c r="P109" s="2">
        <f>P10/'Output-Calculation-sheet'!P9*'Output-Calculation-sheet'!P90</f>
        <v>0</v>
      </c>
      <c r="Q109" s="2">
        <f>Q10/'Output-Calculation-sheet'!Q9*'Output-Calculation-sheet'!Q90</f>
        <v>192021189.21885073</v>
      </c>
      <c r="R109" s="2">
        <f>R10/'Output-Calculation-sheet'!R9*'Output-Calculation-sheet'!R90</f>
        <v>-3.9564211909995457E-7</v>
      </c>
      <c r="S109" s="2">
        <f>S10/'Output-Calculation-sheet'!S9*'Output-Calculation-sheet'!S90</f>
        <v>2371536750.2453566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1084694571.7289445</v>
      </c>
      <c r="Y109" s="2">
        <f>Y10/'Output-Calculation-sheet'!Y9*'Output-Calculation-sheet'!Y90</f>
        <v>0</v>
      </c>
      <c r="AA109" s="2">
        <f t="shared" si="9"/>
        <v>87749.608574601094</v>
      </c>
    </row>
    <row r="110" spans="1:27" x14ac:dyDescent="0.25">
      <c r="A110" s="2">
        <v>2034</v>
      </c>
      <c r="B110" s="2">
        <f>B11/'Output-Calculation-sheet'!B10*'Output-Calculation-sheet'!B91</f>
        <v>44738623983.665878</v>
      </c>
      <c r="C110" s="2">
        <f>C11/'Output-Calculation-sheet'!C10*'Output-Calculation-sheet'!C91</f>
        <v>32978903358.740963</v>
      </c>
      <c r="D110" s="2">
        <f>D11/'Output-Calculation-sheet'!D10*'Output-Calculation-sheet'!D91</f>
        <v>0</v>
      </c>
      <c r="E110" s="2">
        <f>E11/'Output-Calculation-sheet'!E10*'Output-Calculation-sheet'!E91</f>
        <v>946901995.00670612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16308584116.394077</v>
      </c>
      <c r="I110" s="2">
        <f>I11/'Output-Calculation-sheet'!I10*'Output-Calculation-sheet'!I91</f>
        <v>-1.570124865198868E-6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761077040.2647028</v>
      </c>
      <c r="M110" s="2">
        <f>M11/'Output-Calculation-sheet'!M10*'Output-Calculation-sheet'!M91</f>
        <v>11542304925.009661</v>
      </c>
      <c r="N110" s="2">
        <f>N11/'Output-Calculation-sheet'!N10*'Output-Calculation-sheet'!N91</f>
        <v>7988060534.648694</v>
      </c>
      <c r="O110" s="2">
        <f>O11/'Output-Calculation-sheet'!O10*'Output-Calculation-sheet'!O91</f>
        <v>5064923496.9446249</v>
      </c>
      <c r="P110" s="2">
        <f>P11/'Output-Calculation-sheet'!P10*'Output-Calculation-sheet'!P91</f>
        <v>0</v>
      </c>
      <c r="Q110" s="2">
        <f>Q11/'Output-Calculation-sheet'!Q10*'Output-Calculation-sheet'!Q91</f>
        <v>1278756017.0737405</v>
      </c>
      <c r="R110" s="2">
        <f>R11/'Output-Calculation-sheet'!R10*'Output-Calculation-sheet'!R91</f>
        <v>0</v>
      </c>
      <c r="S110" s="2">
        <f>S11/'Output-Calculation-sheet'!S10*'Output-Calculation-sheet'!S91</f>
        <v>3910496722.7794089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1126782043.4870396</v>
      </c>
      <c r="Y110" s="2">
        <f>Y11/'Output-Calculation-sheet'!Y10*'Output-Calculation-sheet'!Y91</f>
        <v>50106119.264427111</v>
      </c>
      <c r="AA110" s="2">
        <f t="shared" si="9"/>
        <v>126695.52035327992</v>
      </c>
    </row>
    <row r="111" spans="1:27" x14ac:dyDescent="0.25">
      <c r="A111" s="2">
        <v>2035</v>
      </c>
      <c r="B111" s="2">
        <f>B12/'Output-Calculation-sheet'!B11*'Output-Calculation-sheet'!B92</f>
        <v>43186184814.540276</v>
      </c>
      <c r="C111" s="2">
        <f>C12/'Output-Calculation-sheet'!C11*'Output-Calculation-sheet'!C92</f>
        <v>37863492906.964325</v>
      </c>
      <c r="D111" s="2">
        <f>D12/'Output-Calculation-sheet'!D11*'Output-Calculation-sheet'!D92</f>
        <v>-1.1303481909197976E-6</v>
      </c>
      <c r="E111" s="2">
        <f>E12/'Output-Calculation-sheet'!E11*'Output-Calculation-sheet'!E92</f>
        <v>3502755252.9204588</v>
      </c>
      <c r="F111" s="2">
        <f>F12/'Output-Calculation-sheet'!F11*'Output-Calculation-sheet'!F92</f>
        <v>-2.4831798156521182E-7</v>
      </c>
      <c r="G111" s="2">
        <f>G12/'Output-Calculation-sheet'!G11*'Output-Calculation-sheet'!G92</f>
        <v>0</v>
      </c>
      <c r="H111" s="2">
        <f>H12/'Output-Calculation-sheet'!H11*'Output-Calculation-sheet'!H92</f>
        <v>15738704836.581715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1704355863.2759614</v>
      </c>
      <c r="M111" s="2">
        <f>M12/'Output-Calculation-sheet'!M11*'Output-Calculation-sheet'!M92</f>
        <v>11215431528.246328</v>
      </c>
      <c r="N111" s="2">
        <f>N12/'Output-Calculation-sheet'!N11*'Output-Calculation-sheet'!N92</f>
        <v>7896286668.9639692</v>
      </c>
      <c r="O111" s="2">
        <f>O12/'Output-Calculation-sheet'!O11*'Output-Calculation-sheet'!O92</f>
        <v>5721431462.1612635</v>
      </c>
      <c r="P111" s="2">
        <f>P12/'Output-Calculation-sheet'!P11*'Output-Calculation-sheet'!P92</f>
        <v>339303503.57595766</v>
      </c>
      <c r="Q111" s="2">
        <f>Q12/'Output-Calculation-sheet'!Q11*'Output-Calculation-sheet'!Q92</f>
        <v>1500641256.3952334</v>
      </c>
      <c r="R111" s="2">
        <f>R12/'Output-Calculation-sheet'!R11*'Output-Calculation-sheet'!R92</f>
        <v>0</v>
      </c>
      <c r="S111" s="2">
        <f>S12/'Output-Calculation-sheet'!S11*'Output-Calculation-sheet'!S92</f>
        <v>3772250479.0491276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1096298961.8478668</v>
      </c>
      <c r="Y111" s="2">
        <f>Y12/'Output-Calculation-sheet'!Y11*'Output-Calculation-sheet'!Y92</f>
        <v>74238312.97754173</v>
      </c>
      <c r="AA111" s="2">
        <f t="shared" si="9"/>
        <v>133611.37584750002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55592806514.815842</v>
      </c>
      <c r="C118" s="2">
        <f>C8/'Output-Calculation-sheet'!C7*'Output-Calculation-sheet'!C97</f>
        <v>0</v>
      </c>
      <c r="D118" s="2">
        <f>D8/'Output-Calculation-sheet'!D7*'Output-Calculation-sheet'!D97</f>
        <v>24037277550.838226</v>
      </c>
      <c r="E118" s="2">
        <f>E8/'Output-Calculation-sheet'!E7*'Output-Calculation-sheet'!E97</f>
        <v>19071140510.620407</v>
      </c>
      <c r="F118" s="2">
        <f>F8/'Output-Calculation-sheet'!F7*'Output-Calculation-sheet'!F97</f>
        <v>12276777507.938492</v>
      </c>
      <c r="G118" s="2">
        <f>G8/'Output-Calculation-sheet'!G7*'Output-Calculation-sheet'!G97</f>
        <v>8626000804.1422291</v>
      </c>
      <c r="H118" s="2">
        <f>H8/'Output-Calculation-sheet'!H7*'Output-Calculation-sheet'!H97</f>
        <v>0</v>
      </c>
      <c r="I118" s="2">
        <f>I8/'Output-Calculation-sheet'!I7*'Output-Calculation-sheet'!I97</f>
        <v>7858965747.2141142</v>
      </c>
      <c r="J118" s="2">
        <f>J8/'Output-Calculation-sheet'!J7*'Output-Calculation-sheet'!J97</f>
        <v>7649375965.7576704</v>
      </c>
      <c r="K118" s="2">
        <f>K8/'Output-Calculation-sheet'!K7*'Output-Calculation-sheet'!K97</f>
        <v>7576041490.6778173</v>
      </c>
      <c r="L118" s="2">
        <f>L8/'Output-Calculation-sheet'!L7*'Output-Calculation-sheet'!L97</f>
        <v>6077598993.3579473</v>
      </c>
      <c r="M118" s="2">
        <f>M8/'Output-Calculation-sheet'!M7*'Output-Calculation-sheet'!M97</f>
        <v>0</v>
      </c>
      <c r="N118" s="2">
        <f>N8/'Output-Calculation-sheet'!N7*'Output-Calculation-sheet'!N97</f>
        <v>3760111297.9480767</v>
      </c>
      <c r="O118" s="2">
        <f>O8/'Output-Calculation-sheet'!O7*'Output-Calculation-sheet'!O97</f>
        <v>0</v>
      </c>
      <c r="P118" s="2">
        <f>P8/'Output-Calculation-sheet'!P7*'Output-Calculation-sheet'!P97</f>
        <v>5186917393.1613188</v>
      </c>
      <c r="Q118" s="2">
        <f>Q8/'Output-Calculation-sheet'!Q7*'Output-Calculation-sheet'!Q97</f>
        <v>5103087457.9391527</v>
      </c>
      <c r="R118" s="2">
        <f>R8/'Output-Calculation-sheet'!R7*'Output-Calculation-sheet'!R97</f>
        <v>4909404826.9334955</v>
      </c>
      <c r="S118" s="2">
        <f>S8/'Output-Calculation-sheet'!S7*'Output-Calculation-sheet'!S97</f>
        <v>2680918973.3034229</v>
      </c>
      <c r="T118" s="2">
        <f>T8/'Output-Calculation-sheet'!T7*'Output-Calculation-sheet'!T97</f>
        <v>1804655352.3948808</v>
      </c>
      <c r="U118" s="2">
        <f>U8/'Output-Calculation-sheet'!U7*'Output-Calculation-sheet'!U97</f>
        <v>1571792840.830374</v>
      </c>
      <c r="V118" s="2">
        <f>V8/'Output-Calculation-sheet'!V7*'Output-Calculation-sheet'!V97</f>
        <v>1210312398.9021547</v>
      </c>
      <c r="W118" s="2">
        <f>W8/'Output-Calculation-sheet'!W7*'Output-Calculation-sheet'!W97</f>
        <v>1047861893.5659927</v>
      </c>
      <c r="X118" s="2">
        <f>X8/'Output-Calculation-sheet'!X7*'Output-Calculation-sheet'!X97</f>
        <v>0</v>
      </c>
      <c r="Y118" s="2">
        <f>Y8/'Output-Calculation-sheet'!Y7*'Output-Calculation-sheet'!Y97</f>
        <v>611421366.87393248</v>
      </c>
      <c r="AA118" s="2">
        <f t="shared" si="10"/>
        <v>176652.46888721554</v>
      </c>
    </row>
    <row r="119" spans="1:27" x14ac:dyDescent="0.25">
      <c r="A119" s="2">
        <v>2032</v>
      </c>
      <c r="B119" s="2">
        <f>B9/'Output-Calculation-sheet'!B8*'Output-Calculation-sheet'!B98</f>
        <v>71562457708.813766</v>
      </c>
      <c r="C119" s="2">
        <f>C9/'Output-Calculation-sheet'!C8*'Output-Calculation-sheet'!C98</f>
        <v>0</v>
      </c>
      <c r="D119" s="2">
        <f>D9/'Output-Calculation-sheet'!D8*'Output-Calculation-sheet'!D98</f>
        <v>33175194063.611034</v>
      </c>
      <c r="E119" s="2">
        <f>E9/'Output-Calculation-sheet'!E8*'Output-Calculation-sheet'!E98</f>
        <v>26321143797.48045</v>
      </c>
      <c r="F119" s="2">
        <f>F9/'Output-Calculation-sheet'!F8*'Output-Calculation-sheet'!F98</f>
        <v>16943870033.452461</v>
      </c>
      <c r="G119" s="2">
        <f>G9/'Output-Calculation-sheet'!G8*'Output-Calculation-sheet'!G98</f>
        <v>11905228136.496414</v>
      </c>
      <c r="H119" s="2">
        <f>H9/'Output-Calculation-sheet'!H8*'Output-Calculation-sheet'!H98</f>
        <v>2.49953548620842E-7</v>
      </c>
      <c r="I119" s="2">
        <f>I9/'Output-Calculation-sheet'!I8*'Output-Calculation-sheet'!I98</f>
        <v>10846600793.66087</v>
      </c>
      <c r="J119" s="2">
        <f>J9/'Output-Calculation-sheet'!J8*'Output-Calculation-sheet'!J98</f>
        <v>10557330044.790283</v>
      </c>
      <c r="K119" s="2">
        <f>K9/'Output-Calculation-sheet'!K8*'Output-Calculation-sheet'!K98</f>
        <v>10456118689.339714</v>
      </c>
      <c r="L119" s="2">
        <f>L9/'Output-Calculation-sheet'!L8*'Output-Calculation-sheet'!L98</f>
        <v>8388036332.8433657</v>
      </c>
      <c r="M119" s="2">
        <f>M9/'Output-Calculation-sheet'!M8*'Output-Calculation-sheet'!M98</f>
        <v>0</v>
      </c>
      <c r="N119" s="2">
        <f>N9/'Output-Calculation-sheet'!N8*'Output-Calculation-sheet'!N98</f>
        <v>4093445083.617178</v>
      </c>
      <c r="O119" s="2">
        <f>O9/'Output-Calculation-sheet'!O8*'Output-Calculation-sheet'!O98</f>
        <v>0</v>
      </c>
      <c r="P119" s="2">
        <f>P9/'Output-Calculation-sheet'!P8*'Output-Calculation-sheet'!P98</f>
        <v>7158708135.0884371</v>
      </c>
      <c r="Q119" s="2">
        <f>Q9/'Output-Calculation-sheet'!Q8*'Output-Calculation-sheet'!Q98</f>
        <v>7043057017.7617855</v>
      </c>
      <c r="R119" s="2">
        <f>R9/'Output-Calculation-sheet'!R8*'Output-Calculation-sheet'!R98</f>
        <v>6775745308.5882053</v>
      </c>
      <c r="S119" s="2">
        <f>S9/'Output-Calculation-sheet'!S8*'Output-Calculation-sheet'!S98</f>
        <v>3381486435.8755217</v>
      </c>
      <c r="T119" s="2">
        <f>T9/'Output-Calculation-sheet'!T8*'Output-Calculation-sheet'!T98</f>
        <v>2490705614.1349134</v>
      </c>
      <c r="U119" s="2">
        <f>U9/'Output-Calculation-sheet'!U8*'Output-Calculation-sheet'!U98</f>
        <v>2169319912.2551141</v>
      </c>
      <c r="V119" s="2">
        <f>V9/'Output-Calculation-sheet'!V8*'Output-Calculation-sheet'!V98</f>
        <v>1670419719.1083109</v>
      </c>
      <c r="W119" s="2">
        <f>W9/'Output-Calculation-sheet'!W8*'Output-Calculation-sheet'!W98</f>
        <v>1446213047.5837259</v>
      </c>
      <c r="X119" s="2">
        <f>X9/'Output-Calculation-sheet'!X8*'Output-Calculation-sheet'!X98</f>
        <v>0</v>
      </c>
      <c r="Y119" s="2">
        <f>Y9/'Output-Calculation-sheet'!Y8*'Output-Calculation-sheet'!Y98</f>
        <v>843856636.352005</v>
      </c>
      <c r="AA119" s="2">
        <f t="shared" si="10"/>
        <v>237228.93651085359</v>
      </c>
    </row>
    <row r="120" spans="1:27" x14ac:dyDescent="0.25">
      <c r="A120" s="2">
        <v>2033</v>
      </c>
      <c r="B120" s="2">
        <f>B10/'Output-Calculation-sheet'!B9*'Output-Calculation-sheet'!B99</f>
        <v>78907789833.96698</v>
      </c>
      <c r="C120" s="2">
        <f>C10/'Output-Calculation-sheet'!C9*'Output-Calculation-sheet'!C99</f>
        <v>0</v>
      </c>
      <c r="D120" s="2">
        <f>D10/'Output-Calculation-sheet'!D9*'Output-Calculation-sheet'!D99</f>
        <v>41476614983.768021</v>
      </c>
      <c r="E120" s="2">
        <f>E10/'Output-Calculation-sheet'!E9*'Output-Calculation-sheet'!E99</f>
        <v>32907480788.211617</v>
      </c>
      <c r="F120" s="2">
        <f>F10/'Output-Calculation-sheet'!F9*'Output-Calculation-sheet'!F99</f>
        <v>21183726256.888233</v>
      </c>
      <c r="G120" s="2">
        <f>G10/'Output-Calculation-sheet'!G9*'Output-Calculation-sheet'!G99</f>
        <v>14884267439.764883</v>
      </c>
      <c r="H120" s="2">
        <f>H10/'Output-Calculation-sheet'!H9*'Output-Calculation-sheet'!H99</f>
        <v>0</v>
      </c>
      <c r="I120" s="2">
        <f>I10/'Output-Calculation-sheet'!I9*'Output-Calculation-sheet'!I99</f>
        <v>13560741029.004568</v>
      </c>
      <c r="J120" s="2">
        <f>J10/'Output-Calculation-sheet'!J9*'Output-Calculation-sheet'!J99</f>
        <v>13199086162.697254</v>
      </c>
      <c r="K120" s="2">
        <f>K10/'Output-Calculation-sheet'!K9*'Output-Calculation-sheet'!K99</f>
        <v>13072550100.836319</v>
      </c>
      <c r="L120" s="2">
        <f>L10/'Output-Calculation-sheet'!L9*'Output-Calculation-sheet'!L99</f>
        <v>10486971032.83753</v>
      </c>
      <c r="M120" s="2">
        <f>M10/'Output-Calculation-sheet'!M9*'Output-Calculation-sheet'!M99</f>
        <v>0</v>
      </c>
      <c r="N120" s="2">
        <f>N10/'Output-Calculation-sheet'!N9*'Output-Calculation-sheet'!N99</f>
        <v>3930179109.5222421</v>
      </c>
      <c r="O120" s="2">
        <f>O10/'Output-Calculation-sheet'!O9*'Output-Calculation-sheet'!O99</f>
        <v>0</v>
      </c>
      <c r="P120" s="2">
        <f>P10/'Output-Calculation-sheet'!P9*'Output-Calculation-sheet'!P99</f>
        <v>8949563504.6097279</v>
      </c>
      <c r="Q120" s="2">
        <f>Q10/'Output-Calculation-sheet'!Q9*'Output-Calculation-sheet'!Q99</f>
        <v>8613332596.9339161</v>
      </c>
      <c r="R120" s="2">
        <f>R10/'Output-Calculation-sheet'!R9*'Output-Calculation-sheet'!R99</f>
        <v>8470835035.3238688</v>
      </c>
      <c r="S120" s="2">
        <f>S10/'Output-Calculation-sheet'!S9*'Output-Calculation-sheet'!S99</f>
        <v>3258203360.8021421</v>
      </c>
      <c r="T120" s="2">
        <f>T10/'Output-Calculation-sheet'!T9*'Output-Calculation-sheet'!T99</f>
        <v>3113927019.0544691</v>
      </c>
      <c r="U120" s="2">
        <f>U10/'Output-Calculation-sheet'!U9*'Output-Calculation-sheet'!U99</f>
        <v>2712737350.6199312</v>
      </c>
      <c r="V120" s="2">
        <f>V10/'Output-Calculation-sheet'!V9*'Output-Calculation-sheet'!V99</f>
        <v>2088408229.7964721</v>
      </c>
      <c r="W120" s="2">
        <f>W10/'Output-Calculation-sheet'!W9*'Output-Calculation-sheet'!W99</f>
        <v>1808098689.9211421</v>
      </c>
      <c r="X120" s="2">
        <f>X10/'Output-Calculation-sheet'!X9*'Output-Calculation-sheet'!X99</f>
        <v>0</v>
      </c>
      <c r="Y120" s="2">
        <f>Y10/'Output-Calculation-sheet'!Y9*'Output-Calculation-sheet'!Y99</f>
        <v>1055016104.1243796</v>
      </c>
      <c r="AA120" s="2">
        <f t="shared" si="10"/>
        <v>283679.52862868377</v>
      </c>
    </row>
    <row r="121" spans="1:27" x14ac:dyDescent="0.25">
      <c r="A121" s="2">
        <v>2034</v>
      </c>
      <c r="B121" s="2">
        <f>B11/'Output-Calculation-sheet'!B10*'Output-Calculation-sheet'!B100</f>
        <v>69051234969.630768</v>
      </c>
      <c r="C121" s="2">
        <f>C11/'Output-Calculation-sheet'!C10*'Output-Calculation-sheet'!C100</f>
        <v>0</v>
      </c>
      <c r="D121" s="2">
        <f>D11/'Output-Calculation-sheet'!D10*'Output-Calculation-sheet'!D100</f>
        <v>47799092719.018692</v>
      </c>
      <c r="E121" s="2">
        <f>E11/'Output-Calculation-sheet'!E10*'Output-Calculation-sheet'!E100</f>
        <v>36983093631.159859</v>
      </c>
      <c r="F121" s="2">
        <f>F11/'Output-Calculation-sheet'!F10*'Output-Calculation-sheet'!F100</f>
        <v>24413051062.313374</v>
      </c>
      <c r="G121" s="2">
        <f>G11/'Output-Calculation-sheet'!G10*'Output-Calculation-sheet'!G100</f>
        <v>17152217824.77438</v>
      </c>
      <c r="H121" s="2">
        <f>H11/'Output-Calculation-sheet'!H10*'Output-Calculation-sheet'!H100</f>
        <v>0</v>
      </c>
      <c r="I121" s="2">
        <f>I11/'Output-Calculation-sheet'!I10*'Output-Calculation-sheet'!I100</f>
        <v>15627323384.828787</v>
      </c>
      <c r="J121" s="2">
        <f>J11/'Output-Calculation-sheet'!J10*'Output-Calculation-sheet'!J100</f>
        <v>15210705555.737844</v>
      </c>
      <c r="K121" s="2">
        <f>K11/'Output-Calculation-sheet'!K10*'Output-Calculation-sheet'!K100</f>
        <v>15065267290.984131</v>
      </c>
      <c r="L121" s="2">
        <f>L11/'Output-Calculation-sheet'!L10*'Output-Calculation-sheet'!L100</f>
        <v>11324132089.089487</v>
      </c>
      <c r="M121" s="2">
        <f>M11/'Output-Calculation-sheet'!M10*'Output-Calculation-sheet'!M100</f>
        <v>8.0906356186808465E-7</v>
      </c>
      <c r="N121" s="2">
        <f>N11/'Output-Calculation-sheet'!N10*'Output-Calculation-sheet'!N100</f>
        <v>3340677992.8630347</v>
      </c>
      <c r="O121" s="2">
        <f>O11/'Output-Calculation-sheet'!O10*'Output-Calculation-sheet'!O100</f>
        <v>0</v>
      </c>
      <c r="P121" s="2">
        <f>P11/'Output-Calculation-sheet'!P10*'Output-Calculation-sheet'!P100</f>
        <v>10313353060.380135</v>
      </c>
      <c r="Q121" s="2">
        <f>Q11/'Output-Calculation-sheet'!Q10*'Output-Calculation-sheet'!Q100</f>
        <v>8546734818.7681646</v>
      </c>
      <c r="R121" s="2">
        <f>R11/'Output-Calculation-sheet'!R10*'Output-Calculation-sheet'!R100</f>
        <v>9761663266.712122</v>
      </c>
      <c r="S121" s="2">
        <f>S11/'Output-Calculation-sheet'!S10*'Output-Calculation-sheet'!S100</f>
        <v>2577359928.9261765</v>
      </c>
      <c r="T121" s="2">
        <f>T11/'Output-Calculation-sheet'!T10*'Output-Calculation-sheet'!T100</f>
        <v>3588384944.1956739</v>
      </c>
      <c r="U121" s="2">
        <f>U11/'Output-Calculation-sheet'!U10*'Output-Calculation-sheet'!U100</f>
        <v>3024060964.1829634</v>
      </c>
      <c r="V121" s="2">
        <f>V11/'Output-Calculation-sheet'!V10*'Output-Calculation-sheet'!V100</f>
        <v>2407436010.531538</v>
      </c>
      <c r="W121" s="2">
        <f>W11/'Output-Calculation-sheet'!W10*'Output-Calculation-sheet'!W100</f>
        <v>2083777666.1448383</v>
      </c>
      <c r="X121" s="2">
        <f>X11/'Output-Calculation-sheet'!X10*'Output-Calculation-sheet'!X100</f>
        <v>80249277.576108113</v>
      </c>
      <c r="Y121" s="2">
        <f>Y11/'Output-Calculation-sheet'!Y10*'Output-Calculation-sheet'!Y100</f>
        <v>1165709147.7798393</v>
      </c>
      <c r="AA121" s="2">
        <f t="shared" si="10"/>
        <v>299515.52560559794</v>
      </c>
    </row>
    <row r="122" spans="1:27" x14ac:dyDescent="0.25">
      <c r="A122" s="2">
        <v>2035</v>
      </c>
      <c r="B122" s="2">
        <f>B12/'Output-Calculation-sheet'!B11*'Output-Calculation-sheet'!B101</f>
        <v>64697897400.208359</v>
      </c>
      <c r="C122" s="2">
        <f>C12/'Output-Calculation-sheet'!C11*'Output-Calculation-sheet'!C101</f>
        <v>0</v>
      </c>
      <c r="D122" s="2">
        <f>D12/'Output-Calculation-sheet'!D11*'Output-Calculation-sheet'!D101</f>
        <v>45274559838.45752</v>
      </c>
      <c r="E122" s="2">
        <f>E12/'Output-Calculation-sheet'!E11*'Output-Calculation-sheet'!E101</f>
        <v>35159805006.75293</v>
      </c>
      <c r="F122" s="2">
        <f>F12/'Output-Calculation-sheet'!F11*'Output-Calculation-sheet'!F101</f>
        <v>23952735472.479862</v>
      </c>
      <c r="G122" s="2">
        <f>G12/'Output-Calculation-sheet'!G11*'Output-Calculation-sheet'!G101</f>
        <v>16229843843.613848</v>
      </c>
      <c r="H122" s="2">
        <f>H12/'Output-Calculation-sheet'!H11*'Output-Calculation-sheet'!H101</f>
        <v>0</v>
      </c>
      <c r="I122" s="2">
        <f>I12/'Output-Calculation-sheet'!I11*'Output-Calculation-sheet'!I101</f>
        <v>14892154339.248987</v>
      </c>
      <c r="J122" s="2">
        <f>J12/'Output-Calculation-sheet'!J11*'Output-Calculation-sheet'!J101</f>
        <v>14908412392.379126</v>
      </c>
      <c r="K122" s="2">
        <f>K12/'Output-Calculation-sheet'!K11*'Output-Calculation-sheet'!K101</f>
        <v>14636681613.030785</v>
      </c>
      <c r="L122" s="2">
        <f>L12/'Output-Calculation-sheet'!L11*'Output-Calculation-sheet'!L101</f>
        <v>10603324312.06019</v>
      </c>
      <c r="M122" s="2">
        <f>M12/'Output-Calculation-sheet'!M11*'Output-Calculation-sheet'!M101</f>
        <v>0</v>
      </c>
      <c r="N122" s="2">
        <f>N12/'Output-Calculation-sheet'!N11*'Output-Calculation-sheet'!N101</f>
        <v>3087376513.822525</v>
      </c>
      <c r="O122" s="2">
        <f>O12/'Output-Calculation-sheet'!O11*'Output-Calculation-sheet'!O101</f>
        <v>0</v>
      </c>
      <c r="P122" s="2">
        <f>P12/'Output-Calculation-sheet'!P11*'Output-Calculation-sheet'!P101</f>
        <v>9842577853.7030849</v>
      </c>
      <c r="Q122" s="2">
        <f>Q12/'Output-Calculation-sheet'!Q11*'Output-Calculation-sheet'!Q101</f>
        <v>7957218261.1661911</v>
      </c>
      <c r="R122" s="2">
        <f>R12/'Output-Calculation-sheet'!R11*'Output-Calculation-sheet'!R101</f>
        <v>9749102424.9925098</v>
      </c>
      <c r="S122" s="2">
        <f>S12/'Output-Calculation-sheet'!S11*'Output-Calculation-sheet'!S101</f>
        <v>2331964623.909627</v>
      </c>
      <c r="T122" s="2">
        <f>T12/'Output-Calculation-sheet'!T11*'Output-Calculation-sheet'!T101</f>
        <v>3638034564.1141601</v>
      </c>
      <c r="U122" s="2">
        <f>U12/'Output-Calculation-sheet'!U11*'Output-Calculation-sheet'!U101</f>
        <v>2873289141.9905467</v>
      </c>
      <c r="V122" s="2">
        <f>V12/'Output-Calculation-sheet'!V11*'Output-Calculation-sheet'!V101</f>
        <v>2501967881.5880475</v>
      </c>
      <c r="W122" s="2">
        <f>W12/'Output-Calculation-sheet'!W11*'Output-Calculation-sheet'!W101</f>
        <v>2108592040.8612092</v>
      </c>
      <c r="X122" s="2">
        <f>X12/'Output-Calculation-sheet'!X11*'Output-Calculation-sheet'!X101</f>
        <v>74346368.182509571</v>
      </c>
      <c r="Y122" s="2">
        <f>Y12/'Output-Calculation-sheet'!Y11*'Output-Calculation-sheet'!Y101</f>
        <v>1113850411.6111162</v>
      </c>
      <c r="AA122" s="2">
        <f t="shared" si="10"/>
        <v>285633.73430417321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57230044121.892975</v>
      </c>
      <c r="C129" s="2">
        <f>C8/'Output-Calculation-sheet'!C7*'Output-Calculation-sheet'!C106</f>
        <v>33543580723.985241</v>
      </c>
      <c r="D129" s="2">
        <f>D8/'Output-Calculation-sheet'!D7*'Output-Calculation-sheet'!D106</f>
        <v>24037277550.838226</v>
      </c>
      <c r="E129" s="2">
        <f>E8/'Output-Calculation-sheet'!E7*'Output-Calculation-sheet'!E106</f>
        <v>19071140510.620407</v>
      </c>
      <c r="F129" s="2">
        <f>F8/'Output-Calculation-sheet'!F7*'Output-Calculation-sheet'!F106</f>
        <v>12276777507.938492</v>
      </c>
      <c r="G129" s="2">
        <f>G8/'Output-Calculation-sheet'!G7*'Output-Calculation-sheet'!G106</f>
        <v>8626000804.1422291</v>
      </c>
      <c r="H129" s="2">
        <f>H8/'Output-Calculation-sheet'!H7*'Output-Calculation-sheet'!H106</f>
        <v>8414332660.0172529</v>
      </c>
      <c r="I129" s="2">
        <f>I8/'Output-Calculation-sheet'!I7*'Output-Calculation-sheet'!I106</f>
        <v>7858965747.2141142</v>
      </c>
      <c r="J129" s="2">
        <f>J8/'Output-Calculation-sheet'!J7*'Output-Calculation-sheet'!J106</f>
        <v>7649375965.7576704</v>
      </c>
      <c r="K129" s="2">
        <f>K8/'Output-Calculation-sheet'!K7*'Output-Calculation-sheet'!K106</f>
        <v>7576041490.6778173</v>
      </c>
      <c r="L129" s="2">
        <f>L8/'Output-Calculation-sheet'!L7*'Output-Calculation-sheet'!L106</f>
        <v>6077598993.3579473</v>
      </c>
      <c r="M129" s="2">
        <f>M8/'Output-Calculation-sheet'!M7*'Output-Calculation-sheet'!M106</f>
        <v>5805156031.9421711</v>
      </c>
      <c r="N129" s="2">
        <f>N8/'Output-Calculation-sheet'!N7*'Output-Calculation-sheet'!N106</f>
        <v>5697744983.5368748</v>
      </c>
      <c r="O129" s="2">
        <f>O8/'Output-Calculation-sheet'!O7*'Output-Calculation-sheet'!O106</f>
        <v>7307816915.0016747</v>
      </c>
      <c r="P129" s="2">
        <f>P8/'Output-Calculation-sheet'!P7*'Output-Calculation-sheet'!P106</f>
        <v>5186917393.1613188</v>
      </c>
      <c r="Q129" s="2">
        <f>Q8/'Output-Calculation-sheet'!Q7*'Output-Calculation-sheet'!Q106</f>
        <v>5103087457.9391527</v>
      </c>
      <c r="R129" s="2">
        <f>R8/'Output-Calculation-sheet'!R7*'Output-Calculation-sheet'!R106</f>
        <v>4909404826.9334955</v>
      </c>
      <c r="S129" s="2">
        <f>S8/'Output-Calculation-sheet'!S7*'Output-Calculation-sheet'!S106</f>
        <v>3263041945.4060059</v>
      </c>
      <c r="T129" s="2">
        <f>T8/'Output-Calculation-sheet'!T7*'Output-Calculation-sheet'!T106</f>
        <v>1804655352.3948808</v>
      </c>
      <c r="U129" s="2">
        <f>U8/'Output-Calculation-sheet'!U7*'Output-Calculation-sheet'!U106</f>
        <v>1571792840.830374</v>
      </c>
      <c r="V129" s="2">
        <f>V8/'Output-Calculation-sheet'!V7*'Output-Calculation-sheet'!V106</f>
        <v>1210312398.9021547</v>
      </c>
      <c r="W129" s="2">
        <f>W8/'Output-Calculation-sheet'!W7*'Output-Calculation-sheet'!W106</f>
        <v>1047861893.5659927</v>
      </c>
      <c r="X129" s="2">
        <f>X8/'Output-Calculation-sheet'!X7*'Output-Calculation-sheet'!X106</f>
        <v>628717259.77713001</v>
      </c>
      <c r="Y129" s="2">
        <f>Y8/'Output-Calculation-sheet'!Y7*'Output-Calculation-sheet'!Y106</f>
        <v>611421366.87393248</v>
      </c>
      <c r="AA129" s="2">
        <f t="shared" si="11"/>
        <v>236509.06674270748</v>
      </c>
    </row>
    <row r="130" spans="1:27" x14ac:dyDescent="0.25">
      <c r="A130" s="2">
        <v>2032</v>
      </c>
      <c r="B130" s="2">
        <f>B9/'Output-Calculation-sheet'!B8*'Output-Calculation-sheet'!B107</f>
        <v>47391837483.046738</v>
      </c>
      <c r="C130" s="2">
        <f>C9/'Output-Calculation-sheet'!C8*'Output-Calculation-sheet'!C107</f>
        <v>35639940538.363846</v>
      </c>
      <c r="D130" s="2">
        <f>D9/'Output-Calculation-sheet'!D8*'Output-Calculation-sheet'!D107</f>
        <v>19905112288.867252</v>
      </c>
      <c r="E130" s="2">
        <f>E9/'Output-Calculation-sheet'!E8*'Output-Calculation-sheet'!E107</f>
        <v>15792684629.695148</v>
      </c>
      <c r="F130" s="2">
        <f>F9/'Output-Calculation-sheet'!F8*'Output-Calculation-sheet'!F107</f>
        <v>10166323057.049288</v>
      </c>
      <c r="G130" s="2">
        <f>G9/'Output-Calculation-sheet'!G8*'Output-Calculation-sheet'!G107</f>
        <v>7143137626.1192656</v>
      </c>
      <c r="H130" s="2">
        <f>H9/'Output-Calculation-sheet'!H8*'Output-Calculation-sheet'!H107</f>
        <v>6967854737.3047485</v>
      </c>
      <c r="I130" s="2">
        <f>I9/'Output-Calculation-sheet'!I8*'Output-Calculation-sheet'!I107</f>
        <v>6507959806.8137913</v>
      </c>
      <c r="J130" s="2">
        <f>J9/'Output-Calculation-sheet'!J8*'Output-Calculation-sheet'!J107</f>
        <v>6334397364.405036</v>
      </c>
      <c r="K130" s="2">
        <f>K9/'Output-Calculation-sheet'!K8*'Output-Calculation-sheet'!K107</f>
        <v>6273671213.6038284</v>
      </c>
      <c r="L130" s="2">
        <f>L9/'Output-Calculation-sheet'!L8*'Output-Calculation-sheet'!L107</f>
        <v>5032821276.5771675</v>
      </c>
      <c r="M130" s="2">
        <f>M9/'Output-Calculation-sheet'!M8*'Output-Calculation-sheet'!M107</f>
        <v>4807213599.4498377</v>
      </c>
      <c r="N130" s="2">
        <f>N9/'Output-Calculation-sheet'!N8*'Output-Calculation-sheet'!N107</f>
        <v>4718264132.7466383</v>
      </c>
      <c r="O130" s="2">
        <f>O9/'Output-Calculation-sheet'!O8*'Output-Calculation-sheet'!O107</f>
        <v>7761062775.3974609</v>
      </c>
      <c r="P130" s="2">
        <f>P9/'Output-Calculation-sheet'!P8*'Output-Calculation-sheet'!P107</f>
        <v>4295252357.2201414</v>
      </c>
      <c r="Q130" s="2">
        <f>Q9/'Output-Calculation-sheet'!Q8*'Output-Calculation-sheet'!Q107</f>
        <v>4225835492.2171698</v>
      </c>
      <c r="R130" s="2">
        <f>R9/'Output-Calculation-sheet'!R8*'Output-Calculation-sheet'!R107</f>
        <v>4065447608.7881899</v>
      </c>
      <c r="S130" s="2">
        <f>S9/'Output-Calculation-sheet'!S8*'Output-Calculation-sheet'!S107</f>
        <v>2702104389.6966133</v>
      </c>
      <c r="T130" s="2">
        <f>T9/'Output-Calculation-sheet'!T8*'Output-Calculation-sheet'!T107</f>
        <v>1494423681.9412761</v>
      </c>
      <c r="U130" s="2">
        <f>U9/'Output-Calculation-sheet'!U8*'Output-Calculation-sheet'!U107</f>
        <v>1301591538.457092</v>
      </c>
      <c r="V130" s="2">
        <f>V9/'Output-Calculation-sheet'!V8*'Output-Calculation-sheet'!V107</f>
        <v>1002251516.169104</v>
      </c>
      <c r="W130" s="2">
        <f>W9/'Output-Calculation-sheet'!W8*'Output-Calculation-sheet'!W107</f>
        <v>867727919.55774331</v>
      </c>
      <c r="X130" s="2">
        <f>X9/'Output-Calculation-sheet'!X8*'Output-Calculation-sheet'!X107</f>
        <v>520636649.57959551</v>
      </c>
      <c r="Y130" s="2">
        <f>Y9/'Output-Calculation-sheet'!Y8*'Output-Calculation-sheet'!Y107</f>
        <v>506314034.32923806</v>
      </c>
      <c r="AA130" s="2">
        <f t="shared" si="11"/>
        <v>205423.86571739617</v>
      </c>
    </row>
    <row r="131" spans="1:27" x14ac:dyDescent="0.25">
      <c r="A131" s="2">
        <v>2033</v>
      </c>
      <c r="B131" s="2">
        <f>B10/'Output-Calculation-sheet'!B9*'Output-Calculation-sheet'!B108</f>
        <v>32917054466.79829</v>
      </c>
      <c r="C131" s="2">
        <f>C10/'Output-Calculation-sheet'!C9*'Output-Calculation-sheet'!C108</f>
        <v>34445304356.625404</v>
      </c>
      <c r="D131" s="2">
        <f>D10/'Output-Calculation-sheet'!D9*'Output-Calculation-sheet'!D108</f>
        <v>13825541930.406904</v>
      </c>
      <c r="E131" s="2">
        <f>E10/'Output-Calculation-sheet'!E9*'Output-Calculation-sheet'!E108</f>
        <v>10969160262.737206</v>
      </c>
      <c r="F131" s="2">
        <f>F10/'Output-Calculation-sheet'!F9*'Output-Calculation-sheet'!F108</f>
        <v>7061242085.6294117</v>
      </c>
      <c r="G131" s="2">
        <f>G10/'Output-Calculation-sheet'!G9*'Output-Calculation-sheet'!G108</f>
        <v>4961422479.921628</v>
      </c>
      <c r="H131" s="2">
        <f>H10/'Output-Calculation-sheet'!H9*'Output-Calculation-sheet'!H108</f>
        <v>4839677176.1140223</v>
      </c>
      <c r="I131" s="2">
        <f>I10/'Output-Calculation-sheet'!I9*'Output-Calculation-sheet'!I108</f>
        <v>4520248172.0045347</v>
      </c>
      <c r="J131" s="2">
        <f>J10/'Output-Calculation-sheet'!J9*'Output-Calculation-sheet'!J108</f>
        <v>4399696537.8971186</v>
      </c>
      <c r="K131" s="2">
        <f>K10/'Output-Calculation-sheet'!K9*'Output-Calculation-sheet'!K108</f>
        <v>4357516700.2787733</v>
      </c>
      <c r="L131" s="2">
        <f>L10/'Output-Calculation-sheet'!L9*'Output-Calculation-sheet'!L108</f>
        <v>3495657919.322546</v>
      </c>
      <c r="M131" s="2">
        <f>M10/'Output-Calculation-sheet'!M9*'Output-Calculation-sheet'!M108</f>
        <v>3338955361.8520188</v>
      </c>
      <c r="N131" s="2">
        <f>N10/'Output-Calculation-sheet'!N9*'Output-Calculation-sheet'!N108</f>
        <v>3277174409.4889278</v>
      </c>
      <c r="O131" s="2">
        <f>O10/'Output-Calculation-sheet'!O9*'Output-Calculation-sheet'!O108</f>
        <v>7761208642.767395</v>
      </c>
      <c r="P131" s="2">
        <f>P10/'Output-Calculation-sheet'!P9*'Output-Calculation-sheet'!P108</f>
        <v>2983363816.0176654</v>
      </c>
      <c r="Q131" s="2">
        <f>Q10/'Output-Calculation-sheet'!Q9*'Output-Calculation-sheet'!Q108</f>
        <v>2935147237.2409072</v>
      </c>
      <c r="R131" s="2">
        <f>R10/'Output-Calculation-sheet'!R9*'Output-Calculation-sheet'!R108</f>
        <v>2823745560.0151334</v>
      </c>
      <c r="S131" s="2">
        <f>S10/'Output-Calculation-sheet'!S9*'Output-Calculation-sheet'!S108</f>
        <v>1876806681.1026354</v>
      </c>
      <c r="T131" s="2">
        <f>T10/'Output-Calculation-sheet'!T9*'Output-Calculation-sheet'!T108</f>
        <v>1037984381.8495148</v>
      </c>
      <c r="U131" s="2">
        <f>U10/'Output-Calculation-sheet'!U9*'Output-Calculation-sheet'!U108</f>
        <v>904049108.19518077</v>
      </c>
      <c r="V131" s="2">
        <f>V10/'Output-Calculation-sheet'!V9*'Output-Calculation-sheet'!V108</f>
        <v>696135894.10240006</v>
      </c>
      <c r="W131" s="2">
        <f>W10/'Output-Calculation-sheet'!W9*'Output-Calculation-sheet'!W108</f>
        <v>602699405.27886832</v>
      </c>
      <c r="X131" s="2">
        <f>X10/'Output-Calculation-sheet'!X9*'Output-Calculation-sheet'!X108</f>
        <v>361619572.53055221</v>
      </c>
      <c r="Y131" s="2">
        <f>Y10/'Output-Calculation-sheet'!Y9*'Output-Calculation-sheet'!Y108</f>
        <v>351671487.5447343</v>
      </c>
      <c r="AA131" s="2">
        <f t="shared" si="11"/>
        <v>154743.08364572178</v>
      </c>
    </row>
    <row r="132" spans="1:27" x14ac:dyDescent="0.25">
      <c r="A132" s="2">
        <v>2034</v>
      </c>
      <c r="B132" s="2">
        <f>B11/'Output-Calculation-sheet'!B10*'Output-Calculation-sheet'!B109</f>
        <v>16257751235.847979</v>
      </c>
      <c r="C132" s="2">
        <f>C11/'Output-Calculation-sheet'!C10*'Output-Calculation-sheet'!C109</f>
        <v>30060434679.751881</v>
      </c>
      <c r="D132" s="2">
        <f>D11/'Output-Calculation-sheet'!D10*'Output-Calculation-sheet'!D109</f>
        <v>6828442732.0555515</v>
      </c>
      <c r="E132" s="2">
        <f>E11/'Output-Calculation-sheet'!E10*'Output-Calculation-sheet'!E109</f>
        <v>5417675955.8781786</v>
      </c>
      <c r="F132" s="2">
        <f>F11/'Output-Calculation-sheet'!F10*'Output-Calculation-sheet'!F109</f>
        <v>3487552424.2184238</v>
      </c>
      <c r="G132" s="2">
        <f>G11/'Output-Calculation-sheet'!G10*'Output-Calculation-sheet'!G109</f>
        <v>2450450429.5060492</v>
      </c>
      <c r="H132" s="2">
        <f>H11/'Output-Calculation-sheet'!H10*'Output-Calculation-sheet'!H109</f>
        <v>2903873327.3437104</v>
      </c>
      <c r="I132" s="2">
        <f>I11/'Output-Calculation-sheet'!I10*'Output-Calculation-sheet'!I109</f>
        <v>2232553057.1987739</v>
      </c>
      <c r="J132" s="2">
        <f>J11/'Output-Calculation-sheet'!J10*'Output-Calculation-sheet'!J109</f>
        <v>2173012868.4713135</v>
      </c>
      <c r="K132" s="2">
        <f>K11/'Output-Calculation-sheet'!K10*'Output-Calculation-sheet'!K109</f>
        <v>2152180896.4816957</v>
      </c>
      <c r="L132" s="2">
        <f>L11/'Output-Calculation-sheet'!L10*'Output-Calculation-sheet'!L109</f>
        <v>1726507631.6779711</v>
      </c>
      <c r="M132" s="2">
        <f>M11/'Output-Calculation-sheet'!M10*'Output-Calculation-sheet'!M109</f>
        <v>1649112397.7016492</v>
      </c>
      <c r="N132" s="2">
        <f>N11/'Output-Calculation-sheet'!N10*'Output-Calculation-sheet'!N109</f>
        <v>1618599243.7338696</v>
      </c>
      <c r="O132" s="2">
        <f>O11/'Output-Calculation-sheet'!O10*'Output-Calculation-sheet'!O109</f>
        <v>7134278804.8658714</v>
      </c>
      <c r="P132" s="2">
        <f>P11/'Output-Calculation-sheet'!P10*'Output-Calculation-sheet'!P109</f>
        <v>1473485019.9732182</v>
      </c>
      <c r="Q132" s="2">
        <f>Q11/'Output-Calculation-sheet'!Q10*'Output-Calculation-sheet'!Q109</f>
        <v>1814690553.9373701</v>
      </c>
      <c r="R132" s="2">
        <f>R11/'Output-Calculation-sheet'!R10*'Output-Calculation-sheet'!R109</f>
        <v>1394650132.8062613</v>
      </c>
      <c r="S132" s="2">
        <f>S11/'Output-Calculation-sheet'!S10*'Output-Calculation-sheet'!S109</f>
        <v>926955993.79660833</v>
      </c>
      <c r="T132" s="2">
        <f>T11/'Output-Calculation-sheet'!T10*'Output-Calculation-sheet'!T109</f>
        <v>512661376.32589537</v>
      </c>
      <c r="U132" s="2">
        <f>U11/'Output-Calculation-sheet'!U10*'Output-Calculation-sheet'!U109</f>
        <v>563876658.34675324</v>
      </c>
      <c r="V132" s="2">
        <f>V11/'Output-Calculation-sheet'!V10*'Output-Calculation-sheet'!V109</f>
        <v>343822060.97744733</v>
      </c>
      <c r="W132" s="2">
        <f>W11/'Output-Calculation-sheet'!W10*'Output-Calculation-sheet'!W109</f>
        <v>297673706.28915292</v>
      </c>
      <c r="X132" s="2">
        <f>X11/'Output-Calculation-sheet'!X10*'Output-Calculation-sheet'!X109</f>
        <v>236365757.24924666</v>
      </c>
      <c r="Y132" s="2">
        <f>Y11/'Output-Calculation-sheet'!Y10*'Output-Calculation-sheet'!Y109</f>
        <v>173690848.6770876</v>
      </c>
      <c r="AA132" s="2">
        <f t="shared" si="11"/>
        <v>93830.297793111982</v>
      </c>
    </row>
    <row r="133" spans="1:27" x14ac:dyDescent="0.25">
      <c r="A133" s="2">
        <v>2035</v>
      </c>
      <c r="B133" s="2">
        <f>B12/'Output-Calculation-sheet'!B11*'Output-Calculation-sheet'!B110</f>
        <v>16280993343.718065</v>
      </c>
      <c r="C133" s="2">
        <f>C12/'Output-Calculation-sheet'!C11*'Output-Calculation-sheet'!C110</f>
        <v>20988238314.555752</v>
      </c>
      <c r="D133" s="2">
        <f>D12/'Output-Calculation-sheet'!D11*'Output-Calculation-sheet'!D110</f>
        <v>6191048643.0366888</v>
      </c>
      <c r="E133" s="2">
        <f>E12/'Output-Calculation-sheet'!E11*'Output-Calculation-sheet'!E110</f>
        <v>3055787006.4096565</v>
      </c>
      <c r="F133" s="2">
        <f>F12/'Output-Calculation-sheet'!F11*'Output-Calculation-sheet'!F110</f>
        <v>2502853454.6851473</v>
      </c>
      <c r="G133" s="2">
        <f>G12/'Output-Calculation-sheet'!G11*'Output-Calculation-sheet'!G110</f>
        <v>2362076983.3265553</v>
      </c>
      <c r="H133" s="2">
        <f>H12/'Output-Calculation-sheet'!H11*'Output-Calculation-sheet'!H110</f>
        <v>2577348821.172596</v>
      </c>
      <c r="I133" s="2">
        <f>I12/'Output-Calculation-sheet'!I11*'Output-Calculation-sheet'!I110</f>
        <v>2027338514.0107794</v>
      </c>
      <c r="J133" s="2">
        <f>J12/'Output-Calculation-sheet'!J11*'Output-Calculation-sheet'!J110</f>
        <v>1475152414.1797674</v>
      </c>
      <c r="K133" s="2">
        <f>K12/'Output-Calculation-sheet'!K11*'Output-Calculation-sheet'!K110</f>
        <v>1627234151.3610802</v>
      </c>
      <c r="L133" s="2">
        <f>L12/'Output-Calculation-sheet'!L11*'Output-Calculation-sheet'!L110</f>
        <v>711819538.22273135</v>
      </c>
      <c r="M133" s="2">
        <f>M12/'Output-Calculation-sheet'!M11*'Output-Calculation-sheet'!M110</f>
        <v>1417680437.2491875</v>
      </c>
      <c r="N133" s="2">
        <f>N12/'Output-Calculation-sheet'!N11*'Output-Calculation-sheet'!N110</f>
        <v>1288714317.9079525</v>
      </c>
      <c r="O133" s="2">
        <f>O12/'Output-Calculation-sheet'!O11*'Output-Calculation-sheet'!O110</f>
        <v>5688461066.0331583</v>
      </c>
      <c r="P133" s="2">
        <f>P12/'Output-Calculation-sheet'!P11*'Output-Calculation-sheet'!P110</f>
        <v>1089714046.4251375</v>
      </c>
      <c r="Q133" s="2">
        <f>Q12/'Output-Calculation-sheet'!Q11*'Output-Calculation-sheet'!Q110</f>
        <v>1566136355.6119127</v>
      </c>
      <c r="R133" s="2">
        <f>R12/'Output-Calculation-sheet'!R11*'Output-Calculation-sheet'!R110</f>
        <v>819130699.53091002</v>
      </c>
      <c r="S133" s="2">
        <f>S12/'Output-Calculation-sheet'!S11*'Output-Calculation-sheet'!S110</f>
        <v>952706266.7894969</v>
      </c>
      <c r="T133" s="2">
        <f>T12/'Output-Calculation-sheet'!T11*'Output-Calculation-sheet'!T110</f>
        <v>228080271.75072137</v>
      </c>
      <c r="U133" s="2">
        <f>U12/'Output-Calculation-sheet'!U11*'Output-Calculation-sheet'!U110</f>
        <v>527860608.05234969</v>
      </c>
      <c r="V133" s="2">
        <f>V12/'Output-Calculation-sheet'!V11*'Output-Calculation-sheet'!V110</f>
        <v>78934372.900014162</v>
      </c>
      <c r="W133" s="2">
        <f>W12/'Output-Calculation-sheet'!W11*'Output-Calculation-sheet'!W110</f>
        <v>158126730.07479009</v>
      </c>
      <c r="X133" s="2">
        <f>X12/'Output-Calculation-sheet'!X11*'Output-Calculation-sheet'!X110</f>
        <v>219917125.62231857</v>
      </c>
      <c r="Y133" s="2">
        <f>Y12/'Output-Calculation-sheet'!Y11*'Output-Calculation-sheet'!Y110</f>
        <v>155285961.4878625</v>
      </c>
      <c r="AA133" s="2">
        <f t="shared" si="11"/>
        <v>73990.639444114611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1293.1357145888223</v>
      </c>
      <c r="C19" s="2">
        <f>C8/'Output-Calculation-sheet'!C7*'Output-Calculation-sheet'!C25</f>
        <v>14797.597127778554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5801.7122969072534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4030.4734214263508</v>
      </c>
      <c r="N19" s="2">
        <f>N8/'Output-Calculation-sheet'!N7*'Output-Calculation-sheet'!N25</f>
        <v>1380.190547037467</v>
      </c>
      <c r="O19" s="2">
        <f>O8/'Output-Calculation-sheet'!O7*'Output-Calculation-sheet'!O25</f>
        <v>2274.9135584498927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492.47377511410815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450.83760898304672</v>
      </c>
      <c r="Y19" s="2">
        <f>Y8/'Output-Calculation-sheet'!Y7*'Output-Calculation-sheet'!Y25</f>
        <v>0</v>
      </c>
      <c r="AA19" s="2">
        <f t="shared" si="0"/>
        <v>30.521334050285489</v>
      </c>
    </row>
    <row r="20" spans="1:27" x14ac:dyDescent="0.25">
      <c r="A20" s="2">
        <v>2032</v>
      </c>
      <c r="B20" s="2">
        <f>B9/'Output-Calculation-sheet'!B8*'Output-Calculation-sheet'!B26</f>
        <v>7661.374719675051</v>
      </c>
      <c r="C20" s="2">
        <f>C9/'Output-Calculation-sheet'!C8*'Output-Calculation-sheet'!C26</f>
        <v>18118.755893493089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8324.2336813328911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5791.7411445164544</v>
      </c>
      <c r="N20" s="2">
        <f>N9/'Output-Calculation-sheet'!N8*'Output-Calculation-sheet'!N26</f>
        <v>2613.7088957790102</v>
      </c>
      <c r="O20" s="2">
        <f>O9/'Output-Calculation-sheet'!O8*'Output-Calculation-sheet'!O26</f>
        <v>2870.6595496002542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945.0400603231252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647.95358505039439</v>
      </c>
      <c r="Y20" s="2">
        <f>Y9/'Output-Calculation-sheet'!Y8*'Output-Calculation-sheet'!Y26</f>
        <v>0</v>
      </c>
      <c r="AA20" s="2">
        <f t="shared" si="0"/>
        <v>46.973467529770275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22290.713782762257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11107.452896801378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7714.2345267833198</v>
      </c>
      <c r="N21" s="2">
        <f>N10/'Output-Calculation-sheet'!N9*'Output-Calculation-sheet'!N27</f>
        <v>4219.5928588990582</v>
      </c>
      <c r="O21" s="2">
        <f>O10/'Output-Calculation-sheet'!O9*'Output-Calculation-sheet'!O27</f>
        <v>3421.898336520379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1837.0289050040617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907.19357469874342</v>
      </c>
      <c r="Y21" s="2">
        <f>Y10/'Output-Calculation-sheet'!Y9*'Output-Calculation-sheet'!Y27</f>
        <v>0</v>
      </c>
      <c r="AA21" s="2">
        <f t="shared" si="0"/>
        <v>70.997827455494331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27832.824938936283</v>
      </c>
      <c r="D22" s="2">
        <f>D11/'Output-Calculation-sheet'!D10*'Output-Calculation-sheet'!D28</f>
        <v>0</v>
      </c>
      <c r="E22" s="2">
        <f>E11/'Output-Calculation-sheet'!E10*'Output-Calculation-sheet'!E28</f>
        <v>2056.4848273891744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14659.925505933574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1205.6970268692903</v>
      </c>
      <c r="M22" s="2">
        <f>M11/'Output-Calculation-sheet'!M10*'Output-Calculation-sheet'!M28</f>
        <v>10959.709308591888</v>
      </c>
      <c r="N22" s="2">
        <f>N11/'Output-Calculation-sheet'!N10*'Output-Calculation-sheet'!N28</f>
        <v>6307.3737562216174</v>
      </c>
      <c r="O22" s="2">
        <f>O11/'Output-Calculation-sheet'!O10*'Output-Calculation-sheet'!O28</f>
        <v>4190.7606704786922</v>
      </c>
      <c r="P22" s="2">
        <f>P11/'Output-Calculation-sheet'!P10*'Output-Calculation-sheet'!P28</f>
        <v>0</v>
      </c>
      <c r="Q22" s="2">
        <f>Q11/'Output-Calculation-sheet'!Q10*'Output-Calculation-sheet'!Q28</f>
        <v>1821.7142209503143</v>
      </c>
      <c r="R22" s="2">
        <f>R11/'Output-Calculation-sheet'!R10*'Output-Calculation-sheet'!R28</f>
        <v>0</v>
      </c>
      <c r="S22" s="2">
        <f>S11/'Output-Calculation-sheet'!S10*'Output-Calculation-sheet'!S28</f>
        <v>3198.7346545371706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1055.5409706046755</v>
      </c>
      <c r="Y22" s="2">
        <f>Y11/'Output-Calculation-sheet'!Y10*'Output-Calculation-sheet'!Y28</f>
        <v>110.14570696775405</v>
      </c>
      <c r="AA22" s="2">
        <f t="shared" si="0"/>
        <v>112.99439040549113</v>
      </c>
    </row>
    <row r="23" spans="1:27" x14ac:dyDescent="0.25">
      <c r="A23" s="2">
        <v>2035</v>
      </c>
      <c r="B23" s="2">
        <f>B12/'Output-Calculation-sheet'!B11*'Output-Calculation-sheet'!B29</f>
        <v>43387.784463200616</v>
      </c>
      <c r="C23" s="2">
        <f>C12/'Output-Calculation-sheet'!C11*'Output-Calculation-sheet'!C29</f>
        <v>36863.971584214312</v>
      </c>
      <c r="D23" s="2">
        <f>D12/'Output-Calculation-sheet'!D11*'Output-Calculation-sheet'!D29</f>
        <v>0</v>
      </c>
      <c r="E23" s="2">
        <f>E12/'Output-Calculation-sheet'!E11*'Output-Calculation-sheet'!E29</f>
        <v>7298.4230547876641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16001.33321007729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2641.0997970230992</v>
      </c>
      <c r="M23" s="2">
        <f>M12/'Output-Calculation-sheet'!M11*'Output-Calculation-sheet'!M29</f>
        <v>12129.606741678883</v>
      </c>
      <c r="N23" s="2">
        <f>N12/'Output-Calculation-sheet'!N11*'Output-Calculation-sheet'!N29</f>
        <v>7142.7839124247002</v>
      </c>
      <c r="O23" s="2">
        <f>O12/'Output-Calculation-sheet'!O11*'Output-Calculation-sheet'!O29</f>
        <v>5523.2636101500893</v>
      </c>
      <c r="P23" s="2">
        <f>P12/'Output-Calculation-sheet'!P11*'Output-Calculation-sheet'!P29</f>
        <v>842.93664804530226</v>
      </c>
      <c r="Q23" s="2">
        <f>Q12/'Output-Calculation-sheet'!Q11*'Output-Calculation-sheet'!Q29</f>
        <v>2254.2505861403565</v>
      </c>
      <c r="R23" s="2">
        <f>R12/'Output-Calculation-sheet'!R11*'Output-Calculation-sheet'!R29</f>
        <v>0</v>
      </c>
      <c r="S23" s="2">
        <f>S12/'Output-Calculation-sheet'!S11*'Output-Calculation-sheet'!S29</f>
        <v>3434.3121062662062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1137.0535872478624</v>
      </c>
      <c r="Y23" s="2">
        <f>Y12/'Output-Calculation-sheet'!Y11*'Output-Calculation-sheet'!Y29</f>
        <v>160.48451880816302</v>
      </c>
      <c r="AA23" s="2">
        <f t="shared" si="0"/>
        <v>138.81730382006452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22538.935434857889</v>
      </c>
      <c r="C30" s="2">
        <f>C8/'Output-Calculation-sheet'!C7*'Output-Calculation-sheet'!C16</f>
        <v>0</v>
      </c>
      <c r="D30" s="2">
        <f>D8/'Output-Calculation-sheet'!D7*'Output-Calculation-sheet'!D16</f>
        <v>3795.2587702781661</v>
      </c>
      <c r="E30" s="2">
        <f>E8/'Output-Calculation-sheet'!E7*'Output-Calculation-sheet'!E16</f>
        <v>4083.4840128282835</v>
      </c>
      <c r="F30" s="2">
        <f>F8/'Output-Calculation-sheet'!F7*'Output-Calculation-sheet'!F16</f>
        <v>2060.1394138017581</v>
      </c>
      <c r="G30" s="2">
        <f>G8/'Output-Calculation-sheet'!G7*'Output-Calculation-sheet'!G16</f>
        <v>1349.1466299538881</v>
      </c>
      <c r="H30" s="2">
        <f>H8/'Output-Calculation-sheet'!H7*'Output-Calculation-sheet'!H16</f>
        <v>0</v>
      </c>
      <c r="I30" s="2">
        <f>I8/'Output-Calculation-sheet'!I7*'Output-Calculation-sheet'!I16</f>
        <v>1315.2159547146343</v>
      </c>
      <c r="J30" s="2">
        <f>J8/'Output-Calculation-sheet'!J7*'Output-Calculation-sheet'!J16</f>
        <v>1170.7950944305942</v>
      </c>
      <c r="K30" s="2">
        <f>K8/'Output-Calculation-sheet'!K7*'Output-Calculation-sheet'!K16</f>
        <v>1563.2352366147816</v>
      </c>
      <c r="L30" s="2">
        <f>L8/'Output-Calculation-sheet'!L7*'Output-Calculation-sheet'!L16</f>
        <v>1320.4255467722649</v>
      </c>
      <c r="M30" s="2">
        <f>M8/'Output-Calculation-sheet'!M7*'Output-Calculation-sheet'!M16</f>
        <v>0</v>
      </c>
      <c r="N30" s="2">
        <f>N8/'Output-Calculation-sheet'!N7*'Output-Calculation-sheet'!N16</f>
        <v>1875.553244959021</v>
      </c>
      <c r="O30" s="2">
        <f>O8/'Output-Calculation-sheet'!O7*'Output-Calculation-sheet'!O16</f>
        <v>0</v>
      </c>
      <c r="P30" s="2">
        <f>P8/'Output-Calculation-sheet'!P7*'Output-Calculation-sheet'!P16</f>
        <v>1685.685714752608</v>
      </c>
      <c r="Q30" s="2">
        <f>Q8/'Output-Calculation-sheet'!Q7*'Output-Calculation-sheet'!Q16</f>
        <v>1853.6975719420461</v>
      </c>
      <c r="R30" s="2">
        <f>R8/'Output-Calculation-sheet'!R7*'Output-Calculation-sheet'!R16</f>
        <v>1176.1791662789542</v>
      </c>
      <c r="S30" s="2">
        <f>S8/'Output-Calculation-sheet'!S7*'Output-Calculation-sheet'!S16</f>
        <v>1182.8913471774808</v>
      </c>
      <c r="T30" s="2">
        <f>T8/'Output-Calculation-sheet'!T7*'Output-Calculation-sheet'!T16</f>
        <v>353.07207903450649</v>
      </c>
      <c r="U30" s="2">
        <f>U8/'Output-Calculation-sheet'!U7*'Output-Calculation-sheet'!U16</f>
        <v>352.44097164633024</v>
      </c>
      <c r="V30" s="2">
        <f>V8/'Output-Calculation-sheet'!V7*'Output-Calculation-sheet'!V16</f>
        <v>274.29810886799572</v>
      </c>
      <c r="W30" s="2">
        <f>W8/'Output-Calculation-sheet'!W7*'Output-Calculation-sheet'!W16</f>
        <v>166.37563109170057</v>
      </c>
      <c r="X30" s="2">
        <f>X8/'Output-Calculation-sheet'!X7*'Output-Calculation-sheet'!X16</f>
        <v>0</v>
      </c>
      <c r="Y30" s="2">
        <f>Y8/'Output-Calculation-sheet'!Y7*'Output-Calculation-sheet'!Y16</f>
        <v>140.81805691500969</v>
      </c>
      <c r="AA30" s="2">
        <f t="shared" si="1"/>
        <v>48.25764798691791</v>
      </c>
    </row>
    <row r="31" spans="1:27" x14ac:dyDescent="0.25">
      <c r="A31" s="2">
        <v>2032</v>
      </c>
      <c r="B31" s="2">
        <f>B9/'Output-Calculation-sheet'!B8*'Output-Calculation-sheet'!B17</f>
        <v>32440.791785479254</v>
      </c>
      <c r="C31" s="2">
        <f>C9/'Output-Calculation-sheet'!C8*'Output-Calculation-sheet'!C17</f>
        <v>0</v>
      </c>
      <c r="D31" s="2">
        <f>D9/'Output-Calculation-sheet'!D8*'Output-Calculation-sheet'!D17</f>
        <v>5440.7467183266081</v>
      </c>
      <c r="E31" s="2">
        <f>E9/'Output-Calculation-sheet'!E8*'Output-Calculation-sheet'!E17</f>
        <v>6394.8544078911746</v>
      </c>
      <c r="F31" s="2">
        <f>F9/'Output-Calculation-sheet'!F8*'Output-Calculation-sheet'!F17</f>
        <v>2953.4138383830068</v>
      </c>
      <c r="G31" s="2">
        <f>G9/'Output-Calculation-sheet'!G8*'Output-Calculation-sheet'!G17</f>
        <v>1934.1173631292891</v>
      </c>
      <c r="H31" s="2">
        <f>H9/'Output-Calculation-sheet'!H8*'Output-Calculation-sheet'!H17</f>
        <v>0</v>
      </c>
      <c r="I31" s="2">
        <f>I9/'Output-Calculation-sheet'!I8*'Output-Calculation-sheet'!I17</f>
        <v>1885.4836625979472</v>
      </c>
      <c r="J31" s="2">
        <f>J9/'Output-Calculation-sheet'!J8*'Output-Calculation-sheet'!J17</f>
        <v>1678.4438862436537</v>
      </c>
      <c r="K31" s="2">
        <f>K9/'Output-Calculation-sheet'!K8*'Output-Calculation-sheet'!K17</f>
        <v>2389.658442909018</v>
      </c>
      <c r="L31" s="2">
        <f>L9/'Output-Calculation-sheet'!L8*'Output-Calculation-sheet'!L17</f>
        <v>2037.9585604684396</v>
      </c>
      <c r="M31" s="2">
        <f>M9/'Output-Calculation-sheet'!M8*'Output-Calculation-sheet'!M17</f>
        <v>0</v>
      </c>
      <c r="N31" s="2">
        <f>N9/'Output-Calculation-sheet'!N8*'Output-Calculation-sheet'!N17</f>
        <v>2215.4693893901094</v>
      </c>
      <c r="O31" s="2">
        <f>O9/'Output-Calculation-sheet'!O8*'Output-Calculation-sheet'!O17</f>
        <v>0</v>
      </c>
      <c r="P31" s="2">
        <f>P9/'Output-Calculation-sheet'!P8*'Output-Calculation-sheet'!P17</f>
        <v>2749.7413775993609</v>
      </c>
      <c r="Q31" s="2">
        <f>Q9/'Output-Calculation-sheet'!Q8*'Output-Calculation-sheet'!Q17</f>
        <v>2931.4769463707648</v>
      </c>
      <c r="R31" s="2">
        <f>R9/'Output-Calculation-sheet'!R8*'Output-Calculation-sheet'!R17</f>
        <v>1917.9271450761728</v>
      </c>
      <c r="S31" s="2">
        <f>S9/'Output-Calculation-sheet'!S8*'Output-Calculation-sheet'!S17</f>
        <v>1656.1616502514628</v>
      </c>
      <c r="T31" s="2">
        <f>T9/'Output-Calculation-sheet'!T8*'Output-Calculation-sheet'!T17</f>
        <v>520.44354333223453</v>
      </c>
      <c r="U31" s="2">
        <f>U9/'Output-Calculation-sheet'!U8*'Output-Calculation-sheet'!U17</f>
        <v>598.15554950312685</v>
      </c>
      <c r="V31" s="2">
        <f>V9/'Output-Calculation-sheet'!V8*'Output-Calculation-sheet'!V17</f>
        <v>428.43043827708283</v>
      </c>
      <c r="W31" s="2">
        <f>W9/'Output-Calculation-sheet'!W8*'Output-Calculation-sheet'!W17</f>
        <v>238.51733349545438</v>
      </c>
      <c r="X31" s="2">
        <f>X9/'Output-Calculation-sheet'!X8*'Output-Calculation-sheet'!X17</f>
        <v>0</v>
      </c>
      <c r="Y31" s="2">
        <f>Y9/'Output-Calculation-sheet'!Y8*'Output-Calculation-sheet'!Y17</f>
        <v>230.45941954638658</v>
      </c>
      <c r="AA31" s="2">
        <f t="shared" si="1"/>
        <v>70.64225145827055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2374.7678908899998</v>
      </c>
      <c r="O32" s="2">
        <f>O10/'Output-Calculation-sheet'!O9*'Output-Calculation-sheet'!O18</f>
        <v>0</v>
      </c>
      <c r="P32" s="2">
        <f>P10/'Output-Calculation-sheet'!P9*'Output-Calculation-sheet'!P18</f>
        <v>3822.2880452544623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2744.2740746420864</v>
      </c>
      <c r="S32" s="2">
        <f>S10/'Output-Calculation-sheet'!S9*'Output-Calculation-sheet'!S18</f>
        <v>1796.1196328626006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885.89521160781851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93.610926211171773</v>
      </c>
    </row>
    <row r="33" spans="1:27" x14ac:dyDescent="0.25">
      <c r="A33" s="2">
        <v>2034</v>
      </c>
      <c r="B33" s="2">
        <f>B11/'Output-Calculation-sheet'!B10*'Output-Calculation-sheet'!B19</f>
        <v>39937.700166512368</v>
      </c>
      <c r="C33" s="2">
        <f>C11/'Output-Calculation-sheet'!C10*'Output-Calculation-sheet'!C19</f>
        <v>0</v>
      </c>
      <c r="D33" s="2">
        <f>D11/'Output-Calculation-sheet'!D10*'Output-Calculation-sheet'!D19</f>
        <v>11933.399209595382</v>
      </c>
      <c r="E33" s="2">
        <f>E11/'Output-Calculation-sheet'!E10*'Output-Calculation-sheet'!E19</f>
        <v>14736.139741644032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4055.3168126887031</v>
      </c>
      <c r="H33" s="2">
        <f>H11/'Output-Calculation-sheet'!H10*'Output-Calculation-sheet'!H19</f>
        <v>0</v>
      </c>
      <c r="I33" s="2">
        <f>I11/'Output-Calculation-sheet'!I10*'Output-Calculation-sheet'!I19</f>
        <v>4431.0729605299548</v>
      </c>
      <c r="J33" s="2">
        <f>J11/'Output-Calculation-sheet'!J10*'Output-Calculation-sheet'!J19</f>
        <v>3742.0518079620911</v>
      </c>
      <c r="K33" s="2">
        <f>K11/'Output-Calculation-sheet'!K10*'Output-Calculation-sheet'!K19</f>
        <v>5191.7886585332062</v>
      </c>
      <c r="L33" s="2">
        <f>L11/'Output-Calculation-sheet'!L10*'Output-Calculation-sheet'!L19</f>
        <v>4226.5329908094018</v>
      </c>
      <c r="M33" s="2">
        <f>M11/'Output-Calculation-sheet'!M10*'Output-Calculation-sheet'!M19</f>
        <v>0</v>
      </c>
      <c r="N33" s="2">
        <f>N11/'Output-Calculation-sheet'!N10*'Output-Calculation-sheet'!N19</f>
        <v>2387.3834276303219</v>
      </c>
      <c r="O33" s="2">
        <f>O11/'Output-Calculation-sheet'!O10*'Output-Calculation-sheet'!O19</f>
        <v>0</v>
      </c>
      <c r="P33" s="2">
        <f>P11/'Output-Calculation-sheet'!P10*'Output-Calculation-sheet'!P19</f>
        <v>5256.8842068742497</v>
      </c>
      <c r="Q33" s="2">
        <f>Q11/'Output-Calculation-sheet'!Q10*'Output-Calculation-sheet'!Q19</f>
        <v>4282.304114314521</v>
      </c>
      <c r="R33" s="2">
        <f>R11/'Output-Calculation-sheet'!R10*'Output-Calculation-sheet'!R19</f>
        <v>3750.3800820441502</v>
      </c>
      <c r="S33" s="2">
        <f>S11/'Output-Calculation-sheet'!S10*'Output-Calculation-sheet'!S19</f>
        <v>1752.992479865421</v>
      </c>
      <c r="T33" s="2">
        <f>T11/'Output-Calculation-sheet'!T10*'Output-Calculation-sheet'!T19</f>
        <v>1100.5410922068429</v>
      </c>
      <c r="U33" s="2">
        <f>U11/'Output-Calculation-sheet'!U10*'Output-Calculation-sheet'!U19</f>
        <v>1179.2061706257844</v>
      </c>
      <c r="V33" s="2">
        <f>V11/'Output-Calculation-sheet'!V10*'Output-Calculation-sheet'!V19</f>
        <v>862.99907002619557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139.01767736028793</v>
      </c>
      <c r="Y33" s="2">
        <f>Y11/'Output-Calculation-sheet'!Y10*'Output-Calculation-sheet'!Y19</f>
        <v>484.33975168453327</v>
      </c>
      <c r="AA33" s="2">
        <f t="shared" si="1"/>
        <v>116.75901728587831</v>
      </c>
    </row>
    <row r="34" spans="1:27" x14ac:dyDescent="0.25">
      <c r="A34" s="2">
        <v>2035</v>
      </c>
      <c r="B34" s="2">
        <f>B12/'Output-Calculation-sheet'!B11*'Output-Calculation-sheet'!B20</f>
        <v>39686.507458145847</v>
      </c>
      <c r="C34" s="2">
        <f>C12/'Output-Calculation-sheet'!C11*'Output-Calculation-sheet'!C20</f>
        <v>0</v>
      </c>
      <c r="D34" s="2">
        <f>D12/'Output-Calculation-sheet'!D11*'Output-Calculation-sheet'!D20</f>
        <v>12773.368251994403</v>
      </c>
      <c r="E34" s="2">
        <f>E12/'Output-Calculation-sheet'!E11*'Output-Calculation-sheet'!E20</f>
        <v>14193.000182459098</v>
      </c>
      <c r="F34" s="2">
        <f>F12/'Output-Calculation-sheet'!F11*'Output-Calculation-sheet'!F20</f>
        <v>7938.7028972359494</v>
      </c>
      <c r="G34" s="2">
        <f>G12/'Output-Calculation-sheet'!G11*'Output-Calculation-sheet'!G20</f>
        <v>4285.2140898808584</v>
      </c>
      <c r="H34" s="2">
        <f>H12/'Output-Calculation-sheet'!H11*'Output-Calculation-sheet'!H20</f>
        <v>0</v>
      </c>
      <c r="I34" s="2">
        <f>I12/'Output-Calculation-sheet'!I11*'Output-Calculation-sheet'!I20</f>
        <v>4764.1436449352386</v>
      </c>
      <c r="J34" s="2">
        <f>J12/'Output-Calculation-sheet'!J11*'Output-Calculation-sheet'!J20</f>
        <v>4415.8917524222088</v>
      </c>
      <c r="K34" s="2">
        <f>K12/'Output-Calculation-sheet'!K11*'Output-Calculation-sheet'!K20</f>
        <v>5872.6910585472951</v>
      </c>
      <c r="L34" s="2">
        <f>L12/'Output-Calculation-sheet'!L11*'Output-Calculation-sheet'!L20</f>
        <v>4686.6536699902263</v>
      </c>
      <c r="M34" s="2">
        <f>M12/'Output-Calculation-sheet'!M11*'Output-Calculation-sheet'!M20</f>
        <v>0</v>
      </c>
      <c r="N34" s="2">
        <f>N12/'Output-Calculation-sheet'!N11*'Output-Calculation-sheet'!N20</f>
        <v>2513.2578898146962</v>
      </c>
      <c r="O34" s="2">
        <f>O12/'Output-Calculation-sheet'!O11*'Output-Calculation-sheet'!O20</f>
        <v>0</v>
      </c>
      <c r="P34" s="2">
        <f>P12/'Output-Calculation-sheet'!P11*'Output-Calculation-sheet'!P20</f>
        <v>5353.0389078330691</v>
      </c>
      <c r="Q34" s="2">
        <f>Q12/'Output-Calculation-sheet'!Q11*'Output-Calculation-sheet'!Q20</f>
        <v>4464.3845323531741</v>
      </c>
      <c r="R34" s="2">
        <f>R12/'Output-Calculation-sheet'!R11*'Output-Calculation-sheet'!R20</f>
        <v>4497.1893310586875</v>
      </c>
      <c r="S34" s="2">
        <f>S12/'Output-Calculation-sheet'!S11*'Output-Calculation-sheet'!S20</f>
        <v>1717.9116524216338</v>
      </c>
      <c r="T34" s="2">
        <f>T12/'Output-Calculation-sheet'!T11*'Output-Calculation-sheet'!T20</f>
        <v>1364.0448022134074</v>
      </c>
      <c r="U34" s="2">
        <f>U12/'Output-Calculation-sheet'!U11*'Output-Calculation-sheet'!U20</f>
        <v>1255.5374485743851</v>
      </c>
      <c r="V34" s="2">
        <f>V12/'Output-Calculation-sheet'!V11*'Output-Calculation-sheet'!V20</f>
        <v>1236.168078941701</v>
      </c>
      <c r="W34" s="2">
        <f>W12/'Output-Calculation-sheet'!W11*'Output-Calculation-sheet'!W20</f>
        <v>670.71859473517793</v>
      </c>
      <c r="X34" s="2">
        <f>X12/'Output-Calculation-sheet'!X11*'Output-Calculation-sheet'!X20</f>
        <v>141.60663678358077</v>
      </c>
      <c r="Y34" s="2">
        <f>Y12/'Output-Calculation-sheet'!Y11*'Output-Calculation-sheet'!Y20</f>
        <v>486.80268543260399</v>
      </c>
      <c r="AA34" s="2">
        <f t="shared" si="1"/>
        <v>122.31683356577321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1.228579804792731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0.23868000447585752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1.4672598092685885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1.4090195859709214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0.2737345997176367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1.6827541856885579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1.5606867445645536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0.30319944844032587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1.8638861930048796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1.6910092109396579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0.52054530006678867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0.32851759768579741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0.308439531847642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9.8411056699370003E-2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2.9862165959278228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1.804512366717234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0.35056820735993749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15.125080850462778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14764.511689175803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8227.4027609073473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5615.602888921575</v>
      </c>
      <c r="N52" s="2">
        <f>N8/'Output-Calculation-sheet'!N7*'Output-Calculation-sheet'!N43</f>
        <v>179.48736733422851</v>
      </c>
      <c r="O52" s="2">
        <f>O8/'Output-Calculation-sheet'!O7*'Output-Calculation-sheet'!O43</f>
        <v>690.9158024301139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723.72822709730383</v>
      </c>
      <c r="Y52" s="2">
        <f>Y8/'Output-Calculation-sheet'!Y7*'Output-Calculation-sheet'!Y43</f>
        <v>0</v>
      </c>
      <c r="AA52" s="2">
        <f t="shared" si="3"/>
        <v>30.201648735866371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21258.891998859512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16702.799018699272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11414.619229332915</v>
      </c>
      <c r="N53" s="2">
        <f>N9/'Output-Calculation-sheet'!N8*'Output-Calculation-sheet'!N44</f>
        <v>4065.5063648928272</v>
      </c>
      <c r="O53" s="2">
        <f>O9/'Output-Calculation-sheet'!O8*'Output-Calculation-sheet'!O44</f>
        <v>1584.7792615231597</v>
      </c>
      <c r="P53" s="2">
        <f>P9/'Output-Calculation-sheet'!P8*'Output-Calculation-sheet'!P44</f>
        <v>190.16685270879159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1253.7404617918503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1427.4066485971002</v>
      </c>
      <c r="Y53" s="2">
        <f>Y9/'Output-Calculation-sheet'!Y8*'Output-Calculation-sheet'!Y44</f>
        <v>0</v>
      </c>
      <c r="AA53" s="2">
        <f t="shared" si="3"/>
        <v>57.897909836405425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33267.270081507588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2952.2051558663306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661.28230954968831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141.91659210976943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52213.6177412947</v>
      </c>
      <c r="D55" s="2">
        <f>D11/'Output-Calculation-sheet'!D10*'Output-Calculation-sheet'!D46</f>
        <v>10380.525199388174</v>
      </c>
      <c r="E55" s="2">
        <f>E11/'Output-Calculation-sheet'!E10*'Output-Calculation-sheet'!E46</f>
        <v>12948.972660146123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33972.430109621993</v>
      </c>
      <c r="I55" s="2">
        <f>I11/'Output-Calculation-sheet'!I10*'Output-Calculation-sheet'!I46</f>
        <v>2501.3471939614356</v>
      </c>
      <c r="J55" s="2">
        <f>J11/'Output-Calculation-sheet'!J10*'Output-Calculation-sheet'!J46</f>
        <v>1846.144905594286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24004.752982997295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5244.7546297206245</v>
      </c>
      <c r="P55" s="2">
        <f>P11/'Output-Calculation-sheet'!P10*'Output-Calculation-sheet'!P46</f>
        <v>6732.6459696224174</v>
      </c>
      <c r="Q55" s="2">
        <f>Q11/'Output-Calculation-sheet'!Q10*'Output-Calculation-sheet'!Q46</f>
        <v>5248.8832612668903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8992.5191587477802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1605.654082989721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2416.2300860250384</v>
      </c>
      <c r="Y55" s="2">
        <f>Y11/'Output-Calculation-sheet'!Y10*'Output-Calculation-sheet'!Y46</f>
        <v>635.31527543761024</v>
      </c>
      <c r="AA55" s="2">
        <f t="shared" si="3"/>
        <v>320.19768610264163</v>
      </c>
    </row>
    <row r="56" spans="1:27" x14ac:dyDescent="0.25">
      <c r="A56" s="2">
        <v>2035</v>
      </c>
      <c r="B56" s="2">
        <f>B12/'Output-Calculation-sheet'!B11*'Output-Calculation-sheet'!B47</f>
        <v>123731.64253697245</v>
      </c>
      <c r="C56" s="2">
        <f>C12/'Output-Calculation-sheet'!C11*'Output-Calculation-sheet'!C47</f>
        <v>92283.395596153277</v>
      </c>
      <c r="D56" s="2">
        <f>D12/'Output-Calculation-sheet'!D11*'Output-Calculation-sheet'!D47</f>
        <v>12619.688489939144</v>
      </c>
      <c r="E56" s="2">
        <f>E12/'Output-Calculation-sheet'!E11*'Output-Calculation-sheet'!E47</f>
        <v>31759.406519902346</v>
      </c>
      <c r="F56" s="2">
        <f>F12/'Output-Calculation-sheet'!F11*'Output-Calculation-sheet'!F47</f>
        <v>1752.1481441048347</v>
      </c>
      <c r="G56" s="2">
        <f>G12/'Output-Calculation-sheet'!G11*'Output-Calculation-sheet'!G47</f>
        <v>4677.8518482395457</v>
      </c>
      <c r="H56" s="2">
        <f>H12/'Output-Calculation-sheet'!H11*'Output-Calculation-sheet'!H47</f>
        <v>36593.79955104478</v>
      </c>
      <c r="I56" s="2">
        <f>I12/'Output-Calculation-sheet'!I11*'Output-Calculation-sheet'!I47</f>
        <v>2985.9311577391932</v>
      </c>
      <c r="J56" s="2">
        <f>J12/'Output-Calculation-sheet'!J11*'Output-Calculation-sheet'!J47</f>
        <v>4880.3784094865523</v>
      </c>
      <c r="K56" s="2">
        <f>K12/'Output-Calculation-sheet'!K11*'Output-Calculation-sheet'!K47</f>
        <v>6714.2386074521974</v>
      </c>
      <c r="L56" s="2">
        <f>L12/'Output-Calculation-sheet'!L11*'Output-Calculation-sheet'!L47</f>
        <v>7212.7385720386119</v>
      </c>
      <c r="M56" s="2">
        <f>M12/'Output-Calculation-sheet'!M11*'Output-Calculation-sheet'!M47</f>
        <v>25716.575505415651</v>
      </c>
      <c r="N56" s="2">
        <f>N12/'Output-Calculation-sheet'!N11*'Output-Calculation-sheet'!N47</f>
        <v>20562.929225541458</v>
      </c>
      <c r="O56" s="2">
        <f>O12/'Output-Calculation-sheet'!O11*'Output-Calculation-sheet'!O47</f>
        <v>10178.778652292922</v>
      </c>
      <c r="P56" s="2">
        <f>P12/'Output-Calculation-sheet'!P11*'Output-Calculation-sheet'!P47</f>
        <v>8919.8034554253882</v>
      </c>
      <c r="Q56" s="2">
        <f>Q12/'Output-Calculation-sheet'!Q11*'Output-Calculation-sheet'!Q47</f>
        <v>6496.2329736232205</v>
      </c>
      <c r="R56" s="2">
        <f>R12/'Output-Calculation-sheet'!R11*'Output-Calculation-sheet'!R47</f>
        <v>7558.8788511949815</v>
      </c>
      <c r="S56" s="2">
        <f>S12/'Output-Calculation-sheet'!S11*'Output-Calculation-sheet'!S47</f>
        <v>9577.2209821291181</v>
      </c>
      <c r="T56" s="2">
        <f>T12/'Output-Calculation-sheet'!T11*'Output-Calculation-sheet'!T47</f>
        <v>2478.733274193813</v>
      </c>
      <c r="U56" s="2">
        <f>U12/'Output-Calculation-sheet'!U11*'Output-Calculation-sheet'!U47</f>
        <v>1731.8520282036216</v>
      </c>
      <c r="V56" s="2">
        <f>V12/'Output-Calculation-sheet'!V11*'Output-Calculation-sheet'!V47</f>
        <v>1704.7850859977027</v>
      </c>
      <c r="W56" s="2">
        <f>W12/'Output-Calculation-sheet'!W11*'Output-Calculation-sheet'!W47</f>
        <v>608.93896847861981</v>
      </c>
      <c r="X56" s="2">
        <f>X12/'Output-Calculation-sheet'!X11*'Output-Calculation-sheet'!X47</f>
        <v>2596.8021395155206</v>
      </c>
      <c r="Y56" s="2">
        <f>Y12/'Output-Calculation-sheet'!Y11*'Output-Calculation-sheet'!Y47</f>
        <v>791.54331042444335</v>
      </c>
      <c r="AA56" s="2">
        <f t="shared" si="3"/>
        <v>424.13429388550935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8.7778803250873683</v>
      </c>
      <c r="C63" s="2">
        <f>C8*'Output-Calculation-sheet'!C52/10^9</f>
        <v>5.5023017259517406</v>
      </c>
      <c r="D63" s="2">
        <f>D8*'Output-Calculation-sheet'!D52/10^9</f>
        <v>3.0101029009429148</v>
      </c>
      <c r="E63" s="2">
        <f>E8*'Output-Calculation-sheet'!E52/10^9</f>
        <v>2.9928647507278785</v>
      </c>
      <c r="F63" s="2">
        <f>F8*'Output-Calculation-sheet'!F52/10^9</f>
        <v>1.2674789836779241</v>
      </c>
      <c r="G63" s="2">
        <f>G8*'Output-Calculation-sheet'!G52/10^9</f>
        <v>0.91125902373189815</v>
      </c>
      <c r="H63" s="2">
        <f>H8*'Output-Calculation-sheet'!H52/10^9</f>
        <v>1.5917812126949848</v>
      </c>
      <c r="I63" s="2">
        <f>I8*'Output-Calculation-sheet'!I52/10^9</f>
        <v>0.84768256784873774</v>
      </c>
      <c r="J63" s="2">
        <f>J8*'Output-Calculation-sheet'!J52/10^9</f>
        <v>1.1664698101995503</v>
      </c>
      <c r="K63" s="2">
        <f>K8*'Output-Calculation-sheet'!K52/10^9</f>
        <v>1.0248448231469403</v>
      </c>
      <c r="L63" s="2">
        <f>L8*'Output-Calculation-sheet'!L52/10^9</f>
        <v>1.378463654755836</v>
      </c>
      <c r="M63" s="2">
        <f>M8*'Output-Calculation-sheet'!M52/10^9</f>
        <v>1.2920272940442377</v>
      </c>
      <c r="N63" s="2">
        <f>N8*'Output-Calculation-sheet'!N52/10^9</f>
        <v>1.0782972871764021</v>
      </c>
      <c r="O63" s="2">
        <f>O8*'Output-Calculation-sheet'!O52/10^9</f>
        <v>1.1297486700951935</v>
      </c>
      <c r="P63" s="2">
        <f>P8*'Output-Calculation-sheet'!P52/10^9</f>
        <v>0.70814142872157326</v>
      </c>
      <c r="Q63" s="2">
        <f>Q8*'Output-Calculation-sheet'!Q52/10^9</f>
        <v>0.80140420865030326</v>
      </c>
      <c r="R63" s="2">
        <f>R8*'Output-Calculation-sheet'!R52/10^9</f>
        <v>0.71950270557005402</v>
      </c>
      <c r="S63" s="2">
        <f>S8*'Output-Calculation-sheet'!S52/10^9</f>
        <v>0.53318017206850654</v>
      </c>
      <c r="T63" s="2">
        <f>T8*'Output-Calculation-sheet'!T52/10^9</f>
        <v>0.27354576712224565</v>
      </c>
      <c r="U63" s="2">
        <f>U8*'Output-Calculation-sheet'!U52/10^9</f>
        <v>0.18786819131613205</v>
      </c>
      <c r="V63" s="2">
        <f>V8*'Output-Calculation-sheet'!V52/10^9</f>
        <v>0.33342189803747463</v>
      </c>
      <c r="W63" s="2">
        <f>W8*'Output-Calculation-sheet'!W52/10^9</f>
        <v>0.12068333930161917</v>
      </c>
      <c r="X63" s="2">
        <f>X8*'Output-Calculation-sheet'!X52/10^9</f>
        <v>0.13891370624630522</v>
      </c>
      <c r="Y63" s="2">
        <f>Y8*'Output-Calculation-sheet'!Y52/10^9</f>
        <v>7.8742445718795046E-2</v>
      </c>
      <c r="AA63" s="2">
        <f t="shared" si="4"/>
        <v>35.866606892834618</v>
      </c>
    </row>
    <row r="64" spans="1:27" x14ac:dyDescent="0.25">
      <c r="A64" s="2">
        <v>2032</v>
      </c>
      <c r="B64" s="2">
        <f>B9*'Output-Calculation-sheet'!B53/10^9</f>
        <v>9.6059261037369712</v>
      </c>
      <c r="C64" s="2">
        <f>C9*'Output-Calculation-sheet'!C53/10^9</f>
        <v>6.4091886963665026</v>
      </c>
      <c r="D64" s="2">
        <f>D9*'Output-Calculation-sheet'!D53/10^9</f>
        <v>2.8427756058330043</v>
      </c>
      <c r="E64" s="2">
        <f>E9*'Output-Calculation-sheet'!E53/10^9</f>
        <v>2.9111408197383923</v>
      </c>
      <c r="F64" s="2">
        <f>F9*'Output-Calculation-sheet'!F53/10^9</f>
        <v>1.227901974284918</v>
      </c>
      <c r="G64" s="2">
        <f>G9*'Output-Calculation-sheet'!G53/10^9</f>
        <v>0.87398213400893776</v>
      </c>
      <c r="H64" s="2">
        <f>H9*'Output-Calculation-sheet'!H53/10^9</f>
        <v>1.7957988907612545</v>
      </c>
      <c r="I64" s="2">
        <f>I9*'Output-Calculation-sheet'!I53/10^9</f>
        <v>0.8170305907079991</v>
      </c>
      <c r="J64" s="2">
        <f>J9*'Output-Calculation-sheet'!J53/10^9</f>
        <v>1.0815835500806625</v>
      </c>
      <c r="K64" s="2">
        <f>K9*'Output-Calculation-sheet'!K53/10^9</f>
        <v>1.0035598036191307</v>
      </c>
      <c r="L64" s="2">
        <f>L9*'Output-Calculation-sheet'!L53/10^9</f>
        <v>1.2910713741573756</v>
      </c>
      <c r="M64" s="2">
        <f>M9*'Output-Calculation-sheet'!M53/10^9</f>
        <v>1.4074581401842312</v>
      </c>
      <c r="N64" s="2">
        <f>N9*'Output-Calculation-sheet'!N53/10^9</f>
        <v>1.1848447852141308</v>
      </c>
      <c r="O64" s="2">
        <f>O9*'Output-Calculation-sheet'!O53/10^9</f>
        <v>1.3045514354469465</v>
      </c>
      <c r="P64" s="2">
        <f>P9*'Output-Calculation-sheet'!P53/10^9</f>
        <v>0.76513328862978625</v>
      </c>
      <c r="Q64" s="2">
        <f>Q9*'Output-Calculation-sheet'!Q53/10^9</f>
        <v>0.84560068572693081</v>
      </c>
      <c r="R64" s="2">
        <f>R9*'Output-Calculation-sheet'!R53/10^9</f>
        <v>0.72487848999389493</v>
      </c>
      <c r="S64" s="2">
        <f>S9*'Output-Calculation-sheet'!S53/10^9</f>
        <v>0.59891163815270332</v>
      </c>
      <c r="T64" s="2">
        <f>T9*'Output-Calculation-sheet'!T53/10^9</f>
        <v>0.26057494956272509</v>
      </c>
      <c r="U64" s="2">
        <f>U9*'Output-Calculation-sheet'!U53/10^9</f>
        <v>0.19612923749225034</v>
      </c>
      <c r="V64" s="2">
        <f>V9*'Output-Calculation-sheet'!V53/10^9</f>
        <v>0.3092849519364681</v>
      </c>
      <c r="W64" s="2">
        <f>W9*'Output-Calculation-sheet'!W53/10^9</f>
        <v>0.11492471350799877</v>
      </c>
      <c r="X64" s="2">
        <f>X9*'Output-Calculation-sheet'!X53/10^9</f>
        <v>0.15599525251505988</v>
      </c>
      <c r="Y64" s="2">
        <f>Y9*'Output-Calculation-sheet'!Y53/10^9</f>
        <v>8.0519991547877742E-2</v>
      </c>
      <c r="AA64" s="2">
        <f t="shared" si="4"/>
        <v>37.808767103206158</v>
      </c>
    </row>
    <row r="65" spans="1:27" x14ac:dyDescent="0.25">
      <c r="A65" s="2">
        <v>2033</v>
      </c>
      <c r="B65" s="2">
        <f>B10*'Output-Calculation-sheet'!B54/10^9</f>
        <v>10.584369696372427</v>
      </c>
      <c r="C65" s="2">
        <f>C10*'Output-Calculation-sheet'!C54/10^9</f>
        <v>7.1559696623300368</v>
      </c>
      <c r="D65" s="2">
        <f>D10*'Output-Calculation-sheet'!D54/10^9</f>
        <v>2.5005546667852281</v>
      </c>
      <c r="E65" s="2">
        <f>E10*'Output-Calculation-sheet'!E54/10^9</f>
        <v>2.8155959596749494</v>
      </c>
      <c r="F65" s="2">
        <f>F10*'Output-Calculation-sheet'!F54/10^9</f>
        <v>1.1430837762855146</v>
      </c>
      <c r="G65" s="2">
        <f>G10*'Output-Calculation-sheet'!G54/10^9</f>
        <v>0.78483040973067542</v>
      </c>
      <c r="H65" s="2">
        <f>H10*'Output-Calculation-sheet'!H54/10^9</f>
        <v>1.9395633949970301</v>
      </c>
      <c r="I65" s="2">
        <f>I10*'Output-Calculation-sheet'!I54/10^9</f>
        <v>0.76421047910317863</v>
      </c>
      <c r="J65" s="2">
        <f>J10*'Output-Calculation-sheet'!J54/10^9</f>
        <v>0.91340197017062619</v>
      </c>
      <c r="K65" s="2">
        <f>K10*'Output-Calculation-sheet'!K54/10^9</f>
        <v>0.97447890780541457</v>
      </c>
      <c r="L65" s="2">
        <f>L10*'Output-Calculation-sheet'!L54/10^9</f>
        <v>1.1510645350847895</v>
      </c>
      <c r="M65" s="2">
        <f>M10*'Output-Calculation-sheet'!M54/10^9</f>
        <v>1.4644561682078363</v>
      </c>
      <c r="N65" s="2">
        <f>N10*'Output-Calculation-sheet'!N54/10^9</f>
        <v>1.2646583883715727</v>
      </c>
      <c r="O65" s="2">
        <f>O10*'Output-Calculation-sheet'!O54/10^9</f>
        <v>1.4474860292919398</v>
      </c>
      <c r="P65" s="2">
        <f>P10*'Output-Calculation-sheet'!P54/10^9</f>
        <v>0.82451971780450006</v>
      </c>
      <c r="Q65" s="2">
        <f>Q10*'Output-Calculation-sheet'!Q54/10^9</f>
        <v>0.89972862691899436</v>
      </c>
      <c r="R65" s="2">
        <f>R10*'Output-Calculation-sheet'!R54/10^9</f>
        <v>0.7259002933586971</v>
      </c>
      <c r="S65" s="2">
        <f>S10*'Output-Calculation-sheet'!S54/10^9</f>
        <v>0.65936387219228343</v>
      </c>
      <c r="T65" s="2">
        <f>T10*'Output-Calculation-sheet'!T54/10^9</f>
        <v>0.24270046950394786</v>
      </c>
      <c r="U65" s="2">
        <f>U10*'Output-Calculation-sheet'!U54/10^9</f>
        <v>0.20956928067380307</v>
      </c>
      <c r="V65" s="2">
        <f>V10*'Output-Calculation-sheet'!V54/10^9</f>
        <v>0.26858470400314982</v>
      </c>
      <c r="W65" s="2">
        <f>W10*'Output-Calculation-sheet'!W54/10^9</f>
        <v>0.1022602987365296</v>
      </c>
      <c r="X65" s="2">
        <f>X10*'Output-Calculation-sheet'!X54/10^9</f>
        <v>0.16843360749241881</v>
      </c>
      <c r="Y65" s="2">
        <f>Y10*'Output-Calculation-sheet'!Y54/10^9</f>
        <v>8.41657071052926E-2</v>
      </c>
      <c r="AA65" s="2">
        <f t="shared" si="4"/>
        <v>39.08895062200083</v>
      </c>
    </row>
    <row r="66" spans="1:27" x14ac:dyDescent="0.25">
      <c r="A66" s="2">
        <v>2034</v>
      </c>
      <c r="B66" s="2">
        <f>B11*'Output-Calculation-sheet'!B55/10^9</f>
        <v>11.764134465928077</v>
      </c>
      <c r="C66" s="2">
        <f>C11*'Output-Calculation-sheet'!C55/10^9</f>
        <v>7.7597359855710968</v>
      </c>
      <c r="D66" s="2">
        <f>D11*'Output-Calculation-sheet'!D55/10^9</f>
        <v>2.4606963773204011</v>
      </c>
      <c r="E66" s="2">
        <f>E11*'Output-Calculation-sheet'!E55/10^9</f>
        <v>2.9797398902189158</v>
      </c>
      <c r="F66" s="2">
        <f>F11*'Output-Calculation-sheet'!F55/10^9</f>
        <v>1.1451518844820929</v>
      </c>
      <c r="G66" s="2">
        <f>G11*'Output-Calculation-sheet'!G55/10^9</f>
        <v>0.81853329855355106</v>
      </c>
      <c r="H66" s="2">
        <f>H11*'Output-Calculation-sheet'!H55/10^9</f>
        <v>2.0926272300314754</v>
      </c>
      <c r="I66" s="2">
        <f>I11*'Output-Calculation-sheet'!I55/10^9</f>
        <v>0.80043330563803028</v>
      </c>
      <c r="J66" s="2">
        <f>J11*'Output-Calculation-sheet'!J55/10^9</f>
        <v>0.82312182797406153</v>
      </c>
      <c r="K66" s="2">
        <f>K11*'Output-Calculation-sheet'!K55/10^9</f>
        <v>0.98449967008654704</v>
      </c>
      <c r="L66" s="2">
        <f>L11*'Output-Calculation-sheet'!L55/10^9</f>
        <v>1.0425925944587739</v>
      </c>
      <c r="M66" s="2">
        <f>M11*'Output-Calculation-sheet'!M55/10^9</f>
        <v>1.5160617328825063</v>
      </c>
      <c r="N66" s="2">
        <f>N11*'Output-Calculation-sheet'!N55/10^9</f>
        <v>1.3246336630281468</v>
      </c>
      <c r="O66" s="2">
        <f>O11*'Output-Calculation-sheet'!O55/10^9</f>
        <v>1.5632340033826437</v>
      </c>
      <c r="P66" s="2">
        <f>P11*'Output-Calculation-sheet'!P55/10^9</f>
        <v>0.91056263837998797</v>
      </c>
      <c r="Q66" s="2">
        <f>Q11*'Output-Calculation-sheet'!Q55/10^9</f>
        <v>0.99172651746890095</v>
      </c>
      <c r="R66" s="2">
        <f>R11*'Output-Calculation-sheet'!R55/10^9</f>
        <v>0.73748154689584067</v>
      </c>
      <c r="S66" s="2">
        <f>S11*'Output-Calculation-sheet'!S55/10^9</f>
        <v>0.72566394387214828</v>
      </c>
      <c r="T66" s="2">
        <f>T11*'Output-Calculation-sheet'!T55/10^9</f>
        <v>0.23116827635966139</v>
      </c>
      <c r="U66" s="2">
        <f>U11*'Output-Calculation-sheet'!U55/10^9</f>
        <v>0.23506764998325971</v>
      </c>
      <c r="V66" s="2">
        <f>V11*'Output-Calculation-sheet'!V55/10^9</f>
        <v>0.21930363563264976</v>
      </c>
      <c r="W66" s="2">
        <f>W11*'Output-Calculation-sheet'!W55/10^9</f>
        <v>9.9295749391904511E-2</v>
      </c>
      <c r="X66" s="2">
        <f>X11*'Output-Calculation-sheet'!X55/10^9</f>
        <v>0.18675759255412713</v>
      </c>
      <c r="Y66" s="2">
        <f>Y11*'Output-Calculation-sheet'!Y55/10^9</f>
        <v>9.7438963091661543E-2</v>
      </c>
      <c r="AA66" s="2">
        <f t="shared" si="4"/>
        <v>41.509662443186457</v>
      </c>
    </row>
    <row r="67" spans="1:27" x14ac:dyDescent="0.25">
      <c r="A67" s="2">
        <v>2035</v>
      </c>
      <c r="B67" s="2">
        <f>B12*'Output-Calculation-sheet'!B56/10^9</f>
        <v>13.042840717431968</v>
      </c>
      <c r="C67" s="2">
        <f>C12*'Output-Calculation-sheet'!C56/10^9</f>
        <v>8.2257962174409585</v>
      </c>
      <c r="D67" s="2">
        <f>D12*'Output-Calculation-sheet'!D56/10^9</f>
        <v>2.7163549787022596</v>
      </c>
      <c r="E67" s="2">
        <f>E12*'Output-Calculation-sheet'!E56/10^9</f>
        <v>3.6857354065254326</v>
      </c>
      <c r="F67" s="2">
        <f>F12*'Output-Calculation-sheet'!F56/10^9</f>
        <v>1.3461050044552096</v>
      </c>
      <c r="G67" s="2">
        <f>G12*'Output-Calculation-sheet'!G56/10^9</f>
        <v>0.942985648912265</v>
      </c>
      <c r="H67" s="2">
        <f>H12*'Output-Calculation-sheet'!H56/10^9</f>
        <v>2.2758802000946261</v>
      </c>
      <c r="I67" s="2">
        <f>I12*'Output-Calculation-sheet'!I56/10^9</f>
        <v>0.91596563308779433</v>
      </c>
      <c r="J67" s="2">
        <f>J12*'Output-Calculation-sheet'!J56/10^9</f>
        <v>0.90739961057415175</v>
      </c>
      <c r="K67" s="2">
        <f>K12*'Output-Calculation-sheet'!K56/10^9</f>
        <v>1.0928412003462542</v>
      </c>
      <c r="L67" s="2">
        <f>L12*'Output-Calculation-sheet'!L56/10^9</f>
        <v>1.097837434079558</v>
      </c>
      <c r="M67" s="2">
        <f>M12*'Output-Calculation-sheet'!M56/10^9</f>
        <v>1.665212654000982</v>
      </c>
      <c r="N67" s="2">
        <f>N12*'Output-Calculation-sheet'!N56/10^9</f>
        <v>1.4299035791758743</v>
      </c>
      <c r="O67" s="2">
        <f>O12*'Output-Calculation-sheet'!O56/10^9</f>
        <v>1.6540679494365458</v>
      </c>
      <c r="P67" s="2">
        <f>P12*'Output-Calculation-sheet'!P56/10^9</f>
        <v>1.0584348409661353</v>
      </c>
      <c r="Q67" s="2">
        <f>Q12*'Output-Calculation-sheet'!Q56/10^9</f>
        <v>1.0884601957401796</v>
      </c>
      <c r="R67" s="2">
        <f>R12*'Output-Calculation-sheet'!R56/10^9</f>
        <v>0.82867819036215118</v>
      </c>
      <c r="S67" s="2">
        <f>S12*'Output-Calculation-sheet'!S56/10^9</f>
        <v>0.78968193457673774</v>
      </c>
      <c r="T67" s="2">
        <f>T12*'Output-Calculation-sheet'!T56/10^9</f>
        <v>0.25130070072373756</v>
      </c>
      <c r="U67" s="2">
        <f>U12*'Output-Calculation-sheet'!U56/10^9</f>
        <v>0.26242391853597213</v>
      </c>
      <c r="V67" s="2">
        <f>V12*'Output-Calculation-sheet'!V56/10^9</f>
        <v>0.20158714034422337</v>
      </c>
      <c r="W67" s="2">
        <f>W12*'Output-Calculation-sheet'!W56/10^9</f>
        <v>0.12162540579990457</v>
      </c>
      <c r="X67" s="2">
        <f>X12*'Output-Calculation-sheet'!X56/10^9</f>
        <v>0.20679904491605244</v>
      </c>
      <c r="Y67" s="2">
        <f>Y12*'Output-Calculation-sheet'!Y56/10^9</f>
        <v>0.11749749098187277</v>
      </c>
      <c r="AA67" s="2">
        <f t="shared" si="4"/>
        <v>45.925415097210866</v>
      </c>
    </row>
    <row r="68" spans="1:27" x14ac:dyDescent="0.25">
      <c r="B68" s="2">
        <f>SUM(B60:B67)</f>
        <v>73.619889748081718</v>
      </c>
      <c r="C68" s="2">
        <f t="shared" ref="C68:Y68" si="5">SUM(C60:C67)</f>
        <v>45.555006774021201</v>
      </c>
      <c r="D68" s="2">
        <f t="shared" si="5"/>
        <v>21.315754520274108</v>
      </c>
      <c r="E68" s="2">
        <f t="shared" si="5"/>
        <v>23.060697764373018</v>
      </c>
      <c r="F68" s="2">
        <f t="shared" si="5"/>
        <v>9.3109074032730472</v>
      </c>
      <c r="G68" s="2">
        <f t="shared" si="5"/>
        <v>6.6464294474194539</v>
      </c>
      <c r="H68" s="2">
        <f t="shared" si="5"/>
        <v>12.967253361766101</v>
      </c>
      <c r="I68" s="2">
        <f t="shared" si="5"/>
        <v>6.2860208565727849</v>
      </c>
      <c r="J68" s="2">
        <f t="shared" si="5"/>
        <v>7.9718691933144523</v>
      </c>
      <c r="K68" s="2">
        <f t="shared" si="5"/>
        <v>7.6739603294130321</v>
      </c>
      <c r="L68" s="2">
        <f t="shared" si="5"/>
        <v>9.613916985372942</v>
      </c>
      <c r="M68" s="2">
        <f t="shared" si="5"/>
        <v>10.150004601512819</v>
      </c>
      <c r="N68" s="2">
        <f t="shared" si="5"/>
        <v>8.7163159344421519</v>
      </c>
      <c r="O68" s="2">
        <f t="shared" si="5"/>
        <v>9.2893957585748481</v>
      </c>
      <c r="P68" s="2">
        <f t="shared" si="5"/>
        <v>5.9139981815084521</v>
      </c>
      <c r="Q68" s="2">
        <f t="shared" si="5"/>
        <v>6.5072553472041488</v>
      </c>
      <c r="R68" s="2">
        <f t="shared" si="5"/>
        <v>5.5394075953754207</v>
      </c>
      <c r="S68" s="2">
        <f t="shared" si="5"/>
        <v>4.4861878422642301</v>
      </c>
      <c r="T68" s="2">
        <f t="shared" si="5"/>
        <v>1.9650669341027642</v>
      </c>
      <c r="U68" s="2">
        <f t="shared" si="5"/>
        <v>1.5526969475199346</v>
      </c>
      <c r="V68" s="2">
        <f t="shared" si="5"/>
        <v>2.22520387636609</v>
      </c>
      <c r="W68" s="2">
        <f t="shared" si="5"/>
        <v>0.86793846859509527</v>
      </c>
      <c r="X68" s="2">
        <f t="shared" si="5"/>
        <v>1.1425315092162973</v>
      </c>
      <c r="Y68" s="2">
        <f t="shared" si="5"/>
        <v>0.65328401812498349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3384.6295920456587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1771.0479693187046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1188.0652534712333</v>
      </c>
      <c r="N74" s="2">
        <f>N8/'Output-Calculation-sheet'!N7*'Output-Calculation-sheet'!N61</f>
        <v>49.336590095996058</v>
      </c>
      <c r="O74" s="2">
        <f>O8/'Output-Calculation-sheet'!O7*'Output-Calculation-sheet'!O61</f>
        <v>191.96990886308225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148.4243885530453</v>
      </c>
      <c r="Y74" s="2">
        <f>Y8/'Output-Calculation-sheet'!Y7*'Output-Calculation-sheet'!Y61</f>
        <v>0</v>
      </c>
      <c r="AA74" s="2">
        <f t="shared" si="6"/>
        <v>6.7334737023477205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4691.6644266552812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3180.0759625989126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2157.3892146632543</v>
      </c>
      <c r="N75" s="2">
        <f>N9/'Output-Calculation-sheet'!N8*'Output-Calculation-sheet'!N62</f>
        <v>833.68611533245303</v>
      </c>
      <c r="O75" s="2">
        <f>O9/'Output-Calculation-sheet'!O8*'Output-Calculation-sheet'!O62</f>
        <v>407.50437647438702</v>
      </c>
      <c r="P75" s="2">
        <f>P9/'Output-Calculation-sheet'!P8*'Output-Calculation-sheet'!P62</f>
        <v>55.813971270030329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275.76390204306398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260.56059030316845</v>
      </c>
      <c r="Y75" s="2">
        <f>Y9/'Output-Calculation-sheet'!Y8*'Output-Calculation-sheet'!Y62</f>
        <v>0</v>
      </c>
      <c r="AA75" s="2">
        <f t="shared" si="6"/>
        <v>11.862458559340551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7002.0073892542687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4837.1512499473083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3294.1283255169842</v>
      </c>
      <c r="N76" s="2">
        <f>N10/'Output-Calculation-sheet'!N9*'Output-Calculation-sheet'!N63</f>
        <v>1884.8970207987011</v>
      </c>
      <c r="O76" s="2">
        <f>O10/'Output-Calculation-sheet'!O9*'Output-Calculation-sheet'!O63</f>
        <v>696.18848792754113</v>
      </c>
      <c r="P76" s="2">
        <f>P10/'Output-Calculation-sheet'!P9*'Output-Calculation-sheet'!P63</f>
        <v>646.15364582864186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497.56992403702799</v>
      </c>
      <c r="S76" s="2">
        <f>S10/'Output-Calculation-sheet'!S9*'Output-Calculation-sheet'!S63</f>
        <v>835.81367950679282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176.82529612223831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387.90196765646937</v>
      </c>
      <c r="Y76" s="2">
        <f>Y10/'Output-Calculation-sheet'!Y9*'Output-Calculation-sheet'!Y63</f>
        <v>7.3585752082529883</v>
      </c>
      <c r="AA76" s="2">
        <f t="shared" si="6"/>
        <v>28.137472838346913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10185.215478943919</v>
      </c>
      <c r="D77" s="2">
        <f>D11/'Output-Calculation-sheet'!D10*'Output-Calculation-sheet'!D64</f>
        <v>2383.5788242645758</v>
      </c>
      <c r="E77" s="2">
        <f>E11/'Output-Calculation-sheet'!E10*'Output-Calculation-sheet'!E64</f>
        <v>2971.9980799012797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1263.2829185432665</v>
      </c>
      <c r="H77" s="2">
        <f>H11/'Output-Calculation-sheet'!H10*'Output-Calculation-sheet'!H64</f>
        <v>6320.926784468902</v>
      </c>
      <c r="I77" s="2">
        <f>I11/'Output-Calculation-sheet'!I10*'Output-Calculation-sheet'!I64</f>
        <v>742.39136802472365</v>
      </c>
      <c r="J77" s="2">
        <f>J11/'Output-Calculation-sheet'!J10*'Output-Calculation-sheet'!J64</f>
        <v>519.94153795737259</v>
      </c>
      <c r="K77" s="2">
        <f>K11/'Output-Calculation-sheet'!K10*'Output-Calculation-sheet'!K64</f>
        <v>1130.6280474858347</v>
      </c>
      <c r="L77" s="2">
        <f>L11/'Output-Calculation-sheet'!L10*'Output-Calculation-sheet'!L64</f>
        <v>465.38116074212837</v>
      </c>
      <c r="M77" s="2">
        <f>M11/'Output-Calculation-sheet'!M10*'Output-Calculation-sheet'!M64</f>
        <v>4514.8415904958292</v>
      </c>
      <c r="N77" s="2">
        <f>N11/'Output-Calculation-sheet'!N10*'Output-Calculation-sheet'!N64</f>
        <v>3178.7310892065038</v>
      </c>
      <c r="O77" s="2">
        <f>O11/'Output-Calculation-sheet'!O10*'Output-Calculation-sheet'!O64</f>
        <v>1157.6210891786111</v>
      </c>
      <c r="P77" s="2">
        <f>P11/'Output-Calculation-sheet'!P10*'Output-Calculation-sheet'!P64</f>
        <v>1409.4052605221436</v>
      </c>
      <c r="Q77" s="2">
        <f>Q11/'Output-Calculation-sheet'!Q10*'Output-Calculation-sheet'!Q64</f>
        <v>992.39066567014572</v>
      </c>
      <c r="R77" s="2">
        <f>R11/'Output-Calculation-sheet'!R10*'Output-Calculation-sheet'!R64</f>
        <v>1200.6410776544899</v>
      </c>
      <c r="S77" s="2">
        <f>S11/'Output-Calculation-sheet'!S10*'Output-Calculation-sheet'!S64</f>
        <v>1598.4733858955208</v>
      </c>
      <c r="T77" s="2">
        <f>T11/'Output-Calculation-sheet'!T10*'Output-Calculation-sheet'!T64</f>
        <v>330.92270439531268</v>
      </c>
      <c r="U77" s="2">
        <f>U11/'Output-Calculation-sheet'!U10*'Output-Calculation-sheet'!U64</f>
        <v>351.22388183075157</v>
      </c>
      <c r="V77" s="2">
        <f>V11/'Output-Calculation-sheet'!V10*'Output-Calculation-sheet'!V64</f>
        <v>175.03209109541848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451.94532474966758</v>
      </c>
      <c r="Y77" s="2">
        <f>Y11/'Output-Calculation-sheet'!Y10*'Output-Calculation-sheet'!Y64</f>
        <v>109.90954265070657</v>
      </c>
      <c r="AA77" s="2">
        <f t="shared" si="6"/>
        <v>61.158760948686087</v>
      </c>
    </row>
    <row r="78" spans="1:27" x14ac:dyDescent="0.25">
      <c r="A78" s="2">
        <v>2035</v>
      </c>
      <c r="B78" s="2">
        <f>B12/'Output-Calculation-sheet'!B11*'Output-Calculation-sheet'!B65</f>
        <v>21431.254311120887</v>
      </c>
      <c r="C78" s="2">
        <f>C12/'Output-Calculation-sheet'!C11*'Output-Calculation-sheet'!C65</f>
        <v>16608.636848930331</v>
      </c>
      <c r="D78" s="2">
        <f>D12/'Output-Calculation-sheet'!D11*'Output-Calculation-sheet'!D65</f>
        <v>2862.8464433231948</v>
      </c>
      <c r="E78" s="2">
        <f>E12/'Output-Calculation-sheet'!E11*'Output-Calculation-sheet'!E65</f>
        <v>4960.8192984087473</v>
      </c>
      <c r="F78" s="2">
        <f>F12/'Output-Calculation-sheet'!F11*'Output-Calculation-sheet'!F65</f>
        <v>634.83831557206372</v>
      </c>
      <c r="G78" s="2">
        <f>G12/'Output-Calculation-sheet'!G11*'Output-Calculation-sheet'!G65</f>
        <v>1257.1852590849376</v>
      </c>
      <c r="H78" s="2">
        <f>H12/'Output-Calculation-sheet'!H11*'Output-Calculation-sheet'!H65</f>
        <v>6817.1666045119455</v>
      </c>
      <c r="I78" s="2">
        <f>I12/'Output-Calculation-sheet'!I11*'Output-Calculation-sheet'!I65</f>
        <v>832.62237919745621</v>
      </c>
      <c r="J78" s="2">
        <f>J12/'Output-Calculation-sheet'!J11*'Output-Calculation-sheet'!J65</f>
        <v>1205.1400483462392</v>
      </c>
      <c r="K78" s="2">
        <f>K12/'Output-Calculation-sheet'!K11*'Output-Calculation-sheet'!K65</f>
        <v>1510.3479654260184</v>
      </c>
      <c r="L78" s="2">
        <f>L12/'Output-Calculation-sheet'!L11*'Output-Calculation-sheet'!L65</f>
        <v>1281.2157237008</v>
      </c>
      <c r="M78" s="2">
        <f>M12/'Output-Calculation-sheet'!M11*'Output-Calculation-sheet'!M65</f>
        <v>4967.3895839033175</v>
      </c>
      <c r="N78" s="2">
        <f>N12/'Output-Calculation-sheet'!N11*'Output-Calculation-sheet'!N65</f>
        <v>3523.3788346072001</v>
      </c>
      <c r="O78" s="2">
        <f>O12/'Output-Calculation-sheet'!O11*'Output-Calculation-sheet'!O65</f>
        <v>1978.0042310356052</v>
      </c>
      <c r="P78" s="2">
        <f>P12/'Output-Calculation-sheet'!P11*'Output-Calculation-sheet'!P65</f>
        <v>1730.0156681396381</v>
      </c>
      <c r="Q78" s="2">
        <f>Q12/'Output-Calculation-sheet'!Q11*'Output-Calculation-sheet'!Q65</f>
        <v>1190.9471730177077</v>
      </c>
      <c r="R78" s="2">
        <f>R12/'Output-Calculation-sheet'!R11*'Output-Calculation-sheet'!R65</f>
        <v>1612.1599719522144</v>
      </c>
      <c r="S78" s="2">
        <f>S12/'Output-Calculation-sheet'!S11*'Output-Calculation-sheet'!S65</f>
        <v>1679.9427881729564</v>
      </c>
      <c r="T78" s="2">
        <f>T12/'Output-Calculation-sheet'!T11*'Output-Calculation-sheet'!T65</f>
        <v>556.11546223034611</v>
      </c>
      <c r="U78" s="2">
        <f>U12/'Output-Calculation-sheet'!U11*'Output-Calculation-sheet'!U65</f>
        <v>380.46393945126476</v>
      </c>
      <c r="V78" s="2">
        <f>V12/'Output-Calculation-sheet'!V11*'Output-Calculation-sheet'!V65</f>
        <v>312.2598015852459</v>
      </c>
      <c r="W78" s="2">
        <f>W12/'Output-Calculation-sheet'!W11*'Output-Calculation-sheet'!W65</f>
        <v>150.37717072086159</v>
      </c>
      <c r="X78" s="2">
        <f>X12/'Output-Calculation-sheet'!X11*'Output-Calculation-sheet'!X65</f>
        <v>486.28982161927399</v>
      </c>
      <c r="Y78" s="2">
        <f>Y12/'Output-Calculation-sheet'!Y11*'Output-Calculation-sheet'!Y65</f>
        <v>133.05026658273468</v>
      </c>
      <c r="AA78" s="2">
        <f t="shared" si="6"/>
        <v>78.102467910640954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323.31047494545555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83.747369991528956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0.40705784493698449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617.99104647847423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120.05903496387573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0.73805008144234996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821.41407608660711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159.57865707385571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0.98099273316046287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890.00484786297784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45.661868426911283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172.90399878199861</v>
      </c>
      <c r="P88" s="2">
        <f>P11/'Output-Calculation-sheet'!P10*'Output-Calculation-sheet'!P73</f>
        <v>0</v>
      </c>
      <c r="Q88" s="2">
        <f>Q11/'Output-Calculation-sheet'!Q10*'Output-Calculation-sheet'!Q73</f>
        <v>27.056099284880876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8.6325488332780704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3.4468332182953469</v>
      </c>
      <c r="Y88" s="2">
        <f>Y11/'Output-Calculation-sheet'!Y10*'Output-Calculation-sheet'!Y73</f>
        <v>0</v>
      </c>
      <c r="AA88" s="2">
        <f t="shared" si="7"/>
        <v>1.1477061964083421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791.4527924198394</v>
      </c>
      <c r="D89" s="2">
        <f>D12/'Output-Calculation-sheet'!D11*'Output-Calculation-sheet'!D74</f>
        <v>140.21876099932382</v>
      </c>
      <c r="E89" s="2">
        <f>E12/'Output-Calculation-sheet'!E11*'Output-Calculation-sheet'!E74</f>
        <v>222.87302820984104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50.299482239134896</v>
      </c>
      <c r="H89" s="2">
        <f>H12/'Output-Calculation-sheet'!H11*'Output-Calculation-sheet'!H74</f>
        <v>97.453527432875575</v>
      </c>
      <c r="I89" s="2">
        <f>I12/'Output-Calculation-sheet'!I11*'Output-Calculation-sheet'!I74</f>
        <v>45.241381177866565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44.465156340743029</v>
      </c>
      <c r="L89" s="2">
        <f>L12/'Output-Calculation-sheet'!L11*'Output-Calculation-sheet'!L74</f>
        <v>35.356561627640254</v>
      </c>
      <c r="M89" s="2">
        <f>M12/'Output-Calculation-sheet'!M11*'Output-Calculation-sheet'!M74</f>
        <v>67.057563247498436</v>
      </c>
      <c r="N89" s="2">
        <f>N12/'Output-Calculation-sheet'!N11*'Output-Calculation-sheet'!N74</f>
        <v>32.953412220419004</v>
      </c>
      <c r="O89" s="2">
        <f>O12/'Output-Calculation-sheet'!O11*'Output-Calculation-sheet'!O74</f>
        <v>153.7579856841831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28.872146549436536</v>
      </c>
      <c r="R89" s="2">
        <f>R12/'Output-Calculation-sheet'!R11*'Output-Calculation-sheet'!R74</f>
        <v>28.63211686058705</v>
      </c>
      <c r="S89" s="2">
        <f>S12/'Output-Calculation-sheet'!S11*'Output-Calculation-sheet'!S74</f>
        <v>37.779964426544844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9.2119788734235186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14.712759997255073</v>
      </c>
      <c r="Y89" s="2">
        <f>Y12/'Output-Calculation-sheet'!Y11*'Output-Calculation-sheet'!Y74</f>
        <v>7.0990431428201193</v>
      </c>
      <c r="AA89" s="2">
        <f t="shared" si="7"/>
        <v>2.6740477194780086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10020187355.239716</v>
      </c>
      <c r="C96" s="2">
        <f>C8/'Output-Calculation-sheet'!C7*'Output-Calculation-sheet'!C79</f>
        <v>2419707324.1677804</v>
      </c>
      <c r="D96" s="2">
        <f>D8/'Output-Calculation-sheet'!D7*'Output-Calculation-sheet'!D79</f>
        <v>1964442359.6823323</v>
      </c>
      <c r="E96" s="2">
        <f>E8/'Output-Calculation-sheet'!E7*'Output-Calculation-sheet'!E79</f>
        <v>7360050887.3407259</v>
      </c>
      <c r="F96" s="2">
        <f>F8/'Output-Calculation-sheet'!F7*'Output-Calculation-sheet'!F79</f>
        <v>2147039466.9227355</v>
      </c>
      <c r="G96" s="2">
        <f>G8/'Output-Calculation-sheet'!G7*'Output-Calculation-sheet'!G79</f>
        <v>1378090133.2851431</v>
      </c>
      <c r="H96" s="2">
        <f>H8/'Output-Calculation-sheet'!H7*'Output-Calculation-sheet'!H79</f>
        <v>1697759061.7248092</v>
      </c>
      <c r="I96" s="2">
        <f>I8/'Output-Calculation-sheet'!I7*'Output-Calculation-sheet'!I79</f>
        <v>990980831.40900147</v>
      </c>
      <c r="J96" s="2">
        <f>J8/'Output-Calculation-sheet'!J7*'Output-Calculation-sheet'!J79</f>
        <v>750969318.39359927</v>
      </c>
      <c r="K96" s="2">
        <f>K8/'Output-Calculation-sheet'!K7*'Output-Calculation-sheet'!K79</f>
        <v>941812826.11803842</v>
      </c>
      <c r="L96" s="2">
        <f>L8/'Output-Calculation-sheet'!L7*'Output-Calculation-sheet'!L79</f>
        <v>855003525.32258487</v>
      </c>
      <c r="M96" s="2">
        <f>M8/'Output-Calculation-sheet'!M7*'Output-Calculation-sheet'!M79</f>
        <v>1309983644.6143639</v>
      </c>
      <c r="N96" s="2">
        <f>N8/'Output-Calculation-sheet'!N7*'Output-Calculation-sheet'!N79</f>
        <v>851577814.31724715</v>
      </c>
      <c r="O96" s="2">
        <f>O8/'Output-Calculation-sheet'!O7*'Output-Calculation-sheet'!O79</f>
        <v>319530343.5709545</v>
      </c>
      <c r="P96" s="2">
        <f>P8/'Output-Calculation-sheet'!P7*'Output-Calculation-sheet'!P79</f>
        <v>1621837795.5987167</v>
      </c>
      <c r="Q96" s="2">
        <f>Q8/'Output-Calculation-sheet'!Q7*'Output-Calculation-sheet'!Q79</f>
        <v>688580801.00592315</v>
      </c>
      <c r="R96" s="2">
        <f>R8/'Output-Calculation-sheet'!R7*'Output-Calculation-sheet'!R79</f>
        <v>913939517.88646364</v>
      </c>
      <c r="S96" s="2">
        <f>S8/'Output-Calculation-sheet'!S7*'Output-Calculation-sheet'!S79</f>
        <v>515426047.07743317</v>
      </c>
      <c r="T96" s="2">
        <f>T8/'Output-Calculation-sheet'!T7*'Output-Calculation-sheet'!T79</f>
        <v>310947124.00151724</v>
      </c>
      <c r="U96" s="2">
        <f>U8/'Output-Calculation-sheet'!U7*'Output-Calculation-sheet'!U79</f>
        <v>244753929.15351647</v>
      </c>
      <c r="V96" s="2">
        <f>V8/'Output-Calculation-sheet'!V7*'Output-Calculation-sheet'!V79</f>
        <v>112334017.66690734</v>
      </c>
      <c r="W96" s="2">
        <f>W8/'Output-Calculation-sheet'!W7*'Output-Calculation-sheet'!W79</f>
        <v>345863524.63035208</v>
      </c>
      <c r="X96" s="2">
        <f>X8/'Output-Calculation-sheet'!X7*'Output-Calculation-sheet'!X79</f>
        <v>155992106.60106158</v>
      </c>
      <c r="Y96" s="2">
        <f>Y8/'Output-Calculation-sheet'!Y7*'Output-Calculation-sheet'!Y79</f>
        <v>214673708.2105476</v>
      </c>
      <c r="AA96" s="2">
        <f t="shared" si="8"/>
        <v>38.131483463941478</v>
      </c>
    </row>
    <row r="97" spans="1:27" x14ac:dyDescent="0.25">
      <c r="A97" s="2">
        <v>2032</v>
      </c>
      <c r="B97" s="2">
        <f>B9/'Output-Calculation-sheet'!B8*'Output-Calculation-sheet'!B80</f>
        <v>13172384886.869831</v>
      </c>
      <c r="C97" s="2">
        <f>C9/'Output-Calculation-sheet'!C8*'Output-Calculation-sheet'!C80</f>
        <v>3111078166.3610053</v>
      </c>
      <c r="D97" s="2">
        <f>D9/'Output-Calculation-sheet'!D8*'Output-Calculation-sheet'!D80</f>
        <v>2376526662.7706718</v>
      </c>
      <c r="E97" s="2">
        <f>E9/'Output-Calculation-sheet'!E8*'Output-Calculation-sheet'!E80</f>
        <v>10004828163.463362</v>
      </c>
      <c r="F97" s="2">
        <f>F9/'Output-Calculation-sheet'!F8*'Output-Calculation-sheet'!F80</f>
        <v>2743669357.3925347</v>
      </c>
      <c r="G97" s="2">
        <f>G9/'Output-Calculation-sheet'!G8*'Output-Calculation-sheet'!G80</f>
        <v>1681170002.7956569</v>
      </c>
      <c r="H97" s="2">
        <f>H9/'Output-Calculation-sheet'!H8*'Output-Calculation-sheet'!H80</f>
        <v>2201251990.3560519</v>
      </c>
      <c r="I97" s="2">
        <f>I9/'Output-Calculation-sheet'!I8*'Output-Calculation-sheet'!I80</f>
        <v>1267920820.5494254</v>
      </c>
      <c r="J97" s="2">
        <f>J9/'Output-Calculation-sheet'!J8*'Output-Calculation-sheet'!J80</f>
        <v>947489247.72969925</v>
      </c>
      <c r="K97" s="2">
        <f>K9/'Output-Calculation-sheet'!K8*'Output-Calculation-sheet'!K80</f>
        <v>1168574816.6226997</v>
      </c>
      <c r="L97" s="2">
        <f>L9/'Output-Calculation-sheet'!L8*'Output-Calculation-sheet'!L80</f>
        <v>1127168683.0316858</v>
      </c>
      <c r="M97" s="2">
        <f>M9/'Output-Calculation-sheet'!M8*'Output-Calculation-sheet'!M80</f>
        <v>1736640066.5934031</v>
      </c>
      <c r="N97" s="2">
        <f>N9/'Output-Calculation-sheet'!N8*'Output-Calculation-sheet'!N80</f>
        <v>1091141510.5841153</v>
      </c>
      <c r="O97" s="2">
        <f>O9/'Output-Calculation-sheet'!O8*'Output-Calculation-sheet'!O80</f>
        <v>405597118.64495087</v>
      </c>
      <c r="P97" s="2">
        <f>P9/'Output-Calculation-sheet'!P8*'Output-Calculation-sheet'!P80</f>
        <v>2045616039.3715334</v>
      </c>
      <c r="Q97" s="2">
        <f>Q9/'Output-Calculation-sheet'!Q8*'Output-Calculation-sheet'!Q80</f>
        <v>884801632.23304915</v>
      </c>
      <c r="R97" s="2">
        <f>R9/'Output-Calculation-sheet'!R8*'Output-Calculation-sheet'!R80</f>
        <v>1185638116.1056101</v>
      </c>
      <c r="S97" s="2">
        <f>S9/'Output-Calculation-sheet'!S8*'Output-Calculation-sheet'!S80</f>
        <v>659882249.74704957</v>
      </c>
      <c r="T97" s="2">
        <f>T9/'Output-Calculation-sheet'!T8*'Output-Calculation-sheet'!T80</f>
        <v>384774543.44926661</v>
      </c>
      <c r="U97" s="2">
        <f>U9/'Output-Calculation-sheet'!U8*'Output-Calculation-sheet'!U80</f>
        <v>306173454.11997473</v>
      </c>
      <c r="V97" s="2">
        <f>V9/'Output-Calculation-sheet'!V8*'Output-Calculation-sheet'!V80</f>
        <v>141225579.11095941</v>
      </c>
      <c r="W97" s="2">
        <f>W9/'Output-Calculation-sheet'!W8*'Output-Calculation-sheet'!W80</f>
        <v>437017575.29388767</v>
      </c>
      <c r="X97" s="2">
        <f>X9/'Output-Calculation-sheet'!X8*'Output-Calculation-sheet'!X80</f>
        <v>211662032.75195485</v>
      </c>
      <c r="Y97" s="2">
        <f>Y9/'Output-Calculation-sheet'!Y8*'Output-Calculation-sheet'!Y80</f>
        <v>277849787.39521343</v>
      </c>
      <c r="AA97" s="2">
        <f t="shared" si="8"/>
        <v>49.570082503343585</v>
      </c>
    </row>
    <row r="98" spans="1:27" x14ac:dyDescent="0.25">
      <c r="A98" s="2">
        <v>2033</v>
      </c>
      <c r="B98" s="2">
        <f>B10/'Output-Calculation-sheet'!B9*'Output-Calculation-sheet'!B81</f>
        <v>15971241733.13579</v>
      </c>
      <c r="C98" s="2">
        <f>C10/'Output-Calculation-sheet'!C9*'Output-Calculation-sheet'!C81</f>
        <v>3698312831.796978</v>
      </c>
      <c r="D98" s="2">
        <f>D10/'Output-Calculation-sheet'!D9*'Output-Calculation-sheet'!D81</f>
        <v>2660555359.3180275</v>
      </c>
      <c r="E98" s="2">
        <f>E10/'Output-Calculation-sheet'!E9*'Output-Calculation-sheet'!E81</f>
        <v>12558838544.934246</v>
      </c>
      <c r="F98" s="2">
        <f>F10/'Output-Calculation-sheet'!F9*'Output-Calculation-sheet'!F81</f>
        <v>3235791710.1624274</v>
      </c>
      <c r="G98" s="2">
        <f>G10/'Output-Calculation-sheet'!G9*'Output-Calculation-sheet'!G81</f>
        <v>1890415845.9910393</v>
      </c>
      <c r="H98" s="2">
        <f>H10/'Output-Calculation-sheet'!H9*'Output-Calculation-sheet'!H81</f>
        <v>2631749108.1299834</v>
      </c>
      <c r="I98" s="2">
        <f>I10/'Output-Calculation-sheet'!I9*'Output-Calculation-sheet'!I81</f>
        <v>1499814995.5604372</v>
      </c>
      <c r="J98" s="2">
        <f>J10/'Output-Calculation-sheet'!J9*'Output-Calculation-sheet'!J81</f>
        <v>1106404138.6114249</v>
      </c>
      <c r="K98" s="2">
        <f>K10/'Output-Calculation-sheet'!K9*'Output-Calculation-sheet'!K81</f>
        <v>1339799735.0501785</v>
      </c>
      <c r="L98" s="2">
        <f>L10/'Output-Calculation-sheet'!L9*'Output-Calculation-sheet'!L81</f>
        <v>1373160432.2426608</v>
      </c>
      <c r="M98" s="2">
        <f>M10/'Output-Calculation-sheet'!M9*'Output-Calculation-sheet'!M81</f>
        <v>2127908535.7983415</v>
      </c>
      <c r="N98" s="2">
        <f>N10/'Output-Calculation-sheet'!N9*'Output-Calculation-sheet'!N81</f>
        <v>1293162479.5026536</v>
      </c>
      <c r="O98" s="2">
        <f>O10/'Output-Calculation-sheet'!O9*'Output-Calculation-sheet'!O81</f>
        <v>476957201.1240505</v>
      </c>
      <c r="P98" s="2">
        <f>P10/'Output-Calculation-sheet'!P9*'Output-Calculation-sheet'!P81</f>
        <v>2366189321.9911427</v>
      </c>
      <c r="Q98" s="2">
        <f>Q10/'Output-Calculation-sheet'!Q9*'Output-Calculation-sheet'!Q81</f>
        <v>1051376856.0580128</v>
      </c>
      <c r="R98" s="2">
        <f>R10/'Output-Calculation-sheet'!R9*'Output-Calculation-sheet'!R81</f>
        <v>1419121525.4349344</v>
      </c>
      <c r="S98" s="2">
        <f>S10/'Output-Calculation-sheet'!S9*'Output-Calculation-sheet'!S81</f>
        <v>779381756.54782164</v>
      </c>
      <c r="T98" s="2">
        <f>T10/'Output-Calculation-sheet'!T9*'Output-Calculation-sheet'!T81</f>
        <v>439115887.22594792</v>
      </c>
      <c r="U98" s="2">
        <f>U10/'Output-Calculation-sheet'!U9*'Output-Calculation-sheet'!U81</f>
        <v>352842473.39317995</v>
      </c>
      <c r="V98" s="2">
        <f>V10/'Output-Calculation-sheet'!V9*'Output-Calculation-sheet'!V81</f>
        <v>163877017.58551031</v>
      </c>
      <c r="W98" s="2">
        <f>W10/'Output-Calculation-sheet'!W9*'Output-Calculation-sheet'!W81</f>
        <v>506786186.82388532</v>
      </c>
      <c r="X98" s="2">
        <f>X10/'Output-Calculation-sheet'!X9*'Output-Calculation-sheet'!X81</f>
        <v>265676136.87575719</v>
      </c>
      <c r="Y98" s="2">
        <f>Y10/'Output-Calculation-sheet'!Y9*'Output-Calculation-sheet'!Y81</f>
        <v>330760741.32155204</v>
      </c>
      <c r="AA98" s="2">
        <f t="shared" si="8"/>
        <v>59.539240554615986</v>
      </c>
    </row>
    <row r="99" spans="1:27" x14ac:dyDescent="0.25">
      <c r="A99" s="2">
        <v>2034</v>
      </c>
      <c r="B99" s="2">
        <f>B11/'Output-Calculation-sheet'!B10*'Output-Calculation-sheet'!B82</f>
        <v>18319640087.844429</v>
      </c>
      <c r="C99" s="2">
        <f>C11/'Output-Calculation-sheet'!C10*'Output-Calculation-sheet'!C82</f>
        <v>4170151831.5144839</v>
      </c>
      <c r="D99" s="2">
        <f>D11/'Output-Calculation-sheet'!D10*'Output-Calculation-sheet'!D82</f>
        <v>2828735164.5302877</v>
      </c>
      <c r="E99" s="2">
        <f>E11/'Output-Calculation-sheet'!E10*'Output-Calculation-sheet'!E82</f>
        <v>14929580684.834795</v>
      </c>
      <c r="F99" s="2">
        <f>F11/'Output-Calculation-sheet'!F10*'Output-Calculation-sheet'!F82</f>
        <v>3613797349.7131686</v>
      </c>
      <c r="G99" s="2">
        <f>G11/'Output-Calculation-sheet'!G10*'Output-Calculation-sheet'!G82</f>
        <v>2011296203.4596114</v>
      </c>
      <c r="H99" s="2">
        <f>H11/'Output-Calculation-sheet'!H10*'Output-Calculation-sheet'!H82</f>
        <v>2976194008.9602818</v>
      </c>
      <c r="I99" s="2">
        <f>I11/'Output-Calculation-sheet'!I10*'Output-Calculation-sheet'!I82</f>
        <v>1682909783.7544661</v>
      </c>
      <c r="J99" s="2">
        <f>J11/'Output-Calculation-sheet'!J10*'Output-Calculation-sheet'!J82</f>
        <v>1226832939.7797506</v>
      </c>
      <c r="K99" s="2">
        <f>K11/'Output-Calculation-sheet'!K10*'Output-Calculation-sheet'!K82</f>
        <v>1456686359.128089</v>
      </c>
      <c r="L99" s="2">
        <f>L11/'Output-Calculation-sheet'!L10*'Output-Calculation-sheet'!L82</f>
        <v>1585729482.7390778</v>
      </c>
      <c r="M99" s="2">
        <f>M11/'Output-Calculation-sheet'!M10*'Output-Calculation-sheet'!M82</f>
        <v>2471913631.6961322</v>
      </c>
      <c r="N99" s="2">
        <f>N11/'Output-Calculation-sheet'!N10*'Output-Calculation-sheet'!N82</f>
        <v>1454402568.9344447</v>
      </c>
      <c r="O99" s="2">
        <f>O11/'Output-Calculation-sheet'!O10*'Output-Calculation-sheet'!O82</f>
        <v>533036228.12509054</v>
      </c>
      <c r="P99" s="2">
        <f>P11/'Output-Calculation-sheet'!P10*'Output-Calculation-sheet'!P82</f>
        <v>2576495175.2757454</v>
      </c>
      <c r="Q99" s="2">
        <f>Q11/'Output-Calculation-sheet'!Q10*'Output-Calculation-sheet'!Q82</f>
        <v>1185159691.2940722</v>
      </c>
      <c r="R99" s="2">
        <f>R11/'Output-Calculation-sheet'!R10*'Output-Calculation-sheet'!R82</f>
        <v>1607638225.9414968</v>
      </c>
      <c r="S99" s="2">
        <f>S11/'Output-Calculation-sheet'!S10*'Output-Calculation-sheet'!S82</f>
        <v>871204638.05844986</v>
      </c>
      <c r="T99" s="2">
        <f>T11/'Output-Calculation-sheet'!T10*'Output-Calculation-sheet'!T82</f>
        <v>474407580.74748844</v>
      </c>
      <c r="U99" s="2">
        <f>U11/'Output-Calculation-sheet'!U10*'Output-Calculation-sheet'!U82</f>
        <v>384476114.63458538</v>
      </c>
      <c r="V99" s="2">
        <f>V11/'Output-Calculation-sheet'!V10*'Output-Calculation-sheet'!V82</f>
        <v>180097338.08986831</v>
      </c>
      <c r="W99" s="2">
        <f>W11/'Output-Calculation-sheet'!W10*'Output-Calculation-sheet'!W82</f>
        <v>553614546.21359575</v>
      </c>
      <c r="X99" s="2">
        <f>X11/'Output-Calculation-sheet'!X10*'Output-Calculation-sheet'!X82</f>
        <v>316413946.84802449</v>
      </c>
      <c r="Y99" s="2">
        <f>Y11/'Output-Calculation-sheet'!Y10*'Output-Calculation-sheet'!Y82</f>
        <v>371589252.08748507</v>
      </c>
      <c r="AA99" s="2">
        <f t="shared" si="8"/>
        <v>67.782002834204903</v>
      </c>
    </row>
    <row r="100" spans="1:27" x14ac:dyDescent="0.25">
      <c r="A100" s="2">
        <v>2035</v>
      </c>
      <c r="B100" s="2">
        <f>B12/'Output-Calculation-sheet'!B11*'Output-Calculation-sheet'!B83</f>
        <v>20166283363.381443</v>
      </c>
      <c r="C100" s="2">
        <f>C12/'Output-Calculation-sheet'!C11*'Output-Calculation-sheet'!C83</f>
        <v>4525375108.1204977</v>
      </c>
      <c r="D100" s="2">
        <f>D12/'Output-Calculation-sheet'!D11*'Output-Calculation-sheet'!D83</f>
        <v>2898879860.5248008</v>
      </c>
      <c r="E100" s="2">
        <f>E12/'Output-Calculation-sheet'!E11*'Output-Calculation-sheet'!E83</f>
        <v>17047056463.45727</v>
      </c>
      <c r="F100" s="2">
        <f>F12/'Output-Calculation-sheet'!F11*'Output-Calculation-sheet'!F83</f>
        <v>3878410053.9241304</v>
      </c>
      <c r="G100" s="2">
        <f>G12/'Output-Calculation-sheet'!G11*'Output-Calculation-sheet'!G83</f>
        <v>2055430497.2976725</v>
      </c>
      <c r="H100" s="2">
        <f>H12/'Output-Calculation-sheet'!H11*'Output-Calculation-sheet'!H83</f>
        <v>3229912005.0605383</v>
      </c>
      <c r="I100" s="2">
        <f>I12/'Output-Calculation-sheet'!I11*'Output-Calculation-sheet'!I83</f>
        <v>1817634017.0991912</v>
      </c>
      <c r="J100" s="2">
        <f>J12/'Output-Calculation-sheet'!J11*'Output-Calculation-sheet'!J83</f>
        <v>1310732631.9997118</v>
      </c>
      <c r="K100" s="2">
        <f>K12/'Output-Calculation-sheet'!K11*'Output-Calculation-sheet'!K83</f>
        <v>1524258000.2840931</v>
      </c>
      <c r="L100" s="2">
        <f>L12/'Output-Calculation-sheet'!L11*'Output-Calculation-sheet'!L83</f>
        <v>1761045985.7305987</v>
      </c>
      <c r="M100" s="2">
        <f>M12/'Output-Calculation-sheet'!M11*'Output-Calculation-sheet'!M83</f>
        <v>2761722825.5077448</v>
      </c>
      <c r="N100" s="2">
        <f>N12/'Output-Calculation-sheet'!N11*'Output-Calculation-sheet'!N83</f>
        <v>1575076550.6382225</v>
      </c>
      <c r="O100" s="2">
        <f>O12/'Output-Calculation-sheet'!O11*'Output-Calculation-sheet'!O83</f>
        <v>574381713.99751949</v>
      </c>
      <c r="P100" s="2">
        <f>P12/'Output-Calculation-sheet'!P11*'Output-Calculation-sheet'!P83</f>
        <v>2681513630.5611167</v>
      </c>
      <c r="Q100" s="2">
        <f>Q12/'Output-Calculation-sheet'!Q11*'Output-Calculation-sheet'!Q83</f>
        <v>1285787843.6106243</v>
      </c>
      <c r="R100" s="2">
        <f>R12/'Output-Calculation-sheet'!R11*'Output-Calculation-sheet'!R83</f>
        <v>1748764087.815244</v>
      </c>
      <c r="S100" s="2">
        <f>S12/'Output-Calculation-sheet'!S11*'Output-Calculation-sheet'!S83</f>
        <v>935150836.26591682</v>
      </c>
      <c r="T100" s="2">
        <f>T12/'Output-Calculation-sheet'!T11*'Output-Calculation-sheet'!T83</f>
        <v>492547076.26837695</v>
      </c>
      <c r="U100" s="2">
        <f>U12/'Output-Calculation-sheet'!U11*'Output-Calculation-sheet'!U83</f>
        <v>402094310.68458432</v>
      </c>
      <c r="V100" s="2">
        <f>V12/'Output-Calculation-sheet'!V11*'Output-Calculation-sheet'!V83</f>
        <v>190218712.33952111</v>
      </c>
      <c r="W100" s="2">
        <f>W12/'Output-Calculation-sheet'!W11*'Output-Calculation-sheet'!W83</f>
        <v>578392683.04114401</v>
      </c>
      <c r="X100" s="2">
        <f>X12/'Output-Calculation-sheet'!X11*'Output-Calculation-sheet'!X83</f>
        <v>362717755.00322855</v>
      </c>
      <c r="Y100" s="2">
        <f>Y12/'Output-Calculation-sheet'!Y11*'Output-Calculation-sheet'!Y83</f>
        <v>399825208.84677196</v>
      </c>
      <c r="AA100" s="2">
        <f t="shared" si="8"/>
        <v>74.203211221459966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1663659477.1667097</v>
      </c>
      <c r="C107" s="2">
        <f>C8/'Output-Calculation-sheet'!C7*'Output-Calculation-sheet'!C88</f>
        <v>21453395889.195679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8548516963.6651163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5897761823.6704626</v>
      </c>
      <c r="N107" s="2">
        <f>N8/'Output-Calculation-sheet'!N7*'Output-Calculation-sheet'!N88</f>
        <v>1968858855.4308829</v>
      </c>
      <c r="O107" s="2">
        <f>O8/'Output-Calculation-sheet'!O7*'Output-Calculation-sheet'!O88</f>
        <v>3380045946.5423584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591518081.07212842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638728976.28714228</v>
      </c>
      <c r="Y107" s="2">
        <f>Y8/'Output-Calculation-sheet'!Y7*'Output-Calculation-sheet'!Y88</f>
        <v>0</v>
      </c>
      <c r="AA107" s="2">
        <f t="shared" si="9"/>
        <v>44142.486013030481</v>
      </c>
    </row>
    <row r="108" spans="1:27" x14ac:dyDescent="0.25">
      <c r="A108" s="2">
        <v>2032</v>
      </c>
      <c r="B108" s="2">
        <f>B9/'Output-Calculation-sheet'!B8*'Output-Calculation-sheet'!B89</f>
        <v>7835779066.2848663</v>
      </c>
      <c r="C108" s="2">
        <f>C9/'Output-Calculation-sheet'!C8*'Output-Calculation-sheet'!C89</f>
        <v>26617764278.934814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12255136604.831602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8454978635.2425566</v>
      </c>
      <c r="N108" s="2">
        <f>N9/'Output-Calculation-sheet'!N8*'Output-Calculation-sheet'!N89</f>
        <v>3978736108.1606016</v>
      </c>
      <c r="O108" s="2">
        <f>O9/'Output-Calculation-sheet'!O8*'Output-Calculation-sheet'!O89</f>
        <v>4259711368.783206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1184015529.7452698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915699458.96213472</v>
      </c>
      <c r="Y108" s="2">
        <f>Y9/'Output-Calculation-sheet'!Y8*'Output-Calculation-sheet'!Y89</f>
        <v>0</v>
      </c>
      <c r="AA108" s="2">
        <f t="shared" si="9"/>
        <v>65501.821050945044</v>
      </c>
    </row>
    <row r="109" spans="1:27" x14ac:dyDescent="0.25">
      <c r="A109" s="2">
        <v>2033</v>
      </c>
      <c r="B109" s="2">
        <f>B10/'Output-Calculation-sheet'!B9*'Output-Calculation-sheet'!B90</f>
        <v>22259829216.385918</v>
      </c>
      <c r="C109" s="2">
        <f>C10/'Output-Calculation-sheet'!C9*'Output-Calculation-sheet'!C90</f>
        <v>32834097368.483318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16289627297.849215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11238427254.49538</v>
      </c>
      <c r="N109" s="2">
        <f>N10/'Output-Calculation-sheet'!N9*'Output-Calculation-sheet'!N90</f>
        <v>6620356282.7545156</v>
      </c>
      <c r="O109" s="2">
        <f>O10/'Output-Calculation-sheet'!O9*'Output-Calculation-sheet'!O90</f>
        <v>5129336774.3249435</v>
      </c>
      <c r="P109" s="2">
        <f>P10/'Output-Calculation-sheet'!P9*'Output-Calculation-sheet'!P90</f>
        <v>0</v>
      </c>
      <c r="Q109" s="2">
        <f>Q10/'Output-Calculation-sheet'!Q9*'Output-Calculation-sheet'!Q90</f>
        <v>215470498.40313616</v>
      </c>
      <c r="R109" s="2">
        <f>R10/'Output-Calculation-sheet'!R9*'Output-Calculation-sheet'!R90</f>
        <v>-4.4395727856148097E-7</v>
      </c>
      <c r="S109" s="2">
        <f>S10/'Output-Calculation-sheet'!S9*'Output-Calculation-sheet'!S90</f>
        <v>2661144885.2882962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1217155673.9982302</v>
      </c>
      <c r="Y109" s="2">
        <f>Y10/'Output-Calculation-sheet'!Y9*'Output-Calculation-sheet'!Y90</f>
        <v>0</v>
      </c>
      <c r="AA109" s="2">
        <f t="shared" si="9"/>
        <v>98465.445251982936</v>
      </c>
    </row>
    <row r="110" spans="1:27" x14ac:dyDescent="0.25">
      <c r="A110" s="2">
        <v>2034</v>
      </c>
      <c r="B110" s="2">
        <f>B11/'Output-Calculation-sheet'!B10*'Output-Calculation-sheet'!B91</f>
        <v>55065790208.848488</v>
      </c>
      <c r="C110" s="2">
        <f>C11/'Output-Calculation-sheet'!C10*'Output-Calculation-sheet'!C91</f>
        <v>40591533935.718399</v>
      </c>
      <c r="D110" s="2">
        <f>D11/'Output-Calculation-sheet'!D10*'Output-Calculation-sheet'!D91</f>
        <v>0</v>
      </c>
      <c r="E110" s="2">
        <f>E11/'Output-Calculation-sheet'!E10*'Output-Calculation-sheet'!E91</f>
        <v>1165478549.9083841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20073149140.317593</v>
      </c>
      <c r="I110" s="2">
        <f>I11/'Output-Calculation-sheet'!I10*'Output-Calculation-sheet'!I91</f>
        <v>-1.9325620399121812E-6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936758999.27741623</v>
      </c>
      <c r="M110" s="2">
        <f>M11/'Output-Calculation-sheet'!M10*'Output-Calculation-sheet'!M91</f>
        <v>14206653779.946247</v>
      </c>
      <c r="N110" s="2">
        <f>N11/'Output-Calculation-sheet'!N10*'Output-Calculation-sheet'!N91</f>
        <v>9831971267.9840946</v>
      </c>
      <c r="O110" s="2">
        <f>O11/'Output-Calculation-sheet'!O10*'Output-Calculation-sheet'!O91</f>
        <v>6234076729.9514647</v>
      </c>
      <c r="P110" s="2">
        <f>P11/'Output-Calculation-sheet'!P10*'Output-Calculation-sheet'!P91</f>
        <v>0</v>
      </c>
      <c r="Q110" s="2">
        <f>Q11/'Output-Calculation-sheet'!Q10*'Output-Calculation-sheet'!Q91</f>
        <v>1573935545.9433465</v>
      </c>
      <c r="R110" s="2">
        <f>R11/'Output-Calculation-sheet'!R10*'Output-Calculation-sheet'!R91</f>
        <v>0</v>
      </c>
      <c r="S110" s="2">
        <f>S11/'Output-Calculation-sheet'!S10*'Output-Calculation-sheet'!S91</f>
        <v>4813169761.9394684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1386880911.6795454</v>
      </c>
      <c r="Y110" s="2">
        <f>Y11/'Output-Calculation-sheet'!Y10*'Output-Calculation-sheet'!Y91</f>
        <v>61672282.379579835</v>
      </c>
      <c r="AA110" s="2">
        <f t="shared" si="9"/>
        <v>155941.07111389408</v>
      </c>
    </row>
    <row r="111" spans="1:27" x14ac:dyDescent="0.25">
      <c r="A111" s="2">
        <v>2035</v>
      </c>
      <c r="B111" s="2">
        <f>B12/'Output-Calculation-sheet'!B11*'Output-Calculation-sheet'!B92</f>
        <v>60572908981.092468</v>
      </c>
      <c r="C111" s="2">
        <f>C12/'Output-Calculation-sheet'!C11*'Output-Calculation-sheet'!C92</f>
        <v>53107305482.275345</v>
      </c>
      <c r="D111" s="2">
        <f>D12/'Output-Calculation-sheet'!D11*'Output-Calculation-sheet'!D92</f>
        <v>-1.5854254868671547E-6</v>
      </c>
      <c r="E111" s="2">
        <f>E12/'Output-Calculation-sheet'!E11*'Output-Calculation-sheet'!E92</f>
        <v>4912961773.0612478</v>
      </c>
      <c r="F111" s="2">
        <f>F12/'Output-Calculation-sheet'!F11*'Output-Calculation-sheet'!F92</f>
        <v>-3.4829060636664375E-7</v>
      </c>
      <c r="G111" s="2">
        <f>G12/'Output-Calculation-sheet'!G11*'Output-Calculation-sheet'!G92</f>
        <v>0</v>
      </c>
      <c r="H111" s="2">
        <f>H12/'Output-Calculation-sheet'!H11*'Output-Calculation-sheet'!H92</f>
        <v>22075095071.273029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2390528198.3336291</v>
      </c>
      <c r="M111" s="2">
        <f>M12/'Output-Calculation-sheet'!M11*'Output-Calculation-sheet'!M92</f>
        <v>15730755473.343182</v>
      </c>
      <c r="N111" s="2">
        <f>N12/'Output-Calculation-sheet'!N11*'Output-Calculation-sheet'!N92</f>
        <v>11075325494.525511</v>
      </c>
      <c r="O111" s="2">
        <f>O12/'Output-Calculation-sheet'!O11*'Output-Calculation-sheet'!O92</f>
        <v>8024875285.6346111</v>
      </c>
      <c r="P111" s="2">
        <f>P12/'Output-Calculation-sheet'!P11*'Output-Calculation-sheet'!P92</f>
        <v>475906828.24458367</v>
      </c>
      <c r="Q111" s="2">
        <f>Q12/'Output-Calculation-sheet'!Q11*'Output-Calculation-sheet'!Q92</f>
        <v>2104798250.3491807</v>
      </c>
      <c r="R111" s="2">
        <f>R12/'Output-Calculation-sheet'!R11*'Output-Calculation-sheet'!R92</f>
        <v>0</v>
      </c>
      <c r="S111" s="2">
        <f>S12/'Output-Calculation-sheet'!S11*'Output-Calculation-sheet'!S92</f>
        <v>5290955566.0585546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1537668064.8511207</v>
      </c>
      <c r="Y111" s="2">
        <f>Y12/'Output-Calculation-sheet'!Y11*'Output-Calculation-sheet'!Y92</f>
        <v>104126599.61072695</v>
      </c>
      <c r="AA111" s="2">
        <f t="shared" si="9"/>
        <v>187403.21106865321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56490003586.174782</v>
      </c>
      <c r="C118" s="2">
        <f>C8/'Output-Calculation-sheet'!C7*'Output-Calculation-sheet'!C97</f>
        <v>0</v>
      </c>
      <c r="D118" s="2">
        <f>D8/'Output-Calculation-sheet'!D7*'Output-Calculation-sheet'!D97</f>
        <v>24425208586.777317</v>
      </c>
      <c r="E118" s="2">
        <f>E8/'Output-Calculation-sheet'!E7*'Output-Calculation-sheet'!E97</f>
        <v>19378924421.638519</v>
      </c>
      <c r="F118" s="2">
        <f>F8/'Output-Calculation-sheet'!F7*'Output-Calculation-sheet'!F97</f>
        <v>12474909056.179579</v>
      </c>
      <c r="G118" s="2">
        <f>G8/'Output-Calculation-sheet'!G7*'Output-Calculation-sheet'!G97</f>
        <v>8765213467.5099926</v>
      </c>
      <c r="H118" s="2">
        <f>H8/'Output-Calculation-sheet'!H7*'Output-Calculation-sheet'!H97</f>
        <v>0</v>
      </c>
      <c r="I118" s="2">
        <f>I8/'Output-Calculation-sheet'!I7*'Output-Calculation-sheet'!I97</f>
        <v>7985799441.9733725</v>
      </c>
      <c r="J118" s="2">
        <f>J8/'Output-Calculation-sheet'!J7*'Output-Calculation-sheet'!J97</f>
        <v>7772827148.4636946</v>
      </c>
      <c r="K118" s="2">
        <f>K8/'Output-Calculation-sheet'!K7*'Output-Calculation-sheet'!K97</f>
        <v>7698309148.3849058</v>
      </c>
      <c r="L118" s="2">
        <f>L8/'Output-Calculation-sheet'!L7*'Output-Calculation-sheet'!L97</f>
        <v>6175683698.1889868</v>
      </c>
      <c r="M118" s="2">
        <f>M8/'Output-Calculation-sheet'!M7*'Output-Calculation-sheet'!M97</f>
        <v>0</v>
      </c>
      <c r="N118" s="2">
        <f>N8/'Output-Calculation-sheet'!N7*'Output-Calculation-sheet'!N97</f>
        <v>3820794703.8776474</v>
      </c>
      <c r="O118" s="2">
        <f>O8/'Output-Calculation-sheet'!O7*'Output-Calculation-sheet'!O97</f>
        <v>0</v>
      </c>
      <c r="P118" s="2">
        <f>P8/'Output-Calculation-sheet'!P7*'Output-Calculation-sheet'!P97</f>
        <v>5270627631.7024298</v>
      </c>
      <c r="Q118" s="2">
        <f>Q8/'Output-Calculation-sheet'!Q7*'Output-Calculation-sheet'!Q97</f>
        <v>5185444788.1259518</v>
      </c>
      <c r="R118" s="2">
        <f>R8/'Output-Calculation-sheet'!R7*'Output-Calculation-sheet'!R97</f>
        <v>4988636366.2094669</v>
      </c>
      <c r="S118" s="2">
        <f>S8/'Output-Calculation-sheet'!S7*'Output-Calculation-sheet'!S97</f>
        <v>2724185590.0150185</v>
      </c>
      <c r="T118" s="2">
        <f>T8/'Output-Calculation-sheet'!T7*'Output-Calculation-sheet'!T97</f>
        <v>1833780190.6336088</v>
      </c>
      <c r="U118" s="2">
        <f>U8/'Output-Calculation-sheet'!U7*'Output-Calculation-sheet'!U97</f>
        <v>1597159574.801614</v>
      </c>
      <c r="V118" s="2">
        <f>V8/'Output-Calculation-sheet'!V7*'Output-Calculation-sheet'!V97</f>
        <v>1229845299.0703626</v>
      </c>
      <c r="W118" s="2">
        <f>W8/'Output-Calculation-sheet'!W7*'Output-Calculation-sheet'!W97</f>
        <v>1064773049.5416402</v>
      </c>
      <c r="X118" s="2">
        <f>X8/'Output-Calculation-sheet'!X7*'Output-Calculation-sheet'!X97</f>
        <v>0</v>
      </c>
      <c r="Y118" s="2">
        <f>Y8/'Output-Calculation-sheet'!Y7*'Output-Calculation-sheet'!Y97</f>
        <v>621288928.77835572</v>
      </c>
      <c r="AA118" s="2">
        <f t="shared" si="10"/>
        <v>179503.41467804724</v>
      </c>
    </row>
    <row r="119" spans="1:27" x14ac:dyDescent="0.25">
      <c r="A119" s="2">
        <v>2032</v>
      </c>
      <c r="B119" s="2">
        <f>B9/'Output-Calculation-sheet'!B8*'Output-Calculation-sheet'!B98</f>
        <v>75532482955.636887</v>
      </c>
      <c r="C119" s="2">
        <f>C9/'Output-Calculation-sheet'!C8*'Output-Calculation-sheet'!C98</f>
        <v>0</v>
      </c>
      <c r="D119" s="2">
        <f>D9/'Output-Calculation-sheet'!D8*'Output-Calculation-sheet'!D98</f>
        <v>35015633341.656822</v>
      </c>
      <c r="E119" s="2">
        <f>E9/'Output-Calculation-sheet'!E8*'Output-Calculation-sheet'!E98</f>
        <v>27781345259.90715</v>
      </c>
      <c r="F119" s="2">
        <f>F9/'Output-Calculation-sheet'!F8*'Output-Calculation-sheet'!F98</f>
        <v>17883854404.662937</v>
      </c>
      <c r="G119" s="2">
        <f>G9/'Output-Calculation-sheet'!G8*'Output-Calculation-sheet'!G98</f>
        <v>12565686955.048958</v>
      </c>
      <c r="H119" s="2">
        <f>H9/'Output-Calculation-sheet'!H8*'Output-Calculation-sheet'!H98</f>
        <v>2.6382006369492606E-7</v>
      </c>
      <c r="I119" s="2">
        <f>I9/'Output-Calculation-sheet'!I8*'Output-Calculation-sheet'!I98</f>
        <v>11448330812.049288</v>
      </c>
      <c r="J119" s="2">
        <f>J9/'Output-Calculation-sheet'!J8*'Output-Calculation-sheet'!J98</f>
        <v>11143012372.630447</v>
      </c>
      <c r="K119" s="2">
        <f>K9/'Output-Calculation-sheet'!K8*'Output-Calculation-sheet'!K98</f>
        <v>11036186178.767832</v>
      </c>
      <c r="L119" s="2">
        <f>L9/'Output-Calculation-sheet'!L8*'Output-Calculation-sheet'!L98</f>
        <v>8853374124.1774426</v>
      </c>
      <c r="M119" s="2">
        <f>M9/'Output-Calculation-sheet'!M8*'Output-Calculation-sheet'!M98</f>
        <v>0</v>
      </c>
      <c r="N119" s="2">
        <f>N9/'Output-Calculation-sheet'!N8*'Output-Calculation-sheet'!N98</f>
        <v>4320534549.9204359</v>
      </c>
      <c r="O119" s="2">
        <f>O9/'Output-Calculation-sheet'!O8*'Output-Calculation-sheet'!O98</f>
        <v>0</v>
      </c>
      <c r="P119" s="2">
        <f>P9/'Output-Calculation-sheet'!P8*'Output-Calculation-sheet'!P98</f>
        <v>7555847262.7939215</v>
      </c>
      <c r="Q119" s="2">
        <f>Q9/'Output-Calculation-sheet'!Q8*'Output-Calculation-sheet'!Q98</f>
        <v>7433780241.5099421</v>
      </c>
      <c r="R119" s="2">
        <f>R9/'Output-Calculation-sheet'!R8*'Output-Calculation-sheet'!R98</f>
        <v>7151639049.5577135</v>
      </c>
      <c r="S119" s="2">
        <f>S9/'Output-Calculation-sheet'!S8*'Output-Calculation-sheet'!S98</f>
        <v>3569079022.1564465</v>
      </c>
      <c r="T119" s="2">
        <f>T9/'Output-Calculation-sheet'!T8*'Output-Calculation-sheet'!T98</f>
        <v>2628880915.6422253</v>
      </c>
      <c r="U119" s="2">
        <f>U9/'Output-Calculation-sheet'!U8*'Output-Calculation-sheet'!U98</f>
        <v>2289665902.2591457</v>
      </c>
      <c r="V119" s="2">
        <f>V9/'Output-Calculation-sheet'!V8*'Output-Calculation-sheet'!V98</f>
        <v>1763088538.346395</v>
      </c>
      <c r="W119" s="2">
        <f>W9/'Output-Calculation-sheet'!W8*'Output-Calculation-sheet'!W98</f>
        <v>1526443694.9792416</v>
      </c>
      <c r="X119" s="2">
        <f>X9/'Output-Calculation-sheet'!X8*'Output-Calculation-sheet'!X98</f>
        <v>0</v>
      </c>
      <c r="Y119" s="2">
        <f>Y9/'Output-Calculation-sheet'!Y8*'Output-Calculation-sheet'!Y98</f>
        <v>890670737.74366331</v>
      </c>
      <c r="AA119" s="2">
        <f t="shared" si="10"/>
        <v>250389.53631944684</v>
      </c>
    </row>
    <row r="120" spans="1:27" x14ac:dyDescent="0.25">
      <c r="A120" s="2">
        <v>2033</v>
      </c>
      <c r="B120" s="2">
        <f>B10/'Output-Calculation-sheet'!B9*'Output-Calculation-sheet'!B99</f>
        <v>88543878269.792877</v>
      </c>
      <c r="C120" s="2">
        <f>C10/'Output-Calculation-sheet'!C9*'Output-Calculation-sheet'!C99</f>
        <v>0</v>
      </c>
      <c r="D120" s="2">
        <f>D10/'Output-Calculation-sheet'!D9*'Output-Calculation-sheet'!D99</f>
        <v>46541670421.808517</v>
      </c>
      <c r="E120" s="2">
        <f>E10/'Output-Calculation-sheet'!E9*'Output-Calculation-sheet'!E99</f>
        <v>36926087769.127831</v>
      </c>
      <c r="F120" s="2">
        <f>F10/'Output-Calculation-sheet'!F9*'Output-Calculation-sheet'!F99</f>
        <v>23770647776.8195</v>
      </c>
      <c r="G120" s="2">
        <f>G10/'Output-Calculation-sheet'!G9*'Output-Calculation-sheet'!G99</f>
        <v>16701909495.813435</v>
      </c>
      <c r="H120" s="2">
        <f>H10/'Output-Calculation-sheet'!H9*'Output-Calculation-sheet'!H99</f>
        <v>0</v>
      </c>
      <c r="I120" s="2">
        <f>I10/'Output-Calculation-sheet'!I9*'Output-Calculation-sheet'!I99</f>
        <v>15216756234.674049</v>
      </c>
      <c r="J120" s="2">
        <f>J10/'Output-Calculation-sheet'!J9*'Output-Calculation-sheet'!J99</f>
        <v>14810936675.852633</v>
      </c>
      <c r="K120" s="2">
        <f>K10/'Output-Calculation-sheet'!K9*'Output-Calculation-sheet'!K99</f>
        <v>14668948239.961473</v>
      </c>
      <c r="L120" s="2">
        <f>L10/'Output-Calculation-sheet'!L9*'Output-Calculation-sheet'!L99</f>
        <v>11767622544.038103</v>
      </c>
      <c r="M120" s="2">
        <f>M10/'Output-Calculation-sheet'!M9*'Output-Calculation-sheet'!M99</f>
        <v>0</v>
      </c>
      <c r="N120" s="2">
        <f>N10/'Output-Calculation-sheet'!N9*'Output-Calculation-sheet'!N99</f>
        <v>4410126064.666708</v>
      </c>
      <c r="O120" s="2">
        <f>O10/'Output-Calculation-sheet'!O9*'Output-Calculation-sheet'!O99</f>
        <v>0</v>
      </c>
      <c r="P120" s="2">
        <f>P10/'Output-Calculation-sheet'!P9*'Output-Calculation-sheet'!P99</f>
        <v>10042469358.061176</v>
      </c>
      <c r="Q120" s="2">
        <f>Q10/'Output-Calculation-sheet'!Q9*'Output-Calculation-sheet'!Q99</f>
        <v>9665178489.5368938</v>
      </c>
      <c r="R120" s="2">
        <f>R10/'Output-Calculation-sheet'!R9*'Output-Calculation-sheet'!R99</f>
        <v>9505279362.0174084</v>
      </c>
      <c r="S120" s="2">
        <f>S10/'Output-Calculation-sheet'!S9*'Output-Calculation-sheet'!S99</f>
        <v>3656089751.9006238</v>
      </c>
      <c r="T120" s="2">
        <f>T10/'Output-Calculation-sheet'!T9*'Output-Calculation-sheet'!T99</f>
        <v>3494194622.5629902</v>
      </c>
      <c r="U120" s="2">
        <f>U10/'Output-Calculation-sheet'!U9*'Output-Calculation-sheet'!U99</f>
        <v>3044012337.1421027</v>
      </c>
      <c r="V120" s="2">
        <f>V10/'Output-Calculation-sheet'!V9*'Output-Calculation-sheet'!V99</f>
        <v>2343441179.4554262</v>
      </c>
      <c r="W120" s="2">
        <f>W10/'Output-Calculation-sheet'!W9*'Output-Calculation-sheet'!W99</f>
        <v>2028900703.4288266</v>
      </c>
      <c r="X120" s="2">
        <f>X10/'Output-Calculation-sheet'!X9*'Output-Calculation-sheet'!X99</f>
        <v>0</v>
      </c>
      <c r="Y120" s="2">
        <f>Y10/'Output-Calculation-sheet'!Y9*'Output-Calculation-sheet'!Y99</f>
        <v>1183852921.1478219</v>
      </c>
      <c r="AA120" s="2">
        <f t="shared" si="10"/>
        <v>318322.00221780839</v>
      </c>
    </row>
    <row r="121" spans="1:27" x14ac:dyDescent="0.25">
      <c r="A121" s="2">
        <v>2034</v>
      </c>
      <c r="B121" s="2">
        <f>B11/'Output-Calculation-sheet'!B10*'Output-Calculation-sheet'!B100</f>
        <v>84990562514.569885</v>
      </c>
      <c r="C121" s="2">
        <f>C11/'Output-Calculation-sheet'!C10*'Output-Calculation-sheet'!C100</f>
        <v>0</v>
      </c>
      <c r="D121" s="2">
        <f>D11/'Output-Calculation-sheet'!D10*'Output-Calculation-sheet'!D100</f>
        <v>58832717179.673676</v>
      </c>
      <c r="E121" s="2">
        <f>E11/'Output-Calculation-sheet'!E10*'Output-Calculation-sheet'!E100</f>
        <v>45520024842.766251</v>
      </c>
      <c r="F121" s="2">
        <f>F11/'Output-Calculation-sheet'!F10*'Output-Calculation-sheet'!F100</f>
        <v>30048397300.866211</v>
      </c>
      <c r="G121" s="2">
        <f>G11/'Output-Calculation-sheet'!G10*'Output-Calculation-sheet'!G100</f>
        <v>21111521639.564411</v>
      </c>
      <c r="H121" s="2">
        <f>H11/'Output-Calculation-sheet'!H10*'Output-Calculation-sheet'!H100</f>
        <v>0</v>
      </c>
      <c r="I121" s="2">
        <f>I11/'Output-Calculation-sheet'!I10*'Output-Calculation-sheet'!I100</f>
        <v>19234630715.262825</v>
      </c>
      <c r="J121" s="2">
        <f>J11/'Output-Calculation-sheet'!J10*'Output-Calculation-sheet'!J100</f>
        <v>18721843599.09306</v>
      </c>
      <c r="K121" s="2">
        <f>K11/'Output-Calculation-sheet'!K10*'Output-Calculation-sheet'!K100</f>
        <v>18542833333.194157</v>
      </c>
      <c r="L121" s="2">
        <f>L11/'Output-Calculation-sheet'!L10*'Output-Calculation-sheet'!L100</f>
        <v>13938119378.520847</v>
      </c>
      <c r="M121" s="2">
        <f>M11/'Output-Calculation-sheet'!M10*'Output-Calculation-sheet'!M100</f>
        <v>9.9582241017778167E-7</v>
      </c>
      <c r="N121" s="2">
        <f>N11/'Output-Calculation-sheet'!N10*'Output-Calculation-sheet'!N100</f>
        <v>4111817868.5485687</v>
      </c>
      <c r="O121" s="2">
        <f>O11/'Output-Calculation-sheet'!O10*'Output-Calculation-sheet'!O100</f>
        <v>0</v>
      </c>
      <c r="P121" s="2">
        <f>P11/'Output-Calculation-sheet'!P10*'Output-Calculation-sheet'!P100</f>
        <v>12694018845.551077</v>
      </c>
      <c r="Q121" s="2">
        <f>Q11/'Output-Calculation-sheet'!Q10*'Output-Calculation-sheet'!Q100</f>
        <v>10519606205.876535</v>
      </c>
      <c r="R121" s="2">
        <f>R11/'Output-Calculation-sheet'!R10*'Output-Calculation-sheet'!R100</f>
        <v>12014980651.404175</v>
      </c>
      <c r="S121" s="2">
        <f>S11/'Output-Calculation-sheet'!S10*'Output-Calculation-sheet'!S100</f>
        <v>3172300542.6085129</v>
      </c>
      <c r="T121" s="2">
        <f>T11/'Output-Calculation-sheet'!T10*'Output-Calculation-sheet'!T100</f>
        <v>4416703844.0389328</v>
      </c>
      <c r="U121" s="2">
        <f>U11/'Output-Calculation-sheet'!U10*'Output-Calculation-sheet'!U100</f>
        <v>3722115072.051939</v>
      </c>
      <c r="V121" s="2">
        <f>V11/'Output-Calculation-sheet'!V10*'Output-Calculation-sheet'!V100</f>
        <v>2963152517.7340569</v>
      </c>
      <c r="W121" s="2">
        <f>W11/'Output-Calculation-sheet'!W10*'Output-Calculation-sheet'!W100</f>
        <v>2564783035.0729847</v>
      </c>
      <c r="X121" s="2">
        <f>X11/'Output-Calculation-sheet'!X10*'Output-Calculation-sheet'!X100</f>
        <v>98773486.753436953</v>
      </c>
      <c r="Y121" s="2">
        <f>Y11/'Output-Calculation-sheet'!Y10*'Output-Calculation-sheet'!Y100</f>
        <v>1434793689.6677084</v>
      </c>
      <c r="AA121" s="2">
        <f t="shared" si="10"/>
        <v>368653.69626281934</v>
      </c>
    </row>
    <row r="122" spans="1:27" x14ac:dyDescent="0.25">
      <c r="A122" s="2">
        <v>2035</v>
      </c>
      <c r="B122" s="2">
        <f>B12/'Output-Calculation-sheet'!B11*'Output-Calculation-sheet'!B101</f>
        <v>90745220197.627167</v>
      </c>
      <c r="C122" s="2">
        <f>C12/'Output-Calculation-sheet'!C11*'Output-Calculation-sheet'!C101</f>
        <v>0</v>
      </c>
      <c r="D122" s="2">
        <f>D12/'Output-Calculation-sheet'!D11*'Output-Calculation-sheet'!D101</f>
        <v>63502062153.232269</v>
      </c>
      <c r="E122" s="2">
        <f>E12/'Output-Calculation-sheet'!E11*'Output-Calculation-sheet'!E101</f>
        <v>49315114951.991524</v>
      </c>
      <c r="F122" s="2">
        <f>F12/'Output-Calculation-sheet'!F11*'Output-Calculation-sheet'!F101</f>
        <v>33596088004.842957</v>
      </c>
      <c r="G122" s="2">
        <f>G12/'Output-Calculation-sheet'!G11*'Output-Calculation-sheet'!G101</f>
        <v>22763966257.690144</v>
      </c>
      <c r="H122" s="2">
        <f>H12/'Output-Calculation-sheet'!H11*'Output-Calculation-sheet'!H101</f>
        <v>0</v>
      </c>
      <c r="I122" s="2">
        <f>I12/'Output-Calculation-sheet'!I11*'Output-Calculation-sheet'!I101</f>
        <v>20887724007.053223</v>
      </c>
      <c r="J122" s="2">
        <f>J12/'Output-Calculation-sheet'!J11*'Output-Calculation-sheet'!J101</f>
        <v>20910527539.634087</v>
      </c>
      <c r="K122" s="2">
        <f>K12/'Output-Calculation-sheet'!K11*'Output-Calculation-sheet'!K101</f>
        <v>20529398161.442596</v>
      </c>
      <c r="L122" s="2">
        <f>L12/'Output-Calculation-sheet'!L11*'Output-Calculation-sheet'!L101</f>
        <v>14872214371.554783</v>
      </c>
      <c r="M122" s="2">
        <f>M12/'Output-Calculation-sheet'!M11*'Output-Calculation-sheet'!M101</f>
        <v>0</v>
      </c>
      <c r="N122" s="2">
        <f>N12/'Output-Calculation-sheet'!N11*'Output-Calculation-sheet'!N101</f>
        <v>4330351879.084487</v>
      </c>
      <c r="O122" s="2">
        <f>O12/'Output-Calculation-sheet'!O11*'Output-Calculation-sheet'!O101</f>
        <v>0</v>
      </c>
      <c r="P122" s="2">
        <f>P12/'Output-Calculation-sheet'!P11*'Output-Calculation-sheet'!P101</f>
        <v>13805191985.167955</v>
      </c>
      <c r="Q122" s="2">
        <f>Q12/'Output-Calculation-sheet'!Q11*'Output-Calculation-sheet'!Q101</f>
        <v>11160788098.003637</v>
      </c>
      <c r="R122" s="2">
        <f>R12/'Output-Calculation-sheet'!R11*'Output-Calculation-sheet'!R101</f>
        <v>13674083422.103872</v>
      </c>
      <c r="S122" s="2">
        <f>S12/'Output-Calculation-sheet'!S11*'Output-Calculation-sheet'!S101</f>
        <v>3270811754.2174478</v>
      </c>
      <c r="T122" s="2">
        <f>T12/'Output-Calculation-sheet'!T11*'Output-Calculation-sheet'!T101</f>
        <v>5102704428.9395227</v>
      </c>
      <c r="U122" s="2">
        <f>U12/'Output-Calculation-sheet'!U11*'Output-Calculation-sheet'!U101</f>
        <v>4030073099.1072931</v>
      </c>
      <c r="V122" s="2">
        <f>V12/'Output-Calculation-sheet'!V11*'Output-Calculation-sheet'!V101</f>
        <v>3509258190.2262406</v>
      </c>
      <c r="W122" s="2">
        <f>W12/'Output-Calculation-sheet'!W11*'Output-Calculation-sheet'!W101</f>
        <v>2957509544.263772</v>
      </c>
      <c r="X122" s="2">
        <f>X12/'Output-Calculation-sheet'!X11*'Output-Calculation-sheet'!X101</f>
        <v>104278157.75654505</v>
      </c>
      <c r="Y122" s="2">
        <f>Y12/'Output-Calculation-sheet'!Y11*'Output-Calculation-sheet'!Y101</f>
        <v>1562285714.5361094</v>
      </c>
      <c r="AA122" s="2">
        <f t="shared" si="10"/>
        <v>400629.65191847569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58153664122.373093</v>
      </c>
      <c r="C129" s="2">
        <f>C8/'Output-Calculation-sheet'!C7*'Output-Calculation-sheet'!C106</f>
        <v>34084931382.013828</v>
      </c>
      <c r="D129" s="2">
        <f>D8/'Output-Calculation-sheet'!D7*'Output-Calculation-sheet'!D106</f>
        <v>24425208586.777317</v>
      </c>
      <c r="E129" s="2">
        <f>E8/'Output-Calculation-sheet'!E7*'Output-Calculation-sheet'!E106</f>
        <v>19378924421.638519</v>
      </c>
      <c r="F129" s="2">
        <f>F8/'Output-Calculation-sheet'!F7*'Output-Calculation-sheet'!F106</f>
        <v>12474909056.179579</v>
      </c>
      <c r="G129" s="2">
        <f>G8/'Output-Calculation-sheet'!G7*'Output-Calculation-sheet'!G106</f>
        <v>8765213467.5099926</v>
      </c>
      <c r="H129" s="2">
        <f>H8/'Output-Calculation-sheet'!H7*'Output-Calculation-sheet'!H106</f>
        <v>8550129269.2061653</v>
      </c>
      <c r="I129" s="2">
        <f>I8/'Output-Calculation-sheet'!I7*'Output-Calculation-sheet'!I106</f>
        <v>7985799441.9733725</v>
      </c>
      <c r="J129" s="2">
        <f>J8/'Output-Calculation-sheet'!J7*'Output-Calculation-sheet'!J106</f>
        <v>7772827148.4636946</v>
      </c>
      <c r="K129" s="2">
        <f>K8/'Output-Calculation-sheet'!K7*'Output-Calculation-sheet'!K106</f>
        <v>7698309148.3849058</v>
      </c>
      <c r="L129" s="2">
        <f>L8/'Output-Calculation-sheet'!L7*'Output-Calculation-sheet'!L106</f>
        <v>6175683698.1889868</v>
      </c>
      <c r="M129" s="2">
        <f>M8/'Output-Calculation-sheet'!M7*'Output-Calculation-sheet'!M106</f>
        <v>5898843854.4710102</v>
      </c>
      <c r="N129" s="2">
        <f>N8/'Output-Calculation-sheet'!N7*'Output-Calculation-sheet'!N106</f>
        <v>5789699328.5872002</v>
      </c>
      <c r="O129" s="2">
        <f>O8/'Output-Calculation-sheet'!O7*'Output-Calculation-sheet'!O106</f>
        <v>7425755769.7781353</v>
      </c>
      <c r="P129" s="2">
        <f>P8/'Output-Calculation-sheet'!P7*'Output-Calculation-sheet'!P106</f>
        <v>5270627631.7024298</v>
      </c>
      <c r="Q129" s="2">
        <f>Q8/'Output-Calculation-sheet'!Q7*'Output-Calculation-sheet'!Q106</f>
        <v>5185444788.1259518</v>
      </c>
      <c r="R129" s="2">
        <f>R8/'Output-Calculation-sheet'!R7*'Output-Calculation-sheet'!R106</f>
        <v>4988636366.2094669</v>
      </c>
      <c r="S129" s="2">
        <f>S8/'Output-Calculation-sheet'!S7*'Output-Calculation-sheet'!S106</f>
        <v>3315703285.2568626</v>
      </c>
      <c r="T129" s="2">
        <f>T8/'Output-Calculation-sheet'!T7*'Output-Calculation-sheet'!T106</f>
        <v>1833780190.6336088</v>
      </c>
      <c r="U129" s="2">
        <f>U8/'Output-Calculation-sheet'!U7*'Output-Calculation-sheet'!U106</f>
        <v>1597159574.801614</v>
      </c>
      <c r="V129" s="2">
        <f>V8/'Output-Calculation-sheet'!V7*'Output-Calculation-sheet'!V106</f>
        <v>1229845299.0703626</v>
      </c>
      <c r="W129" s="2">
        <f>W8/'Output-Calculation-sheet'!W7*'Output-Calculation-sheet'!W106</f>
        <v>1064773049.5416402</v>
      </c>
      <c r="X129" s="2">
        <f>X8/'Output-Calculation-sheet'!X7*'Output-Calculation-sheet'!X106</f>
        <v>638863955.35787082</v>
      </c>
      <c r="Y129" s="2">
        <f>Y8/'Output-Calculation-sheet'!Y7*'Output-Calculation-sheet'!Y106</f>
        <v>621288928.77835572</v>
      </c>
      <c r="AA129" s="2">
        <f t="shared" si="11"/>
        <v>240326.02176502394</v>
      </c>
    </row>
    <row r="130" spans="1:27" x14ac:dyDescent="0.25">
      <c r="A130" s="2">
        <v>2032</v>
      </c>
      <c r="B130" s="2">
        <f>B9/'Output-Calculation-sheet'!B8*'Output-Calculation-sheet'!B107</f>
        <v>50020964504.740135</v>
      </c>
      <c r="C130" s="2">
        <f>C9/'Output-Calculation-sheet'!C8*'Output-Calculation-sheet'!C107</f>
        <v>37617114999.144722</v>
      </c>
      <c r="D130" s="2">
        <f>D9/'Output-Calculation-sheet'!D8*'Output-Calculation-sheet'!D107</f>
        <v>21009375625.506664</v>
      </c>
      <c r="E130" s="2">
        <f>E9/'Output-Calculation-sheet'!E8*'Output-Calculation-sheet'!E107</f>
        <v>16668805415.682114</v>
      </c>
      <c r="F130" s="2">
        <f>F9/'Output-Calculation-sheet'!F8*'Output-Calculation-sheet'!F107</f>
        <v>10730313737.303335</v>
      </c>
      <c r="G130" s="2">
        <f>G9/'Output-Calculation-sheet'!G8*'Output-Calculation-sheet'!G107</f>
        <v>7539412958.5374918</v>
      </c>
      <c r="H130" s="2">
        <f>H9/'Output-Calculation-sheet'!H8*'Output-Calculation-sheet'!H107</f>
        <v>7354406011.659441</v>
      </c>
      <c r="I130" s="2">
        <f>I9/'Output-Calculation-sheet'!I8*'Output-Calculation-sheet'!I107</f>
        <v>6868997780.7119188</v>
      </c>
      <c r="J130" s="2">
        <f>J9/'Output-Calculation-sheet'!J8*'Output-Calculation-sheet'!J107</f>
        <v>6685806724.3577528</v>
      </c>
      <c r="K130" s="2">
        <f>K9/'Output-Calculation-sheet'!K8*'Output-Calculation-sheet'!K107</f>
        <v>6621711707.2606993</v>
      </c>
      <c r="L130" s="2">
        <f>L9/'Output-Calculation-sheet'!L8*'Output-Calculation-sheet'!L107</f>
        <v>5312023922.3563251</v>
      </c>
      <c r="M130" s="2">
        <f>M9/'Output-Calculation-sheet'!M8*'Output-Calculation-sheet'!M107</f>
        <v>5073900350.6838808</v>
      </c>
      <c r="N130" s="2">
        <f>N9/'Output-Calculation-sheet'!N8*'Output-Calculation-sheet'!N107</f>
        <v>4980016290.6225262</v>
      </c>
      <c r="O130" s="2">
        <f>O9/'Output-Calculation-sheet'!O8*'Output-Calculation-sheet'!O107</f>
        <v>8191618350.8624439</v>
      </c>
      <c r="P130" s="2">
        <f>P9/'Output-Calculation-sheet'!P8*'Output-Calculation-sheet'!P107</f>
        <v>4533537358.1213913</v>
      </c>
      <c r="Q130" s="2">
        <f>Q9/'Output-Calculation-sheet'!Q8*'Output-Calculation-sheet'!Q107</f>
        <v>4460269497.5623636</v>
      </c>
      <c r="R130" s="2">
        <f>R9/'Output-Calculation-sheet'!R8*'Output-Calculation-sheet'!R107</f>
        <v>4290983876.8716407</v>
      </c>
      <c r="S130" s="2">
        <f>S9/'Output-Calculation-sheet'!S8*'Output-Calculation-sheet'!S107</f>
        <v>2852007327.4953227</v>
      </c>
      <c r="T130" s="2">
        <f>T9/'Output-Calculation-sheet'!T8*'Output-Calculation-sheet'!T107</f>
        <v>1577328880.2353041</v>
      </c>
      <c r="U130" s="2">
        <f>U9/'Output-Calculation-sheet'!U8*'Output-Calculation-sheet'!U107</f>
        <v>1373799109.7754474</v>
      </c>
      <c r="V130" s="2">
        <f>V9/'Output-Calculation-sheet'!V8*'Output-Calculation-sheet'!V107</f>
        <v>1057852790.220484</v>
      </c>
      <c r="W130" s="2">
        <f>W9/'Output-Calculation-sheet'!W8*'Output-Calculation-sheet'!W107</f>
        <v>915866313.04381883</v>
      </c>
      <c r="X130" s="2">
        <f>X9/'Output-Calculation-sheet'!X8*'Output-Calculation-sheet'!X107</f>
        <v>549519680.00404978</v>
      </c>
      <c r="Y130" s="2">
        <f>Y9/'Output-Calculation-sheet'!Y8*'Output-Calculation-sheet'!Y107</f>
        <v>534402498.07774287</v>
      </c>
      <c r="AA130" s="2">
        <f t="shared" si="11"/>
        <v>216820.03571083708</v>
      </c>
    </row>
    <row r="131" spans="1:27" x14ac:dyDescent="0.25">
      <c r="A131" s="2">
        <v>2033</v>
      </c>
      <c r="B131" s="2">
        <f>B10/'Output-Calculation-sheet'!B9*'Output-Calculation-sheet'!B108</f>
        <v>36936830569.466759</v>
      </c>
      <c r="C131" s="2">
        <f>C10/'Output-Calculation-sheet'!C9*'Output-Calculation-sheet'!C108</f>
        <v>38651707801.428307</v>
      </c>
      <c r="D131" s="2">
        <f>D10/'Output-Calculation-sheet'!D9*'Output-Calculation-sheet'!D108</f>
        <v>15513894183.01647</v>
      </c>
      <c r="E131" s="2">
        <f>E10/'Output-Calculation-sheet'!E9*'Output-Calculation-sheet'!E108</f>
        <v>12308695923.04261</v>
      </c>
      <c r="F131" s="2">
        <f>F10/'Output-Calculation-sheet'!F9*'Output-Calculation-sheet'!F108</f>
        <v>7923549258.9398327</v>
      </c>
      <c r="G131" s="2">
        <f>G10/'Output-Calculation-sheet'!G9*'Output-Calculation-sheet'!G108</f>
        <v>5567303165.2711449</v>
      </c>
      <c r="H131" s="2">
        <f>H10/'Output-Calculation-sheet'!H9*'Output-Calculation-sheet'!H108</f>
        <v>5430690526.8619099</v>
      </c>
      <c r="I131" s="2">
        <f>I10/'Output-Calculation-sheet'!I9*'Output-Calculation-sheet'!I108</f>
        <v>5072253382.5036163</v>
      </c>
      <c r="J131" s="2">
        <f>J10/'Output-Calculation-sheet'!J9*'Output-Calculation-sheet'!J108</f>
        <v>4936980182.7588043</v>
      </c>
      <c r="K131" s="2">
        <f>K10/'Output-Calculation-sheet'!K9*'Output-Calculation-sheet'!K108</f>
        <v>4889649413.3204918</v>
      </c>
      <c r="L131" s="2">
        <f>L10/'Output-Calculation-sheet'!L9*'Output-Calculation-sheet'!L108</f>
        <v>3922541867.3188596</v>
      </c>
      <c r="M131" s="2">
        <f>M10/'Output-Calculation-sheet'!M9*'Output-Calculation-sheet'!M108</f>
        <v>3746703053.4016204</v>
      </c>
      <c r="N131" s="2">
        <f>N10/'Output-Calculation-sheet'!N9*'Output-Calculation-sheet'!N108</f>
        <v>3677377513.5919299</v>
      </c>
      <c r="O131" s="2">
        <f>O10/'Output-Calculation-sheet'!O9*'Output-Calculation-sheet'!O108</f>
        <v>8708994571.2285366</v>
      </c>
      <c r="P131" s="2">
        <f>P10/'Output-Calculation-sheet'!P9*'Output-Calculation-sheet'!P108</f>
        <v>3347687257.6940699</v>
      </c>
      <c r="Q131" s="2">
        <f>Q10/'Output-Calculation-sheet'!Q9*'Output-Calculation-sheet'!Q108</f>
        <v>3293582550.2782583</v>
      </c>
      <c r="R131" s="2">
        <f>R10/'Output-Calculation-sheet'!R9*'Output-Calculation-sheet'!R108</f>
        <v>3168576684.9754186</v>
      </c>
      <c r="S131" s="2">
        <f>S10/'Output-Calculation-sheet'!S9*'Output-Calculation-sheet'!S108</f>
        <v>2105999200.5497954</v>
      </c>
      <c r="T131" s="2">
        <f>T10/'Output-Calculation-sheet'!T9*'Output-Calculation-sheet'!T108</f>
        <v>1164741313.1937315</v>
      </c>
      <c r="U131" s="2">
        <f>U10/'Output-Calculation-sheet'!U9*'Output-Calculation-sheet'!U108</f>
        <v>1014450086.0356262</v>
      </c>
      <c r="V131" s="2">
        <f>V10/'Output-Calculation-sheet'!V9*'Output-Calculation-sheet'!V108</f>
        <v>781146855.03589094</v>
      </c>
      <c r="W131" s="2">
        <f>W10/'Output-Calculation-sheet'!W9*'Output-Calculation-sheet'!W108</f>
        <v>676300057.1499573</v>
      </c>
      <c r="X131" s="2">
        <f>X10/'Output-Calculation-sheet'!X9*'Output-Calculation-sheet'!X108</f>
        <v>405779955.02716047</v>
      </c>
      <c r="Y131" s="2">
        <f>Y10/'Output-Calculation-sheet'!Y9*'Output-Calculation-sheet'!Y108</f>
        <v>394617026.40052903</v>
      </c>
      <c r="AA131" s="2">
        <f t="shared" si="11"/>
        <v>173640.05239849133</v>
      </c>
    </row>
    <row r="132" spans="1:27" x14ac:dyDescent="0.25">
      <c r="A132" s="2">
        <v>2034</v>
      </c>
      <c r="B132" s="2">
        <f>B11/'Output-Calculation-sheet'!B10*'Output-Calculation-sheet'!B109</f>
        <v>20010582335.918674</v>
      </c>
      <c r="C132" s="2">
        <f>C11/'Output-Calculation-sheet'!C10*'Output-Calculation-sheet'!C109</f>
        <v>36999385369.258629</v>
      </c>
      <c r="D132" s="2">
        <f>D11/'Output-Calculation-sheet'!D10*'Output-Calculation-sheet'!D109</f>
        <v>8404675009.0881243</v>
      </c>
      <c r="E132" s="2">
        <f>E11/'Output-Calculation-sheet'!E10*'Output-Calculation-sheet'!E109</f>
        <v>6668256218.9402723</v>
      </c>
      <c r="F132" s="2">
        <f>F11/'Output-Calculation-sheet'!F10*'Output-Calculation-sheet'!F109</f>
        <v>4292595816.1897979</v>
      </c>
      <c r="G132" s="2">
        <f>G11/'Output-Calculation-sheet'!G10*'Output-Calculation-sheet'!G109</f>
        <v>3016096098.9240093</v>
      </c>
      <c r="H132" s="2">
        <f>H11/'Output-Calculation-sheet'!H10*'Output-Calculation-sheet'!H109</f>
        <v>3574184120.9725337</v>
      </c>
      <c r="I132" s="2">
        <f>I11/'Output-Calculation-sheet'!I10*'Output-Calculation-sheet'!I109</f>
        <v>2747900747.2986989</v>
      </c>
      <c r="J132" s="2">
        <f>J11/'Output-Calculation-sheet'!J10*'Output-Calculation-sheet'!J109</f>
        <v>2674616697.6449018</v>
      </c>
      <c r="K132" s="2">
        <f>K11/'Output-Calculation-sheet'!K10*'Output-Calculation-sheet'!K109</f>
        <v>2648976011.8778172</v>
      </c>
      <c r="L132" s="2">
        <f>L11/'Output-Calculation-sheet'!L10*'Output-Calculation-sheet'!L109</f>
        <v>2125043163.4791837</v>
      </c>
      <c r="M132" s="2">
        <f>M11/'Output-Calculation-sheet'!M10*'Output-Calculation-sheet'!M109</f>
        <v>2029782528.7564688</v>
      </c>
      <c r="N132" s="2">
        <f>N11/'Output-Calculation-sheet'!N10*'Output-Calculation-sheet'!N109</f>
        <v>1992225921.3915772</v>
      </c>
      <c r="O132" s="2">
        <f>O11/'Output-Calculation-sheet'!O10*'Output-Calculation-sheet'!O109</f>
        <v>8781108245.6092091</v>
      </c>
      <c r="P132" s="2">
        <f>P11/'Output-Calculation-sheet'!P10*'Output-Calculation-sheet'!P109</f>
        <v>1813614495.9520872</v>
      </c>
      <c r="Q132" s="2">
        <f>Q11/'Output-Calculation-sheet'!Q10*'Output-Calculation-sheet'!Q109</f>
        <v>2233581644.6562562</v>
      </c>
      <c r="R132" s="2">
        <f>R11/'Output-Calculation-sheet'!R10*'Output-Calculation-sheet'!R109</f>
        <v>1716581888.0770924</v>
      </c>
      <c r="S132" s="2">
        <f>S11/'Output-Calculation-sheet'!S10*'Output-Calculation-sheet'!S109</f>
        <v>1140928346.5194361</v>
      </c>
      <c r="T132" s="2">
        <f>T11/'Output-Calculation-sheet'!T10*'Output-Calculation-sheet'!T109</f>
        <v>631000716.67935348</v>
      </c>
      <c r="U132" s="2">
        <f>U11/'Output-Calculation-sheet'!U10*'Output-Calculation-sheet'!U109</f>
        <v>694038193.56458867</v>
      </c>
      <c r="V132" s="2">
        <f>V11/'Output-Calculation-sheet'!V10*'Output-Calculation-sheet'!V109</f>
        <v>423187657.40024596</v>
      </c>
      <c r="W132" s="2">
        <f>W11/'Output-Calculation-sheet'!W10*'Output-Calculation-sheet'!W109</f>
        <v>366386723.63265979</v>
      </c>
      <c r="X132" s="2">
        <f>X11/'Output-Calculation-sheet'!X10*'Output-Calculation-sheet'!X109</f>
        <v>290926855.64032227</v>
      </c>
      <c r="Y132" s="2">
        <f>Y11/'Output-Calculation-sheet'!Y10*'Output-Calculation-sheet'!Y109</f>
        <v>213784488.27441221</v>
      </c>
      <c r="AA132" s="2">
        <f t="shared" si="11"/>
        <v>115489.45929574638</v>
      </c>
    </row>
    <row r="133" spans="1:27" x14ac:dyDescent="0.25">
      <c r="A133" s="2">
        <v>2035</v>
      </c>
      <c r="B133" s="2">
        <f>B12/'Output-Calculation-sheet'!B11*'Output-Calculation-sheet'!B110</f>
        <v>22835708506.456657</v>
      </c>
      <c r="C133" s="2">
        <f>C12/'Output-Calculation-sheet'!C11*'Output-Calculation-sheet'!C110</f>
        <v>29438086614.055927</v>
      </c>
      <c r="D133" s="2">
        <f>D12/'Output-Calculation-sheet'!D11*'Output-Calculation-sheet'!D110</f>
        <v>8683559975.5483856</v>
      </c>
      <c r="E133" s="2">
        <f>E12/'Output-Calculation-sheet'!E11*'Output-Calculation-sheet'!E110</f>
        <v>4286044460.740068</v>
      </c>
      <c r="F133" s="2">
        <f>F12/'Output-Calculation-sheet'!F11*'Output-Calculation-sheet'!F110</f>
        <v>3510500294.3583159</v>
      </c>
      <c r="G133" s="2">
        <f>G12/'Output-Calculation-sheet'!G11*'Output-Calculation-sheet'!G110</f>
        <v>3313047325.9402218</v>
      </c>
      <c r="H133" s="2">
        <f>H12/'Output-Calculation-sheet'!H11*'Output-Calculation-sheet'!H110</f>
        <v>3614987437.020617</v>
      </c>
      <c r="I133" s="2">
        <f>I12/'Output-Calculation-sheet'!I11*'Output-Calculation-sheet'!I110</f>
        <v>2843543411.1719055</v>
      </c>
      <c r="J133" s="2">
        <f>J12/'Output-Calculation-sheet'!J11*'Output-Calculation-sheet'!J110</f>
        <v>2069047620.2302861</v>
      </c>
      <c r="K133" s="2">
        <f>K12/'Output-Calculation-sheet'!K11*'Output-Calculation-sheet'!K110</f>
        <v>2282357345.63276</v>
      </c>
      <c r="L133" s="2">
        <f>L12/'Output-Calculation-sheet'!L11*'Output-Calculation-sheet'!L110</f>
        <v>998397526.5444566</v>
      </c>
      <c r="M133" s="2">
        <f>M12/'Output-Calculation-sheet'!M11*'Output-Calculation-sheet'!M110</f>
        <v>1988437470.4212806</v>
      </c>
      <c r="N133" s="2">
        <f>N12/'Output-Calculation-sheet'!N11*'Output-Calculation-sheet'!N110</f>
        <v>1807549692.4883904</v>
      </c>
      <c r="O133" s="2">
        <f>O12/'Output-Calculation-sheet'!O11*'Output-Calculation-sheet'!O110</f>
        <v>7978631033.8602362</v>
      </c>
      <c r="P133" s="2">
        <f>P12/'Output-Calculation-sheet'!P11*'Output-Calculation-sheet'!P110</f>
        <v>1528432067.6390011</v>
      </c>
      <c r="Q133" s="2">
        <f>Q12/'Output-Calculation-sheet'!Q11*'Output-Calculation-sheet'!Q110</f>
        <v>2196661625.1899195</v>
      </c>
      <c r="R133" s="2">
        <f>R12/'Output-Calculation-sheet'!R11*'Output-Calculation-sheet'!R110</f>
        <v>1148912077.3085499</v>
      </c>
      <c r="S133" s="2">
        <f>S12/'Output-Calculation-sheet'!S11*'Output-Calculation-sheet'!S110</f>
        <v>1336265063.2784524</v>
      </c>
      <c r="T133" s="2">
        <f>T12/'Output-Calculation-sheet'!T11*'Output-Calculation-sheet'!T110</f>
        <v>319905210.43868107</v>
      </c>
      <c r="U133" s="2">
        <f>U12/'Output-Calculation-sheet'!U11*'Output-Calculation-sheet'!U110</f>
        <v>740376875.23380899</v>
      </c>
      <c r="V133" s="2">
        <f>V12/'Output-Calculation-sheet'!V11*'Output-Calculation-sheet'!V110</f>
        <v>110713289.57825348</v>
      </c>
      <c r="W133" s="2">
        <f>W12/'Output-Calculation-sheet'!W11*'Output-Calculation-sheet'!W110</f>
        <v>221788427.69813678</v>
      </c>
      <c r="X133" s="2">
        <f>X12/'Output-Calculation-sheet'!X11*'Output-Calculation-sheet'!X110</f>
        <v>308455588.07545215</v>
      </c>
      <c r="Y133" s="2">
        <f>Y12/'Output-Calculation-sheet'!Y11*'Output-Calculation-sheet'!Y110</f>
        <v>217803967.90407836</v>
      </c>
      <c r="AA133" s="2">
        <f t="shared" si="11"/>
        <v>103779.21290681386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1294.6230395991481</v>
      </c>
      <c r="C19" s="2">
        <f>C8/'Output-Calculation-sheet'!C7*'Output-Calculation-sheet'!C25</f>
        <v>14814.616869830812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5808.3852483264691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4035.1091482534034</v>
      </c>
      <c r="N19" s="2">
        <f>N8/'Output-Calculation-sheet'!N7*'Output-Calculation-sheet'!N25</f>
        <v>1381.7779998442104</v>
      </c>
      <c r="O19" s="2">
        <f>O8/'Output-Calculation-sheet'!O7*'Output-Calculation-sheet'!O25</f>
        <v>2277.5300942037502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493.0402033353638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451.35614856390498</v>
      </c>
      <c r="Y19" s="2">
        <f>Y8/'Output-Calculation-sheet'!Y7*'Output-Calculation-sheet'!Y25</f>
        <v>0</v>
      </c>
      <c r="AA19" s="2">
        <f t="shared" si="0"/>
        <v>30.55643875195706</v>
      </c>
    </row>
    <row r="20" spans="1:27" x14ac:dyDescent="0.25">
      <c r="A20" s="2">
        <v>2032</v>
      </c>
      <c r="B20" s="2">
        <f>B9/'Output-Calculation-sheet'!B8*'Output-Calculation-sheet'!B26</f>
        <v>7672.4578833559808</v>
      </c>
      <c r="C20" s="2">
        <f>C9/'Output-Calculation-sheet'!C8*'Output-Calculation-sheet'!C26</f>
        <v>18144.967003719394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8336.2757557365385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5800.1196428213889</v>
      </c>
      <c r="N20" s="2">
        <f>N9/'Output-Calculation-sheet'!N8*'Output-Calculation-sheet'!N26</f>
        <v>2617.4899617842839</v>
      </c>
      <c r="O20" s="2">
        <f>O9/'Output-Calculation-sheet'!O8*'Output-Calculation-sheet'!O26</f>
        <v>2874.8123277666509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946.4071822897223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648.89093322921622</v>
      </c>
      <c r="Y20" s="2">
        <f>Y9/'Output-Calculation-sheet'!Y8*'Output-Calculation-sheet'!Y26</f>
        <v>0</v>
      </c>
      <c r="AA20" s="2">
        <f t="shared" si="0"/>
        <v>47.041420690703177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22307.654928629963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11115.894662353494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7720.0974154126188</v>
      </c>
      <c r="N21" s="2">
        <f>N10/'Output-Calculation-sheet'!N9*'Output-Calculation-sheet'!N27</f>
        <v>4222.7997879737213</v>
      </c>
      <c r="O21" s="2">
        <f>O10/'Output-Calculation-sheet'!O9*'Output-Calculation-sheet'!O27</f>
        <v>3424.4990104794279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1838.4250637339326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907.88305009325052</v>
      </c>
      <c r="Y21" s="2">
        <f>Y10/'Output-Calculation-sheet'!Y9*'Output-Calculation-sheet'!Y27</f>
        <v>0</v>
      </c>
      <c r="AA21" s="2">
        <f t="shared" si="0"/>
        <v>71.051786452183961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27848.994480519399</v>
      </c>
      <c r="D22" s="2">
        <f>D11/'Output-Calculation-sheet'!D10*'Output-Calculation-sheet'!D28</f>
        <v>0</v>
      </c>
      <c r="E22" s="2">
        <f>E11/'Output-Calculation-sheet'!E10*'Output-Calculation-sheet'!E28</f>
        <v>2057.6795468258283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14668.442222278169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1206.3974792400209</v>
      </c>
      <c r="M22" s="2">
        <f>M11/'Output-Calculation-sheet'!M10*'Output-Calculation-sheet'!M28</f>
        <v>10966.076376102748</v>
      </c>
      <c r="N22" s="2">
        <f>N11/'Output-Calculation-sheet'!N10*'Output-Calculation-sheet'!N28</f>
        <v>6311.0380390407436</v>
      </c>
      <c r="O22" s="2">
        <f>O11/'Output-Calculation-sheet'!O10*'Output-Calculation-sheet'!O28</f>
        <v>4193.195302215674</v>
      </c>
      <c r="P22" s="2">
        <f>P11/'Output-Calculation-sheet'!P10*'Output-Calculation-sheet'!P28</f>
        <v>0</v>
      </c>
      <c r="Q22" s="2">
        <f>Q11/'Output-Calculation-sheet'!Q10*'Output-Calculation-sheet'!Q28</f>
        <v>1822.7725498807354</v>
      </c>
      <c r="R22" s="2">
        <f>R11/'Output-Calculation-sheet'!R10*'Output-Calculation-sheet'!R28</f>
        <v>0</v>
      </c>
      <c r="S22" s="2">
        <f>S11/'Output-Calculation-sheet'!S10*'Output-Calculation-sheet'!S28</f>
        <v>3200.5929665526915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1056.1541894803852</v>
      </c>
      <c r="Y22" s="2">
        <f>Y11/'Output-Calculation-sheet'!Y10*'Output-Calculation-sheet'!Y28</f>
        <v>110.20969636131809</v>
      </c>
      <c r="AA22" s="2">
        <f t="shared" si="0"/>
        <v>113.06003474803737</v>
      </c>
    </row>
    <row r="23" spans="1:27" x14ac:dyDescent="0.25">
      <c r="A23" s="2">
        <v>2035</v>
      </c>
      <c r="B23" s="2">
        <f>B12/'Output-Calculation-sheet'!B11*'Output-Calculation-sheet'!B29</f>
        <v>43495.413756781818</v>
      </c>
      <c r="C23" s="2">
        <f>C12/'Output-Calculation-sheet'!C11*'Output-Calculation-sheet'!C29</f>
        <v>36955.417673690754</v>
      </c>
      <c r="D23" s="2">
        <f>D12/'Output-Calculation-sheet'!D11*'Output-Calculation-sheet'!D29</f>
        <v>0</v>
      </c>
      <c r="E23" s="2">
        <f>E12/'Output-Calculation-sheet'!E11*'Output-Calculation-sheet'!E29</f>
        <v>7316.5277846641065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16041.02669088221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2647.6514038623964</v>
      </c>
      <c r="M23" s="2">
        <f>M12/'Output-Calculation-sheet'!M11*'Output-Calculation-sheet'!M29</f>
        <v>12159.695879005818</v>
      </c>
      <c r="N23" s="2">
        <f>N12/'Output-Calculation-sheet'!N11*'Output-Calculation-sheet'!N29</f>
        <v>7160.5025582649705</v>
      </c>
      <c r="O23" s="2">
        <f>O12/'Output-Calculation-sheet'!O11*'Output-Calculation-sheet'!O29</f>
        <v>5536.964815869118</v>
      </c>
      <c r="P23" s="2">
        <f>P12/'Output-Calculation-sheet'!P11*'Output-Calculation-sheet'!P29</f>
        <v>845.02766691352224</v>
      </c>
      <c r="Q23" s="2">
        <f>Q12/'Output-Calculation-sheet'!Q11*'Output-Calculation-sheet'!Q29</f>
        <v>2259.8425609586852</v>
      </c>
      <c r="R23" s="2">
        <f>R12/'Output-Calculation-sheet'!R11*'Output-Calculation-sheet'!R29</f>
        <v>0</v>
      </c>
      <c r="S23" s="2">
        <f>S12/'Output-Calculation-sheet'!S11*'Output-Calculation-sheet'!S29</f>
        <v>3442.8313839962843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1139.8742031394911</v>
      </c>
      <c r="Y23" s="2">
        <f>Y12/'Output-Calculation-sheet'!Y11*'Output-Calculation-sheet'!Y29</f>
        <v>160.88262245885051</v>
      </c>
      <c r="AA23" s="2">
        <f t="shared" si="0"/>
        <v>139.16165900048804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22564.859026635757</v>
      </c>
      <c r="C30" s="2">
        <f>C8/'Output-Calculation-sheet'!C7*'Output-Calculation-sheet'!C16</f>
        <v>0</v>
      </c>
      <c r="D30" s="2">
        <f>D8/'Output-Calculation-sheet'!D7*'Output-Calculation-sheet'!D16</f>
        <v>3799.623960432617</v>
      </c>
      <c r="E30" s="2">
        <f>E8/'Output-Calculation-sheet'!E7*'Output-Calculation-sheet'!E16</f>
        <v>4088.1807108105804</v>
      </c>
      <c r="F30" s="2">
        <f>F8/'Output-Calculation-sheet'!F7*'Output-Calculation-sheet'!F16</f>
        <v>2062.5089229262348</v>
      </c>
      <c r="G30" s="2">
        <f>G8/'Output-Calculation-sheet'!G7*'Output-Calculation-sheet'!G16</f>
        <v>1350.698376999994</v>
      </c>
      <c r="H30" s="2">
        <f>H8/'Output-Calculation-sheet'!H7*'Output-Calculation-sheet'!H16</f>
        <v>0</v>
      </c>
      <c r="I30" s="2">
        <f>I8/'Output-Calculation-sheet'!I7*'Output-Calculation-sheet'!I16</f>
        <v>1316.7286757394716</v>
      </c>
      <c r="J30" s="2">
        <f>J8/'Output-Calculation-sheet'!J7*'Output-Calculation-sheet'!J16</f>
        <v>1172.1417070144612</v>
      </c>
      <c r="K30" s="2">
        <f>K8/'Output-Calculation-sheet'!K7*'Output-Calculation-sheet'!K16</f>
        <v>1565.0332218055153</v>
      </c>
      <c r="L30" s="2">
        <f>L8/'Output-Calculation-sheet'!L7*'Output-Calculation-sheet'!L16</f>
        <v>1321.9442597099953</v>
      </c>
      <c r="M30" s="2">
        <f>M8/'Output-Calculation-sheet'!M7*'Output-Calculation-sheet'!M16</f>
        <v>0</v>
      </c>
      <c r="N30" s="2">
        <f>N8/'Output-Calculation-sheet'!N7*'Output-Calculation-sheet'!N16</f>
        <v>1877.7104487373672</v>
      </c>
      <c r="O30" s="2">
        <f>O8/'Output-Calculation-sheet'!O7*'Output-Calculation-sheet'!O16</f>
        <v>0</v>
      </c>
      <c r="P30" s="2">
        <f>P8/'Output-Calculation-sheet'!P7*'Output-Calculation-sheet'!P16</f>
        <v>1687.6245387250767</v>
      </c>
      <c r="Q30" s="2">
        <f>Q8/'Output-Calculation-sheet'!Q7*'Output-Calculation-sheet'!Q16</f>
        <v>1855.8296379960764</v>
      </c>
      <c r="R30" s="2">
        <f>R8/'Output-Calculation-sheet'!R7*'Output-Calculation-sheet'!R16</f>
        <v>1177.5319714570146</v>
      </c>
      <c r="S30" s="2">
        <f>S8/'Output-Calculation-sheet'!S7*'Output-Calculation-sheet'!S16</f>
        <v>1184.251872500002</v>
      </c>
      <c r="T30" s="2">
        <f>T8/'Output-Calculation-sheet'!T7*'Output-Calculation-sheet'!T16</f>
        <v>353.47817170341301</v>
      </c>
      <c r="U30" s="2">
        <f>U8/'Output-Calculation-sheet'!U7*'Output-Calculation-sheet'!U16</f>
        <v>352.84633843488865</v>
      </c>
      <c r="V30" s="2">
        <f>V8/'Output-Calculation-sheet'!V7*'Output-Calculation-sheet'!V16</f>
        <v>274.61359813412753</v>
      </c>
      <c r="W30" s="2">
        <f>W8/'Output-Calculation-sheet'!W7*'Output-Calculation-sheet'!W16</f>
        <v>166.56699123622346</v>
      </c>
      <c r="X30" s="2">
        <f>X8/'Output-Calculation-sheet'!X7*'Output-Calculation-sheet'!X16</f>
        <v>0</v>
      </c>
      <c r="Y30" s="2">
        <f>Y8/'Output-Calculation-sheet'!Y7*'Output-Calculation-sheet'!Y16</f>
        <v>140.98002152212112</v>
      </c>
      <c r="AA30" s="2">
        <f t="shared" si="1"/>
        <v>48.313152452520924</v>
      </c>
    </row>
    <row r="31" spans="1:27" x14ac:dyDescent="0.25">
      <c r="A31" s="2">
        <v>2032</v>
      </c>
      <c r="B31" s="2">
        <f>B9/'Output-Calculation-sheet'!B8*'Output-Calculation-sheet'!B17</f>
        <v>32487.721562242961</v>
      </c>
      <c r="C31" s="2">
        <f>C9/'Output-Calculation-sheet'!C8*'Output-Calculation-sheet'!C17</f>
        <v>0</v>
      </c>
      <c r="D31" s="2">
        <f>D9/'Output-Calculation-sheet'!D8*'Output-Calculation-sheet'!D17</f>
        <v>5448.617458060934</v>
      </c>
      <c r="E31" s="2">
        <f>E9/'Output-Calculation-sheet'!E8*'Output-Calculation-sheet'!E17</f>
        <v>6404.1053870837686</v>
      </c>
      <c r="F31" s="2">
        <f>F9/'Output-Calculation-sheet'!F8*'Output-Calculation-sheet'!F17</f>
        <v>2957.6863312692076</v>
      </c>
      <c r="G31" s="2">
        <f>G9/'Output-Calculation-sheet'!G8*'Output-Calculation-sheet'!G17</f>
        <v>1936.9153125963276</v>
      </c>
      <c r="H31" s="2">
        <f>H9/'Output-Calculation-sheet'!H8*'Output-Calculation-sheet'!H17</f>
        <v>0</v>
      </c>
      <c r="I31" s="2">
        <f>I9/'Output-Calculation-sheet'!I8*'Output-Calculation-sheet'!I17</f>
        <v>1888.2112571635323</v>
      </c>
      <c r="J31" s="2">
        <f>J9/'Output-Calculation-sheet'!J8*'Output-Calculation-sheet'!J17</f>
        <v>1680.871971150234</v>
      </c>
      <c r="K31" s="2">
        <f>K9/'Output-Calculation-sheet'!K8*'Output-Calculation-sheet'!K17</f>
        <v>2393.1153911243646</v>
      </c>
      <c r="L31" s="2">
        <f>L9/'Output-Calculation-sheet'!L8*'Output-Calculation-sheet'!L17</f>
        <v>2040.9067295799989</v>
      </c>
      <c r="M31" s="2">
        <f>M9/'Output-Calculation-sheet'!M8*'Output-Calculation-sheet'!M17</f>
        <v>0</v>
      </c>
      <c r="N31" s="2">
        <f>N9/'Output-Calculation-sheet'!N8*'Output-Calculation-sheet'!N17</f>
        <v>2218.6743507411902</v>
      </c>
      <c r="O31" s="2">
        <f>O9/'Output-Calculation-sheet'!O8*'Output-Calculation-sheet'!O17</f>
        <v>0</v>
      </c>
      <c r="P31" s="2">
        <f>P9/'Output-Calculation-sheet'!P8*'Output-Calculation-sheet'!P17</f>
        <v>2753.7192320815207</v>
      </c>
      <c r="Q31" s="2">
        <f>Q9/'Output-Calculation-sheet'!Q8*'Output-Calculation-sheet'!Q17</f>
        <v>2935.7177047218829</v>
      </c>
      <c r="R31" s="2">
        <f>R9/'Output-Calculation-sheet'!R8*'Output-Calculation-sheet'!R17</f>
        <v>1920.7016733109549</v>
      </c>
      <c r="S31" s="2">
        <f>S9/'Output-Calculation-sheet'!S8*'Output-Calculation-sheet'!S17</f>
        <v>1658.5575010384869</v>
      </c>
      <c r="T31" s="2">
        <f>T9/'Output-Calculation-sheet'!T8*'Output-Calculation-sheet'!T17</f>
        <v>521.19643183964854</v>
      </c>
      <c r="U31" s="2">
        <f>U9/'Output-Calculation-sheet'!U8*'Output-Calculation-sheet'!U17</f>
        <v>599.02085842017755</v>
      </c>
      <c r="V31" s="2">
        <f>V9/'Output-Calculation-sheet'!V8*'Output-Calculation-sheet'!V17</f>
        <v>429.05021799639673</v>
      </c>
      <c r="W31" s="2">
        <f>W9/'Output-Calculation-sheet'!W8*'Output-Calculation-sheet'!W17</f>
        <v>238.86237948845101</v>
      </c>
      <c r="X31" s="2">
        <f>X9/'Output-Calculation-sheet'!X8*'Output-Calculation-sheet'!X17</f>
        <v>0</v>
      </c>
      <c r="Y31" s="2">
        <f>Y9/'Output-Calculation-sheet'!Y8*'Output-Calculation-sheet'!Y17</f>
        <v>230.79280873071738</v>
      </c>
      <c r="AA31" s="2">
        <f t="shared" si="1"/>
        <v>70.744444558640751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2376.5727361557724</v>
      </c>
      <c r="O32" s="2">
        <f>O10/'Output-Calculation-sheet'!O9*'Output-Calculation-sheet'!O18</f>
        <v>0</v>
      </c>
      <c r="P32" s="2">
        <f>P10/'Output-Calculation-sheet'!P9*'Output-Calculation-sheet'!P18</f>
        <v>3825.1930190455264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2746.3597479790892</v>
      </c>
      <c r="S32" s="2">
        <f>S10/'Output-Calculation-sheet'!S9*'Output-Calculation-sheet'!S18</f>
        <v>1797.4847001723654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886.56850005203842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93.682071369250124</v>
      </c>
    </row>
    <row r="33" spans="1:27" x14ac:dyDescent="0.25">
      <c r="A33" s="2">
        <v>2034</v>
      </c>
      <c r="B33" s="2">
        <f>B11/'Output-Calculation-sheet'!B10*'Output-Calculation-sheet'!B19</f>
        <v>39960.902062295252</v>
      </c>
      <c r="C33" s="2">
        <f>C11/'Output-Calculation-sheet'!C10*'Output-Calculation-sheet'!C19</f>
        <v>0</v>
      </c>
      <c r="D33" s="2">
        <f>D11/'Output-Calculation-sheet'!D10*'Output-Calculation-sheet'!D19</f>
        <v>11940.331944420928</v>
      </c>
      <c r="E33" s="2">
        <f>E11/'Output-Calculation-sheet'!E10*'Output-Calculation-sheet'!E19</f>
        <v>14744.70073481846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4057.6727580151064</v>
      </c>
      <c r="H33" s="2">
        <f>H11/'Output-Calculation-sheet'!H10*'Output-Calculation-sheet'!H19</f>
        <v>0</v>
      </c>
      <c r="I33" s="2">
        <f>I11/'Output-Calculation-sheet'!I10*'Output-Calculation-sheet'!I19</f>
        <v>4433.6472022265962</v>
      </c>
      <c r="J33" s="2">
        <f>J11/'Output-Calculation-sheet'!J10*'Output-Calculation-sheet'!J19</f>
        <v>3744.2257612869075</v>
      </c>
      <c r="K33" s="2">
        <f>K11/'Output-Calculation-sheet'!K10*'Output-Calculation-sheet'!K19</f>
        <v>5194.8048397073808</v>
      </c>
      <c r="L33" s="2">
        <f>L11/'Output-Calculation-sheet'!L10*'Output-Calculation-sheet'!L19</f>
        <v>4228.9884045554827</v>
      </c>
      <c r="M33" s="2">
        <f>M11/'Output-Calculation-sheet'!M10*'Output-Calculation-sheet'!M19</f>
        <v>0</v>
      </c>
      <c r="N33" s="2">
        <f>N11/'Output-Calculation-sheet'!N10*'Output-Calculation-sheet'!N19</f>
        <v>2388.770383345116</v>
      </c>
      <c r="O33" s="2">
        <f>O11/'Output-Calculation-sheet'!O10*'Output-Calculation-sheet'!O19</f>
        <v>0</v>
      </c>
      <c r="P33" s="2">
        <f>P11/'Output-Calculation-sheet'!P10*'Output-Calculation-sheet'!P19</f>
        <v>5259.9382054520865</v>
      </c>
      <c r="Q33" s="2">
        <f>Q11/'Output-Calculation-sheet'!Q10*'Output-Calculation-sheet'!Q19</f>
        <v>4284.7919284189065</v>
      </c>
      <c r="R33" s="2">
        <f>R11/'Output-Calculation-sheet'!R10*'Output-Calculation-sheet'!R19</f>
        <v>3752.5588736983277</v>
      </c>
      <c r="S33" s="2">
        <f>S11/'Output-Calculation-sheet'!S10*'Output-Calculation-sheet'!S19</f>
        <v>1754.0108847474362</v>
      </c>
      <c r="T33" s="2">
        <f>T11/'Output-Calculation-sheet'!T10*'Output-Calculation-sheet'!T19</f>
        <v>1101.1804540033336</v>
      </c>
      <c r="U33" s="2">
        <f>U11/'Output-Calculation-sheet'!U10*'Output-Calculation-sheet'!U19</f>
        <v>1179.8912330746316</v>
      </c>
      <c r="V33" s="2">
        <f>V11/'Output-Calculation-sheet'!V10*'Output-Calculation-sheet'!V19</f>
        <v>863.50043125631134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139.09843998929873</v>
      </c>
      <c r="Y33" s="2">
        <f>Y11/'Output-Calculation-sheet'!Y10*'Output-Calculation-sheet'!Y19</f>
        <v>484.62112994104876</v>
      </c>
      <c r="AA33" s="2">
        <f t="shared" si="1"/>
        <v>116.82684869678795</v>
      </c>
    </row>
    <row r="34" spans="1:27" x14ac:dyDescent="0.25">
      <c r="A34" s="2">
        <v>2035</v>
      </c>
      <c r="B34" s="2">
        <f>B12/'Output-Calculation-sheet'!B11*'Output-Calculation-sheet'!B20</f>
        <v>39784.955231298401</v>
      </c>
      <c r="C34" s="2">
        <f>C12/'Output-Calculation-sheet'!C11*'Output-Calculation-sheet'!C20</f>
        <v>0</v>
      </c>
      <c r="D34" s="2">
        <f>D12/'Output-Calculation-sheet'!D11*'Output-Calculation-sheet'!D20</f>
        <v>12805.054327202521</v>
      </c>
      <c r="E34" s="2">
        <f>E12/'Output-Calculation-sheet'!E11*'Output-Calculation-sheet'!E20</f>
        <v>14228.207847527397</v>
      </c>
      <c r="F34" s="2">
        <f>F12/'Output-Calculation-sheet'!F11*'Output-Calculation-sheet'!F20</f>
        <v>7958.3959282434498</v>
      </c>
      <c r="G34" s="2">
        <f>G12/'Output-Calculation-sheet'!G11*'Output-Calculation-sheet'!G20</f>
        <v>4295.8441455761267</v>
      </c>
      <c r="H34" s="2">
        <f>H12/'Output-Calculation-sheet'!H11*'Output-Calculation-sheet'!H20</f>
        <v>0</v>
      </c>
      <c r="I34" s="2">
        <f>I12/'Output-Calculation-sheet'!I11*'Output-Calculation-sheet'!I20</f>
        <v>4775.9617504542866</v>
      </c>
      <c r="J34" s="2">
        <f>J12/'Output-Calculation-sheet'!J11*'Output-Calculation-sheet'!J20</f>
        <v>4426.8459718119393</v>
      </c>
      <c r="K34" s="2">
        <f>K12/'Output-Calculation-sheet'!K11*'Output-Calculation-sheet'!K20</f>
        <v>5887.2590665217112</v>
      </c>
      <c r="L34" s="2">
        <f>L12/'Output-Calculation-sheet'!L11*'Output-Calculation-sheet'!L20</f>
        <v>4698.2795510994274</v>
      </c>
      <c r="M34" s="2">
        <f>M12/'Output-Calculation-sheet'!M11*'Output-Calculation-sheet'!M20</f>
        <v>0</v>
      </c>
      <c r="N34" s="2">
        <f>N12/'Output-Calculation-sheet'!N11*'Output-Calculation-sheet'!N20</f>
        <v>2519.4923674358697</v>
      </c>
      <c r="O34" s="2">
        <f>O12/'Output-Calculation-sheet'!O11*'Output-Calculation-sheet'!O20</f>
        <v>0</v>
      </c>
      <c r="P34" s="2">
        <f>P12/'Output-Calculation-sheet'!P11*'Output-Calculation-sheet'!P20</f>
        <v>5366.317848053015</v>
      </c>
      <c r="Q34" s="2">
        <f>Q12/'Output-Calculation-sheet'!Q11*'Output-Calculation-sheet'!Q20</f>
        <v>4475.4590446712564</v>
      </c>
      <c r="R34" s="2">
        <f>R12/'Output-Calculation-sheet'!R11*'Output-Calculation-sheet'!R20</f>
        <v>4508.3452201364826</v>
      </c>
      <c r="S34" s="2">
        <f>S12/'Output-Calculation-sheet'!S11*'Output-Calculation-sheet'!S20</f>
        <v>1722.1731656533561</v>
      </c>
      <c r="T34" s="2">
        <f>T12/'Output-Calculation-sheet'!T11*'Output-Calculation-sheet'!T20</f>
        <v>1367.4285006504608</v>
      </c>
      <c r="U34" s="2">
        <f>U12/'Output-Calculation-sheet'!U11*'Output-Calculation-sheet'!U20</f>
        <v>1258.6519797800388</v>
      </c>
      <c r="V34" s="2">
        <f>V12/'Output-Calculation-sheet'!V11*'Output-Calculation-sheet'!V20</f>
        <v>1239.2345617946562</v>
      </c>
      <c r="W34" s="2">
        <f>W12/'Output-Calculation-sheet'!W11*'Output-Calculation-sheet'!W20</f>
        <v>672.38240332638054</v>
      </c>
      <c r="X34" s="2">
        <f>X12/'Output-Calculation-sheet'!X11*'Output-Calculation-sheet'!X20</f>
        <v>141.95791128335048</v>
      </c>
      <c r="Y34" s="2">
        <f>Y12/'Output-Calculation-sheet'!Y11*'Output-Calculation-sheet'!Y20</f>
        <v>488.01026562584894</v>
      </c>
      <c r="AA34" s="2">
        <f t="shared" si="1"/>
        <v>122.620257088146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1.2299928795769428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0.23895452689149932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1.468947406468442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1.4110579139828445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0.27413059201468665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1.6851885059975311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1.5618728807309921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0.3034298827877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1.8653027635186921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1.6919916065036622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0.52084771201720315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0.32870845071520499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0.30861872048002231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9.8468228821748188E-2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2.9879514451042897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1.8089887047854531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0.35143783942290163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15.162600668250997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14781.493377372031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8236.8656670495784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5622.061783011748</v>
      </c>
      <c r="N52" s="2">
        <f>N8/'Output-Calculation-sheet'!N7*'Output-Calculation-sheet'!N43</f>
        <v>179.69380819535547</v>
      </c>
      <c r="O52" s="2">
        <f>O8/'Output-Calculation-sheet'!O7*'Output-Calculation-sheet'!O43</f>
        <v>691.71047258065596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724.5606370916272</v>
      </c>
      <c r="Y52" s="2">
        <f>Y8/'Output-Calculation-sheet'!Y7*'Output-Calculation-sheet'!Y43</f>
        <v>0</v>
      </c>
      <c r="AA52" s="2">
        <f t="shared" si="3"/>
        <v>30.236385745301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21289.645719741162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16726.961765233333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11431.131943813429</v>
      </c>
      <c r="N53" s="2">
        <f>N9/'Output-Calculation-sheet'!N8*'Output-Calculation-sheet'!N44</f>
        <v>4071.3876426186462</v>
      </c>
      <c r="O53" s="2">
        <f>O9/'Output-Calculation-sheet'!O8*'Output-Calculation-sheet'!O44</f>
        <v>1587.0718485060804</v>
      </c>
      <c r="P53" s="2">
        <f>P9/'Output-Calculation-sheet'!P8*'Output-Calculation-sheet'!P44</f>
        <v>190.441953514114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1255.5541585838585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1429.4715758594389</v>
      </c>
      <c r="Y53" s="2">
        <f>Y9/'Output-Calculation-sheet'!Y8*'Output-Calculation-sheet'!Y44</f>
        <v>0</v>
      </c>
      <c r="AA53" s="2">
        <f t="shared" si="3"/>
        <v>57.981666607870061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33292.55351031851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2954.4488587223418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661.78489013885167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142.02445001469837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52243.951358709572</v>
      </c>
      <c r="D55" s="2">
        <f>D11/'Output-Calculation-sheet'!D10*'Output-Calculation-sheet'!D46</f>
        <v>10386.555788601967</v>
      </c>
      <c r="E55" s="2">
        <f>E11/'Output-Calculation-sheet'!E10*'Output-Calculation-sheet'!E46</f>
        <v>12956.495394627669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33992.166468491152</v>
      </c>
      <c r="I55" s="2">
        <f>I11/'Output-Calculation-sheet'!I10*'Output-Calculation-sheet'!I46</f>
        <v>2502.8003571798772</v>
      </c>
      <c r="J55" s="2">
        <f>J11/'Output-Calculation-sheet'!J10*'Output-Calculation-sheet'!J46</f>
        <v>1847.2174275853151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24018.698597659215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5247.8015815936233</v>
      </c>
      <c r="P55" s="2">
        <f>P11/'Output-Calculation-sheet'!P10*'Output-Calculation-sheet'!P46</f>
        <v>6736.5573152802535</v>
      </c>
      <c r="Q55" s="2">
        <f>Q11/'Output-Calculation-sheet'!Q10*'Output-Calculation-sheet'!Q46</f>
        <v>5251.9326116775728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8997.7433827636105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1606.5868913022073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2417.6338002702173</v>
      </c>
      <c r="Y55" s="2">
        <f>Y11/'Output-Calculation-sheet'!Y10*'Output-Calculation-sheet'!Y46</f>
        <v>635.68436326060748</v>
      </c>
      <c r="AA55" s="2">
        <f t="shared" si="3"/>
        <v>320.38370566090111</v>
      </c>
    </row>
    <row r="56" spans="1:27" x14ac:dyDescent="0.25">
      <c r="A56" s="2">
        <v>2035</v>
      </c>
      <c r="B56" s="2">
        <f>B12/'Output-Calculation-sheet'!B11*'Output-Calculation-sheet'!B47</f>
        <v>124038.57568519968</v>
      </c>
      <c r="C56" s="2">
        <f>C12/'Output-Calculation-sheet'!C11*'Output-Calculation-sheet'!C47</f>
        <v>92512.317095606937</v>
      </c>
      <c r="D56" s="2">
        <f>D12/'Output-Calculation-sheet'!D11*'Output-Calculation-sheet'!D47</f>
        <v>12650.993341620124</v>
      </c>
      <c r="E56" s="2">
        <f>E12/'Output-Calculation-sheet'!E11*'Output-Calculation-sheet'!E47</f>
        <v>31838.190042282811</v>
      </c>
      <c r="F56" s="2">
        <f>F12/'Output-Calculation-sheet'!F11*'Output-Calculation-sheet'!F47</f>
        <v>1756.4945856051968</v>
      </c>
      <c r="G56" s="2">
        <f>G12/'Output-Calculation-sheet'!G11*'Output-Calculation-sheet'!G47</f>
        <v>4689.4558952341686</v>
      </c>
      <c r="H56" s="2">
        <f>H12/'Output-Calculation-sheet'!H11*'Output-Calculation-sheet'!H47</f>
        <v>36684.575442090143</v>
      </c>
      <c r="I56" s="2">
        <f>I12/'Output-Calculation-sheet'!I11*'Output-Calculation-sheet'!I47</f>
        <v>2993.3381656140059</v>
      </c>
      <c r="J56" s="2">
        <f>J12/'Output-Calculation-sheet'!J11*'Output-Calculation-sheet'!J47</f>
        <v>4892.484851129534</v>
      </c>
      <c r="K56" s="2">
        <f>K12/'Output-Calculation-sheet'!K11*'Output-Calculation-sheet'!K47</f>
        <v>6730.8941884457072</v>
      </c>
      <c r="L56" s="2">
        <f>L12/'Output-Calculation-sheet'!L11*'Output-Calculation-sheet'!L47</f>
        <v>7230.6307499153781</v>
      </c>
      <c r="M56" s="2">
        <f>M12/'Output-Calculation-sheet'!M11*'Output-Calculation-sheet'!M47</f>
        <v>25780.368964547517</v>
      </c>
      <c r="N56" s="2">
        <f>N12/'Output-Calculation-sheet'!N11*'Output-Calculation-sheet'!N47</f>
        <v>20613.938364954472</v>
      </c>
      <c r="O56" s="2">
        <f>O12/'Output-Calculation-sheet'!O11*'Output-Calculation-sheet'!O47</f>
        <v>10204.028495524601</v>
      </c>
      <c r="P56" s="2">
        <f>P12/'Output-Calculation-sheet'!P11*'Output-Calculation-sheet'!P47</f>
        <v>8941.9302396497533</v>
      </c>
      <c r="Q56" s="2">
        <f>Q12/'Output-Calculation-sheet'!Q11*'Output-Calculation-sheet'!Q47</f>
        <v>6512.3477620260019</v>
      </c>
      <c r="R56" s="2">
        <f>R12/'Output-Calculation-sheet'!R11*'Output-Calculation-sheet'!R47</f>
        <v>7577.629677057269</v>
      </c>
      <c r="S56" s="2">
        <f>S12/'Output-Calculation-sheet'!S11*'Output-Calculation-sheet'!S47</f>
        <v>9600.9785798384873</v>
      </c>
      <c r="T56" s="2">
        <f>T12/'Output-Calculation-sheet'!T11*'Output-Calculation-sheet'!T47</f>
        <v>2484.8821088157783</v>
      </c>
      <c r="U56" s="2">
        <f>U12/'Output-Calculation-sheet'!U11*'Output-Calculation-sheet'!U47</f>
        <v>1736.1481224312683</v>
      </c>
      <c r="V56" s="2">
        <f>V12/'Output-Calculation-sheet'!V11*'Output-Calculation-sheet'!V47</f>
        <v>1709.0140369981698</v>
      </c>
      <c r="W56" s="2">
        <f>W12/'Output-Calculation-sheet'!W11*'Output-Calculation-sheet'!W47</f>
        <v>610.44952431414549</v>
      </c>
      <c r="X56" s="2">
        <f>X12/'Output-Calculation-sheet'!X11*'Output-Calculation-sheet'!X47</f>
        <v>2603.2438599975435</v>
      </c>
      <c r="Y56" s="2">
        <f>Y12/'Output-Calculation-sheet'!Y11*'Output-Calculation-sheet'!Y47</f>
        <v>793.50684113692216</v>
      </c>
      <c r="AA56" s="2">
        <f t="shared" si="3"/>
        <v>425.18641662003563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8.7879763736287995</v>
      </c>
      <c r="C63" s="2">
        <f>C8*'Output-Calculation-sheet'!C52/10^9</f>
        <v>5.5086303045216765</v>
      </c>
      <c r="D63" s="2">
        <f>D8*'Output-Calculation-sheet'!D52/10^9</f>
        <v>3.0135650289142624</v>
      </c>
      <c r="E63" s="2">
        <f>E8*'Output-Calculation-sheet'!E52/10^9</f>
        <v>2.9963070519079174</v>
      </c>
      <c r="F63" s="2">
        <f>F8*'Output-Calculation-sheet'!F52/10^9</f>
        <v>1.2689367991038061</v>
      </c>
      <c r="G63" s="2">
        <f>G8*'Output-Calculation-sheet'!G52/10^9</f>
        <v>0.912307125892863</v>
      </c>
      <c r="H63" s="2">
        <f>H8*'Output-Calculation-sheet'!H52/10^9</f>
        <v>1.59361203059128</v>
      </c>
      <c r="I63" s="2">
        <f>I8*'Output-Calculation-sheet'!I52/10^9</f>
        <v>0.84865754632141832</v>
      </c>
      <c r="J63" s="2">
        <f>J8*'Output-Calculation-sheet'!J52/10^9</f>
        <v>1.1678114479742454</v>
      </c>
      <c r="K63" s="2">
        <f>K8*'Output-Calculation-sheet'!K52/10^9</f>
        <v>1.0260235682082457</v>
      </c>
      <c r="L63" s="2">
        <f>L8*'Output-Calculation-sheet'!L52/10^9</f>
        <v>1.3800491213440782</v>
      </c>
      <c r="M63" s="2">
        <f>M8*'Output-Calculation-sheet'!M52/10^9</f>
        <v>1.2935133441832725</v>
      </c>
      <c r="N63" s="2">
        <f>N8*'Output-Calculation-sheet'!N52/10^9</f>
        <v>1.0795375116212849</v>
      </c>
      <c r="O63" s="2">
        <f>O8*'Output-Calculation-sheet'!O52/10^9</f>
        <v>1.1310480723415766</v>
      </c>
      <c r="P63" s="2">
        <f>P8*'Output-Calculation-sheet'!P52/10^9</f>
        <v>0.7089559112587912</v>
      </c>
      <c r="Q63" s="2">
        <f>Q8*'Output-Calculation-sheet'!Q52/10^9</f>
        <v>0.80232595917459737</v>
      </c>
      <c r="R63" s="2">
        <f>R8*'Output-Calculation-sheet'!R52/10^9</f>
        <v>0.72033025549920549</v>
      </c>
      <c r="S63" s="2">
        <f>S8*'Output-Calculation-sheet'!S52/10^9</f>
        <v>0.53379341953818871</v>
      </c>
      <c r="T63" s="2">
        <f>T8*'Output-Calculation-sheet'!T52/10^9</f>
        <v>0.27386039106799215</v>
      </c>
      <c r="U63" s="2">
        <f>U8*'Output-Calculation-sheet'!U52/10^9</f>
        <v>0.18808427154378085</v>
      </c>
      <c r="V63" s="2">
        <f>V8*'Output-Calculation-sheet'!V52/10^9</f>
        <v>0.33380538967129686</v>
      </c>
      <c r="W63" s="2">
        <f>W8*'Output-Calculation-sheet'!W52/10^9</f>
        <v>0.12082214557450136</v>
      </c>
      <c r="X63" s="2">
        <f>X8*'Output-Calculation-sheet'!X52/10^9</f>
        <v>0.13907348052772533</v>
      </c>
      <c r="Y63" s="2">
        <f>Y8*'Output-Calculation-sheet'!Y52/10^9</f>
        <v>7.8833012863117558E-2</v>
      </c>
      <c r="AA63" s="2">
        <f t="shared" si="4"/>
        <v>35.907859563273917</v>
      </c>
    </row>
    <row r="64" spans="1:27" x14ac:dyDescent="0.25">
      <c r="A64" s="2">
        <v>2032</v>
      </c>
      <c r="B64" s="2">
        <f>B9*'Output-Calculation-sheet'!B53/10^9</f>
        <v>9.6198223110378933</v>
      </c>
      <c r="C64" s="2">
        <f>C9*'Output-Calculation-sheet'!C53/10^9</f>
        <v>6.4184604119505728</v>
      </c>
      <c r="D64" s="2">
        <f>D9*'Output-Calculation-sheet'!D53/10^9</f>
        <v>2.8468880462892447</v>
      </c>
      <c r="E64" s="2">
        <f>E9*'Output-Calculation-sheet'!E53/10^9</f>
        <v>2.9153521592673859</v>
      </c>
      <c r="F64" s="2">
        <f>F9*'Output-Calculation-sheet'!F53/10^9</f>
        <v>1.2296782923822684</v>
      </c>
      <c r="G64" s="2">
        <f>G9*'Output-Calculation-sheet'!G53/10^9</f>
        <v>0.87524646154803543</v>
      </c>
      <c r="H64" s="2">
        <f>H9*'Output-Calculation-sheet'!H53/10^9</f>
        <v>1.7983967447721316</v>
      </c>
      <c r="I64" s="2">
        <f>I9*'Output-Calculation-sheet'!I53/10^9</f>
        <v>0.81821253051651555</v>
      </c>
      <c r="J64" s="2">
        <f>J9*'Output-Calculation-sheet'!J53/10^9</f>
        <v>1.0831481997628356</v>
      </c>
      <c r="K64" s="2">
        <f>K9*'Output-Calculation-sheet'!K53/10^9</f>
        <v>1.0050115819192507</v>
      </c>
      <c r="L64" s="2">
        <f>L9*'Output-Calculation-sheet'!L53/10^9</f>
        <v>1.2929390749143697</v>
      </c>
      <c r="M64" s="2">
        <f>M9*'Output-Calculation-sheet'!M53/10^9</f>
        <v>1.4094942093640435</v>
      </c>
      <c r="N64" s="2">
        <f>N9*'Output-Calculation-sheet'!N53/10^9</f>
        <v>1.1865588155509192</v>
      </c>
      <c r="O64" s="2">
        <f>O9*'Output-Calculation-sheet'!O53/10^9</f>
        <v>1.3064386368459489</v>
      </c>
      <c r="P64" s="2">
        <f>P9*'Output-Calculation-sheet'!P53/10^9</f>
        <v>0.76624015231755693</v>
      </c>
      <c r="Q64" s="2">
        <f>Q9*'Output-Calculation-sheet'!Q53/10^9</f>
        <v>0.84682395585161907</v>
      </c>
      <c r="R64" s="2">
        <f>R9*'Output-Calculation-sheet'!R53/10^9</f>
        <v>0.72592711993921766</v>
      </c>
      <c r="S64" s="2">
        <f>S9*'Output-Calculation-sheet'!S53/10^9</f>
        <v>0.59977804084920827</v>
      </c>
      <c r="T64" s="2">
        <f>T9*'Output-Calculation-sheet'!T53/10^9</f>
        <v>0.26095190473367341</v>
      </c>
      <c r="U64" s="2">
        <f>U9*'Output-Calculation-sheet'!U53/10^9</f>
        <v>0.19641296365384384</v>
      </c>
      <c r="V64" s="2">
        <f>V9*'Output-Calculation-sheet'!V53/10^9</f>
        <v>0.30973237238929602</v>
      </c>
      <c r="W64" s="2">
        <f>W9*'Output-Calculation-sheet'!W53/10^9</f>
        <v>0.11509096688384819</v>
      </c>
      <c r="X64" s="2">
        <f>X9*'Output-Calculation-sheet'!X53/10^9</f>
        <v>0.15622091970669752</v>
      </c>
      <c r="Y64" s="2">
        <f>Y9*'Output-Calculation-sheet'!Y53/10^9</f>
        <v>8.0636474069431016E-2</v>
      </c>
      <c r="AA64" s="2">
        <f t="shared" si="4"/>
        <v>37.863462346515796</v>
      </c>
    </row>
    <row r="65" spans="1:27" x14ac:dyDescent="0.25">
      <c r="A65" s="2">
        <v>2033</v>
      </c>
      <c r="B65" s="2">
        <f>B10*'Output-Calculation-sheet'!B54/10^9</f>
        <v>10.592413913919314</v>
      </c>
      <c r="C65" s="2">
        <f>C10*'Output-Calculation-sheet'!C54/10^9</f>
        <v>7.1614082645684327</v>
      </c>
      <c r="D65" s="2">
        <f>D10*'Output-Calculation-sheet'!D54/10^9</f>
        <v>2.502455111148429</v>
      </c>
      <c r="E65" s="2">
        <f>E10*'Output-Calculation-sheet'!E54/10^9</f>
        <v>2.817735838295357</v>
      </c>
      <c r="F65" s="2">
        <f>F10*'Output-Calculation-sheet'!F54/10^9</f>
        <v>1.1439525303856202</v>
      </c>
      <c r="G65" s="2">
        <f>G10*'Output-Calculation-sheet'!G54/10^9</f>
        <v>0.78542688800329774</v>
      </c>
      <c r="H65" s="2">
        <f>H10*'Output-Calculation-sheet'!H54/10^9</f>
        <v>1.9410374808748772</v>
      </c>
      <c r="I65" s="2">
        <f>I10*'Output-Calculation-sheet'!I54/10^9</f>
        <v>0.76479128604037616</v>
      </c>
      <c r="J65" s="2">
        <f>J10*'Output-Calculation-sheet'!J54/10^9</f>
        <v>0.91409616400234084</v>
      </c>
      <c r="K65" s="2">
        <f>K10*'Output-Calculation-sheet'!K54/10^9</f>
        <v>0.97521952066703133</v>
      </c>
      <c r="L65" s="2">
        <f>L10*'Output-Calculation-sheet'!L54/10^9</f>
        <v>1.1519393546344034</v>
      </c>
      <c r="M65" s="2">
        <f>M10*'Output-Calculation-sheet'!M54/10^9</f>
        <v>1.4655691682581826</v>
      </c>
      <c r="N65" s="2">
        <f>N10*'Output-Calculation-sheet'!N54/10^9</f>
        <v>1.2656195402861778</v>
      </c>
      <c r="O65" s="2">
        <f>O10*'Output-Calculation-sheet'!O54/10^9</f>
        <v>1.4485861318818651</v>
      </c>
      <c r="P65" s="2">
        <f>P10*'Output-Calculation-sheet'!P54/10^9</f>
        <v>0.8251463603134056</v>
      </c>
      <c r="Q65" s="2">
        <f>Q10*'Output-Calculation-sheet'!Q54/10^9</f>
        <v>0.90041242888507445</v>
      </c>
      <c r="R65" s="2">
        <f>R10*'Output-Calculation-sheet'!R54/10^9</f>
        <v>0.72645198420516566</v>
      </c>
      <c r="S65" s="2">
        <f>S10*'Output-Calculation-sheet'!S54/10^9</f>
        <v>0.65986499475155025</v>
      </c>
      <c r="T65" s="2">
        <f>T10*'Output-Calculation-sheet'!T54/10^9</f>
        <v>0.24288492407530424</v>
      </c>
      <c r="U65" s="2">
        <f>U10*'Output-Calculation-sheet'!U54/10^9</f>
        <v>0.2097285552393412</v>
      </c>
      <c r="V65" s="2">
        <f>V10*'Output-Calculation-sheet'!V54/10^9</f>
        <v>0.26878883082890759</v>
      </c>
      <c r="W65" s="2">
        <f>W10*'Output-Calculation-sheet'!W54/10^9</f>
        <v>0.10233801749664889</v>
      </c>
      <c r="X65" s="2">
        <f>X10*'Output-Calculation-sheet'!X54/10^9</f>
        <v>0.16856161857099447</v>
      </c>
      <c r="Y65" s="2">
        <f>Y10*'Output-Calculation-sheet'!Y54/10^9</f>
        <v>8.4229673810667094E-2</v>
      </c>
      <c r="AA65" s="2">
        <f t="shared" si="4"/>
        <v>39.118658581142775</v>
      </c>
    </row>
    <row r="66" spans="1:27" x14ac:dyDescent="0.25">
      <c r="A66" s="2">
        <v>2034</v>
      </c>
      <c r="B66" s="2">
        <f>B11*'Output-Calculation-sheet'!B55/10^9</f>
        <v>11.770968866024136</v>
      </c>
      <c r="C66" s="2">
        <f>C11*'Output-Calculation-sheet'!C55/10^9</f>
        <v>7.7642440214592234</v>
      </c>
      <c r="D66" s="2">
        <f>D11*'Output-Calculation-sheet'!D55/10^9</f>
        <v>2.4621259243564566</v>
      </c>
      <c r="E66" s="2">
        <f>E11*'Output-Calculation-sheet'!E55/10^9</f>
        <v>2.9814709767387892</v>
      </c>
      <c r="F66" s="2">
        <f>F11*'Output-Calculation-sheet'!F55/10^9</f>
        <v>1.1458171630176257</v>
      </c>
      <c r="G66" s="2">
        <f>G11*'Output-Calculation-sheet'!G55/10^9</f>
        <v>0.81900882729478264</v>
      </c>
      <c r="H66" s="2">
        <f>H11*'Output-Calculation-sheet'!H55/10^9</f>
        <v>2.0938429464773702</v>
      </c>
      <c r="I66" s="2">
        <f>I11*'Output-Calculation-sheet'!I55/10^9</f>
        <v>0.80089831914810072</v>
      </c>
      <c r="J66" s="2">
        <f>J11*'Output-Calculation-sheet'!J55/10^9</f>
        <v>0.82360002243167041</v>
      </c>
      <c r="K66" s="2">
        <f>K11*'Output-Calculation-sheet'!K55/10^9</f>
        <v>0.98507161736063631</v>
      </c>
      <c r="L66" s="2">
        <f>L11*'Output-Calculation-sheet'!L55/10^9</f>
        <v>1.0431982909465483</v>
      </c>
      <c r="M66" s="2">
        <f>M11*'Output-Calculation-sheet'!M55/10^9</f>
        <v>1.5169424923198325</v>
      </c>
      <c r="N66" s="2">
        <f>N11*'Output-Calculation-sheet'!N55/10^9</f>
        <v>1.3254032119023171</v>
      </c>
      <c r="O66" s="2">
        <f>O11*'Output-Calculation-sheet'!O55/10^9</f>
        <v>1.5641421676554867</v>
      </c>
      <c r="P66" s="2">
        <f>P11*'Output-Calculation-sheet'!P55/10^9</f>
        <v>0.9110916317709794</v>
      </c>
      <c r="Q66" s="2">
        <f>Q11*'Output-Calculation-sheet'!Q55/10^9</f>
        <v>0.99230266319605864</v>
      </c>
      <c r="R66" s="2">
        <f>R11*'Output-Calculation-sheet'!R55/10^9</f>
        <v>0.73790998844158673</v>
      </c>
      <c r="S66" s="2">
        <f>S11*'Output-Calculation-sheet'!S55/10^9</f>
        <v>0.72608551995512072</v>
      </c>
      <c r="T66" s="2">
        <f>T11*'Output-Calculation-sheet'!T55/10^9</f>
        <v>0.2313025740842185</v>
      </c>
      <c r="U66" s="2">
        <f>U11*'Output-Calculation-sheet'!U55/10^9</f>
        <v>0.2352042130576005</v>
      </c>
      <c r="V66" s="2">
        <f>V11*'Output-Calculation-sheet'!V55/10^9</f>
        <v>0.21943104056777477</v>
      </c>
      <c r="W66" s="2">
        <f>W11*'Output-Calculation-sheet'!W55/10^9</f>
        <v>9.9353435478471072E-2</v>
      </c>
      <c r="X66" s="2">
        <f>X11*'Output-Calculation-sheet'!X55/10^9</f>
        <v>0.18686608979310276</v>
      </c>
      <c r="Y66" s="2">
        <f>Y11*'Output-Calculation-sheet'!Y55/10^9</f>
        <v>9.7495570474095156E-2</v>
      </c>
      <c r="AA66" s="2">
        <f t="shared" si="4"/>
        <v>41.533777573951987</v>
      </c>
    </row>
    <row r="67" spans="1:27" x14ac:dyDescent="0.25">
      <c r="A67" s="2">
        <v>2035</v>
      </c>
      <c r="B67" s="2">
        <f>B12*'Output-Calculation-sheet'!B56/10^9</f>
        <v>13.075195255698373</v>
      </c>
      <c r="C67" s="2">
        <f>C12*'Output-Calculation-sheet'!C56/10^9</f>
        <v>8.2462014224307847</v>
      </c>
      <c r="D67" s="2">
        <f>D12*'Output-Calculation-sheet'!D56/10^9</f>
        <v>2.7230932662431098</v>
      </c>
      <c r="E67" s="2">
        <f>E12*'Output-Calculation-sheet'!E56/10^9</f>
        <v>3.6948783739076001</v>
      </c>
      <c r="F67" s="2">
        <f>F12*'Output-Calculation-sheet'!F56/10^9</f>
        <v>1.3494442007868066</v>
      </c>
      <c r="G67" s="2">
        <f>G12*'Output-Calculation-sheet'!G56/10^9</f>
        <v>0.94532485291876878</v>
      </c>
      <c r="H67" s="2">
        <f>H12*'Output-Calculation-sheet'!H56/10^9</f>
        <v>2.2815258301087464</v>
      </c>
      <c r="I67" s="2">
        <f>I12*'Output-Calculation-sheet'!I56/10^9</f>
        <v>0.91823781027438267</v>
      </c>
      <c r="J67" s="2">
        <f>J12*'Output-Calculation-sheet'!J56/10^9</f>
        <v>0.90965053857820299</v>
      </c>
      <c r="K67" s="2">
        <f>K12*'Output-Calculation-sheet'!K56/10^9</f>
        <v>1.095552141405931</v>
      </c>
      <c r="L67" s="2">
        <f>L12*'Output-Calculation-sheet'!L56/10^9</f>
        <v>1.1005607689757475</v>
      </c>
      <c r="M67" s="2">
        <f>M12*'Output-Calculation-sheet'!M56/10^9</f>
        <v>1.6693434402079759</v>
      </c>
      <c r="N67" s="2">
        <f>N12*'Output-Calculation-sheet'!N56/10^9</f>
        <v>1.4334506492560823</v>
      </c>
      <c r="O67" s="2">
        <f>O12*'Output-Calculation-sheet'!O56/10^9</f>
        <v>1.6581710896898618</v>
      </c>
      <c r="P67" s="2">
        <f>P12*'Output-Calculation-sheet'!P56/10^9</f>
        <v>1.0610604323772739</v>
      </c>
      <c r="Q67" s="2">
        <f>Q12*'Output-Calculation-sheet'!Q56/10^9</f>
        <v>1.0911602691227724</v>
      </c>
      <c r="R67" s="2">
        <f>R12*'Output-Calculation-sheet'!R56/10^9</f>
        <v>0.83073383918908017</v>
      </c>
      <c r="S67" s="2">
        <f>S12*'Output-Calculation-sheet'!S56/10^9</f>
        <v>0.79164084789355882</v>
      </c>
      <c r="T67" s="2">
        <f>T12*'Output-Calculation-sheet'!T56/10^9</f>
        <v>0.25192408625102342</v>
      </c>
      <c r="U67" s="2">
        <f>U12*'Output-Calculation-sheet'!U56/10^9</f>
        <v>0.26307489671612777</v>
      </c>
      <c r="V67" s="2">
        <f>V12*'Output-Calculation-sheet'!V56/10^9</f>
        <v>0.20208720463141247</v>
      </c>
      <c r="W67" s="2">
        <f>W12*'Output-Calculation-sheet'!W56/10^9</f>
        <v>0.12192711414177376</v>
      </c>
      <c r="X67" s="2">
        <f>X12*'Output-Calculation-sheet'!X56/10^9</f>
        <v>0.20731203804056791</v>
      </c>
      <c r="Y67" s="2">
        <f>Y12*'Output-Calculation-sheet'!Y56/10^9</f>
        <v>0.11778895947025961</v>
      </c>
      <c r="AA67" s="2">
        <f t="shared" si="4"/>
        <v>46.039339328316224</v>
      </c>
    </row>
    <row r="68" spans="1:27" x14ac:dyDescent="0.25">
      <c r="B68" s="2">
        <f>SUM(B60:B67)</f>
        <v>73.691115159833416</v>
      </c>
      <c r="C68" s="2">
        <f t="shared" ref="C68:Y68" si="5">SUM(C60:C67)</f>
        <v>45.600958911291556</v>
      </c>
      <c r="D68" s="2">
        <f t="shared" si="5"/>
        <v>21.333397367641801</v>
      </c>
      <c r="E68" s="2">
        <f t="shared" si="5"/>
        <v>23.081365337604495</v>
      </c>
      <c r="F68" s="2">
        <f t="shared" si="5"/>
        <v>9.3190147657635141</v>
      </c>
      <c r="G68" s="2">
        <f t="shared" si="5"/>
        <v>6.6521530881398734</v>
      </c>
      <c r="H68" s="2">
        <f t="shared" si="5"/>
        <v>12.980017466011134</v>
      </c>
      <c r="I68" s="2">
        <f t="shared" si="5"/>
        <v>6.2914957724878384</v>
      </c>
      <c r="J68" s="2">
        <f t="shared" si="5"/>
        <v>7.9781987970646959</v>
      </c>
      <c r="K68" s="2">
        <f t="shared" si="5"/>
        <v>7.6806143539698413</v>
      </c>
      <c r="L68" s="2">
        <f t="shared" si="5"/>
        <v>9.6215740036517552</v>
      </c>
      <c r="M68" s="2">
        <f t="shared" si="5"/>
        <v>10.159651266526332</v>
      </c>
      <c r="N68" s="2">
        <f t="shared" si="5"/>
        <v>8.7245479600928064</v>
      </c>
      <c r="O68" s="2">
        <f t="shared" si="5"/>
        <v>9.2986937693363174</v>
      </c>
      <c r="P68" s="2">
        <f t="shared" si="5"/>
        <v>5.9197007550444773</v>
      </c>
      <c r="Q68" s="2">
        <f t="shared" si="5"/>
        <v>6.5133603889289624</v>
      </c>
      <c r="R68" s="2">
        <f t="shared" si="5"/>
        <v>5.5443195564690395</v>
      </c>
      <c r="S68" s="2">
        <f t="shared" si="5"/>
        <v>4.4905491043894772</v>
      </c>
      <c r="T68" s="2">
        <f t="shared" si="5"/>
        <v>1.9667006510426586</v>
      </c>
      <c r="U68" s="2">
        <f t="shared" si="5"/>
        <v>1.5541435697292114</v>
      </c>
      <c r="V68" s="2">
        <f t="shared" si="5"/>
        <v>2.2268663845008119</v>
      </c>
      <c r="W68" s="2">
        <f t="shared" si="5"/>
        <v>0.86868064143238177</v>
      </c>
      <c r="X68" s="2">
        <f t="shared" si="5"/>
        <v>1.1436664521314219</v>
      </c>
      <c r="Y68" s="2">
        <f t="shared" si="5"/>
        <v>0.65390311036705417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3388.5224891222333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1773.0849743364583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1189.4317296619772</v>
      </c>
      <c r="N74" s="2">
        <f>N8/'Output-Calculation-sheet'!N7*'Output-Calculation-sheet'!N61</f>
        <v>49.393335527698333</v>
      </c>
      <c r="O74" s="2">
        <f>O8/'Output-Calculation-sheet'!O7*'Output-Calculation-sheet'!O61</f>
        <v>192.19070676036469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148.59510172935518</v>
      </c>
      <c r="Y74" s="2">
        <f>Y8/'Output-Calculation-sheet'!Y7*'Output-Calculation-sheet'!Y61</f>
        <v>0</v>
      </c>
      <c r="AA74" s="2">
        <f t="shared" si="6"/>
        <v>6.7412183371380872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4698.4515225328769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3184.6763513934679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2160.5101555732695</v>
      </c>
      <c r="N75" s="2">
        <f>N9/'Output-Calculation-sheet'!N8*'Output-Calculation-sheet'!N62</f>
        <v>834.8921494990135</v>
      </c>
      <c r="O75" s="2">
        <f>O9/'Output-Calculation-sheet'!O8*'Output-Calculation-sheet'!O62</f>
        <v>408.09388395449537</v>
      </c>
      <c r="P75" s="2">
        <f>P9/'Output-Calculation-sheet'!P8*'Output-Calculation-sheet'!P62</f>
        <v>55.894713356392458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276.16282998686847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260.93752470160138</v>
      </c>
      <c r="Y75" s="2">
        <f>Y9/'Output-Calculation-sheet'!Y8*'Output-Calculation-sheet'!Y62</f>
        <v>0</v>
      </c>
      <c r="AA75" s="2">
        <f t="shared" si="6"/>
        <v>11.879619130997986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7007.3289787602907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4840.8275290341135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3296.6318931018263</v>
      </c>
      <c r="N76" s="2">
        <f>N10/'Output-Calculation-sheet'!N9*'Output-Calculation-sheet'!N63</f>
        <v>1886.3295597333511</v>
      </c>
      <c r="O76" s="2">
        <f>O10/'Output-Calculation-sheet'!O9*'Output-Calculation-sheet'!O63</f>
        <v>696.71759753077492</v>
      </c>
      <c r="P76" s="2">
        <f>P10/'Output-Calculation-sheet'!P9*'Output-Calculation-sheet'!P63</f>
        <v>646.6447284953349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497.9480817193994</v>
      </c>
      <c r="S76" s="2">
        <f>S10/'Output-Calculation-sheet'!S9*'Output-Calculation-sheet'!S63</f>
        <v>836.44890552964421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176.95968496074303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388.19677669132045</v>
      </c>
      <c r="Y76" s="2">
        <f>Y10/'Output-Calculation-sheet'!Y9*'Output-Calculation-sheet'!Y63</f>
        <v>7.364167792554972</v>
      </c>
      <c r="AA76" s="2">
        <f t="shared" si="6"/>
        <v>28.158857574445928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10191.132602541005</v>
      </c>
      <c r="D77" s="2">
        <f>D11/'Output-Calculation-sheet'!D10*'Output-Calculation-sheet'!D64</f>
        <v>2384.963569686578</v>
      </c>
      <c r="E77" s="2">
        <f>E11/'Output-Calculation-sheet'!E10*'Output-Calculation-sheet'!E64</f>
        <v>2973.7246687992215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1264.0168255659078</v>
      </c>
      <c r="H77" s="2">
        <f>H11/'Output-Calculation-sheet'!H10*'Output-Calculation-sheet'!H64</f>
        <v>6324.5989409499489</v>
      </c>
      <c r="I77" s="2">
        <f>I11/'Output-Calculation-sheet'!I10*'Output-Calculation-sheet'!I64</f>
        <v>742.82266194198007</v>
      </c>
      <c r="J77" s="2">
        <f>J11/'Output-Calculation-sheet'!J10*'Output-Calculation-sheet'!J64</f>
        <v>520.24359915084597</v>
      </c>
      <c r="K77" s="2">
        <f>K11/'Output-Calculation-sheet'!K10*'Output-Calculation-sheet'!K64</f>
        <v>1131.2848883659456</v>
      </c>
      <c r="L77" s="2">
        <f>L11/'Output-Calculation-sheet'!L10*'Output-Calculation-sheet'!L64</f>
        <v>465.65152496304842</v>
      </c>
      <c r="M77" s="2">
        <f>M11/'Output-Calculation-sheet'!M10*'Output-Calculation-sheet'!M64</f>
        <v>4517.4644977644539</v>
      </c>
      <c r="N77" s="2">
        <f>N11/'Output-Calculation-sheet'!N10*'Output-Calculation-sheet'!N64</f>
        <v>3180.5777801062327</v>
      </c>
      <c r="O77" s="2">
        <f>O11/'Output-Calculation-sheet'!O10*'Output-Calculation-sheet'!O64</f>
        <v>1158.2936117263596</v>
      </c>
      <c r="P77" s="2">
        <f>P11/'Output-Calculation-sheet'!P10*'Output-Calculation-sheet'!P64</f>
        <v>1410.2240576445156</v>
      </c>
      <c r="Q77" s="2">
        <f>Q11/'Output-Calculation-sheet'!Q10*'Output-Calculation-sheet'!Q64</f>
        <v>992.9671972356789</v>
      </c>
      <c r="R77" s="2">
        <f>R11/'Output-Calculation-sheet'!R10*'Output-Calculation-sheet'!R64</f>
        <v>1201.3385927602737</v>
      </c>
      <c r="S77" s="2">
        <f>S11/'Output-Calculation-sheet'!S10*'Output-Calculation-sheet'!S64</f>
        <v>1599.4020225660513</v>
      </c>
      <c r="T77" s="2">
        <f>T11/'Output-Calculation-sheet'!T10*'Output-Calculation-sheet'!T64</f>
        <v>331.1149546768151</v>
      </c>
      <c r="U77" s="2">
        <f>U11/'Output-Calculation-sheet'!U10*'Output-Calculation-sheet'!U64</f>
        <v>351.42792612646025</v>
      </c>
      <c r="V77" s="2">
        <f>V11/'Output-Calculation-sheet'!V10*'Output-Calculation-sheet'!V64</f>
        <v>175.13377637822958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452.20788339176983</v>
      </c>
      <c r="Y77" s="2">
        <f>Y11/'Output-Calculation-sheet'!Y10*'Output-Calculation-sheet'!Y64</f>
        <v>109.97339484408509</v>
      </c>
      <c r="AA77" s="2">
        <f t="shared" si="6"/>
        <v>61.194291266952455</v>
      </c>
    </row>
    <row r="78" spans="1:27" x14ac:dyDescent="0.25">
      <c r="A78" s="2">
        <v>2035</v>
      </c>
      <c r="B78" s="2">
        <f>B12/'Output-Calculation-sheet'!B11*'Output-Calculation-sheet'!B65</f>
        <v>21484.417448870438</v>
      </c>
      <c r="C78" s="2">
        <f>C12/'Output-Calculation-sheet'!C11*'Output-Calculation-sheet'!C65</f>
        <v>16649.836828913478</v>
      </c>
      <c r="D78" s="2">
        <f>D12/'Output-Calculation-sheet'!D11*'Output-Calculation-sheet'!D65</f>
        <v>2869.9481228428676</v>
      </c>
      <c r="E78" s="2">
        <f>E12/'Output-Calculation-sheet'!E11*'Output-Calculation-sheet'!E65</f>
        <v>4973.1252846045754</v>
      </c>
      <c r="F78" s="2">
        <f>F12/'Output-Calculation-sheet'!F11*'Output-Calculation-sheet'!F65</f>
        <v>636.41311825647483</v>
      </c>
      <c r="G78" s="2">
        <f>G12/'Output-Calculation-sheet'!G11*'Output-Calculation-sheet'!G65</f>
        <v>1260.3038779084172</v>
      </c>
      <c r="H78" s="2">
        <f>H12/'Output-Calculation-sheet'!H11*'Output-Calculation-sheet'!H65</f>
        <v>6834.0775123849044</v>
      </c>
      <c r="I78" s="2">
        <f>I12/'Output-Calculation-sheet'!I11*'Output-Calculation-sheet'!I65</f>
        <v>834.68781212060844</v>
      </c>
      <c r="J78" s="2">
        <f>J12/'Output-Calculation-sheet'!J11*'Output-Calculation-sheet'!J65</f>
        <v>1208.1295619541518</v>
      </c>
      <c r="K78" s="2">
        <f>K12/'Output-Calculation-sheet'!K11*'Output-Calculation-sheet'!K65</f>
        <v>1514.0945887346711</v>
      </c>
      <c r="L78" s="2">
        <f>L12/'Output-Calculation-sheet'!L11*'Output-Calculation-sheet'!L65</f>
        <v>1284.3939533562921</v>
      </c>
      <c r="M78" s="2">
        <f>M12/'Output-Calculation-sheet'!M11*'Output-Calculation-sheet'!M65</f>
        <v>4979.7118685848864</v>
      </c>
      <c r="N78" s="2">
        <f>N12/'Output-Calculation-sheet'!N11*'Output-Calculation-sheet'!N65</f>
        <v>3532.1190544566221</v>
      </c>
      <c r="O78" s="2">
        <f>O12/'Output-Calculation-sheet'!O11*'Output-Calculation-sheet'!O65</f>
        <v>1982.9109392420946</v>
      </c>
      <c r="P78" s="2">
        <f>P12/'Output-Calculation-sheet'!P11*'Output-Calculation-sheet'!P65</f>
        <v>1734.3072070266765</v>
      </c>
      <c r="Q78" s="2">
        <f>Q12/'Output-Calculation-sheet'!Q11*'Output-Calculation-sheet'!Q65</f>
        <v>1193.9014792702692</v>
      </c>
      <c r="R78" s="2">
        <f>R12/'Output-Calculation-sheet'!R11*'Output-Calculation-sheet'!R65</f>
        <v>1616.1591537741917</v>
      </c>
      <c r="S78" s="2">
        <f>S12/'Output-Calculation-sheet'!S11*'Output-Calculation-sheet'!S65</f>
        <v>1684.1101144788486</v>
      </c>
      <c r="T78" s="2">
        <f>T12/'Output-Calculation-sheet'!T11*'Output-Calculation-sheet'!T65</f>
        <v>557.49498218256224</v>
      </c>
      <c r="U78" s="2">
        <f>U12/'Output-Calculation-sheet'!U11*'Output-Calculation-sheet'!U65</f>
        <v>381.40773193900969</v>
      </c>
      <c r="V78" s="2">
        <f>V12/'Output-Calculation-sheet'!V11*'Output-Calculation-sheet'!V65</f>
        <v>313.03440444349809</v>
      </c>
      <c r="W78" s="2">
        <f>W12/'Output-Calculation-sheet'!W11*'Output-Calculation-sheet'!W65</f>
        <v>150.75020172153765</v>
      </c>
      <c r="X78" s="2">
        <f>X12/'Output-Calculation-sheet'!X11*'Output-Calculation-sheet'!X65</f>
        <v>487.49612958415759</v>
      </c>
      <c r="Y78" s="2">
        <f>Y12/'Output-Calculation-sheet'!Y11*'Output-Calculation-sheet'!Y65</f>
        <v>133.38031584384032</v>
      </c>
      <c r="AA78" s="2">
        <f t="shared" si="6"/>
        <v>78.296211692495078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323.68233673077441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83.84369364614011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0.40752603037691448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618.88504999247561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120.2327157959152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0.73911776578839083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822.03835827946943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159.69993830931577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0.98173829658878531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890.52189815982229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45.688395790982732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173.00444774484473</v>
      </c>
      <c r="P88" s="2">
        <f>P11/'Output-Calculation-sheet'!P10*'Output-Calculation-sheet'!P73</f>
        <v>0</v>
      </c>
      <c r="Q88" s="2">
        <f>Q11/'Output-Calculation-sheet'!Q10*'Output-Calculation-sheet'!Q73</f>
        <v>27.071817585966869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8.6375639317322968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3.4488356637235627</v>
      </c>
      <c r="Y88" s="2">
        <f>Y11/'Output-Calculation-sheet'!Y10*'Output-Calculation-sheet'!Y73</f>
        <v>0</v>
      </c>
      <c r="AA88" s="2">
        <f t="shared" si="7"/>
        <v>1.1483729588770724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793.41609859011101</v>
      </c>
      <c r="D89" s="2">
        <f>D12/'Output-Calculation-sheet'!D11*'Output-Calculation-sheet'!D74</f>
        <v>140.56659268466805</v>
      </c>
      <c r="E89" s="2">
        <f>E12/'Output-Calculation-sheet'!E11*'Output-Calculation-sheet'!E74</f>
        <v>223.42589503356359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50.424256938001811</v>
      </c>
      <c r="H89" s="2">
        <f>H12/'Output-Calculation-sheet'!H11*'Output-Calculation-sheet'!H74</f>
        <v>97.695274146711427</v>
      </c>
      <c r="I89" s="2">
        <f>I12/'Output-Calculation-sheet'!I11*'Output-Calculation-sheet'!I74</f>
        <v>45.353608569909177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44.5754582016272</v>
      </c>
      <c r="L89" s="2">
        <f>L12/'Output-Calculation-sheet'!L11*'Output-Calculation-sheet'!L74</f>
        <v>35.44426838193813</v>
      </c>
      <c r="M89" s="2">
        <f>M12/'Output-Calculation-sheet'!M11*'Output-Calculation-sheet'!M74</f>
        <v>67.22390864288792</v>
      </c>
      <c r="N89" s="2">
        <f>N12/'Output-Calculation-sheet'!N11*'Output-Calculation-sheet'!N74</f>
        <v>33.035157636144987</v>
      </c>
      <c r="O89" s="2">
        <f>O12/'Output-Calculation-sheet'!O11*'Output-Calculation-sheet'!O74</f>
        <v>154.13940325565861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28.943767831226676</v>
      </c>
      <c r="R89" s="2">
        <f>R12/'Output-Calculation-sheet'!R11*'Output-Calculation-sheet'!R74</f>
        <v>28.70314271612602</v>
      </c>
      <c r="S89" s="2">
        <f>S12/'Output-Calculation-sheet'!S11*'Output-Calculation-sheet'!S74</f>
        <v>37.873682760704092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9.2348304384641935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14.749256997153221</v>
      </c>
      <c r="Y89" s="2">
        <f>Y12/'Output-Calculation-sheet'!Y11*'Output-Calculation-sheet'!Y74</f>
        <v>7.116653283739212</v>
      </c>
      <c r="AA89" s="2">
        <f t="shared" si="7"/>
        <v>2.6806810581149234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10031712267.198656</v>
      </c>
      <c r="C96" s="2">
        <f>C8/'Output-Calculation-sheet'!C7*'Output-Calculation-sheet'!C79</f>
        <v>2422490397.2669926</v>
      </c>
      <c r="D96" s="2">
        <f>D8/'Output-Calculation-sheet'!D7*'Output-Calculation-sheet'!D79</f>
        <v>1966701800.9922705</v>
      </c>
      <c r="E96" s="2">
        <f>E8/'Output-Calculation-sheet'!E7*'Output-Calculation-sheet'!E79</f>
        <v>7368516191.9785252</v>
      </c>
      <c r="F96" s="2">
        <f>F8/'Output-Calculation-sheet'!F7*'Output-Calculation-sheet'!F79</f>
        <v>2149508925.8211975</v>
      </c>
      <c r="G96" s="2">
        <f>G8/'Output-Calculation-sheet'!G7*'Output-Calculation-sheet'!G79</f>
        <v>1379675170.2604542</v>
      </c>
      <c r="H96" s="2">
        <f>H8/'Output-Calculation-sheet'!H7*'Output-Calculation-sheet'!H79</f>
        <v>1699711772.0904131</v>
      </c>
      <c r="I96" s="2">
        <f>I8/'Output-Calculation-sheet'!I7*'Output-Calculation-sheet'!I79</f>
        <v>992120627.14635503</v>
      </c>
      <c r="J96" s="2">
        <f>J8/'Output-Calculation-sheet'!J7*'Output-Calculation-sheet'!J79</f>
        <v>751833060.25505519</v>
      </c>
      <c r="K96" s="2">
        <f>K8/'Output-Calculation-sheet'!K7*'Output-Calculation-sheet'!K79</f>
        <v>942896070.32475829</v>
      </c>
      <c r="L96" s="2">
        <f>L8/'Output-Calculation-sheet'!L7*'Output-Calculation-sheet'!L79</f>
        <v>855986924.13585901</v>
      </c>
      <c r="M96" s="2">
        <f>M8/'Output-Calculation-sheet'!M7*'Output-Calculation-sheet'!M79</f>
        <v>1311490347.5967124</v>
      </c>
      <c r="N96" s="2">
        <f>N8/'Output-Calculation-sheet'!N7*'Output-Calculation-sheet'!N79</f>
        <v>852557272.98286402</v>
      </c>
      <c r="O96" s="2">
        <f>O8/'Output-Calculation-sheet'!O7*'Output-Calculation-sheet'!O79</f>
        <v>319897857.56518531</v>
      </c>
      <c r="P96" s="2">
        <f>P8/'Output-Calculation-sheet'!P7*'Output-Calculation-sheet'!P79</f>
        <v>1623703183.6541791</v>
      </c>
      <c r="Q96" s="2">
        <f>Q8/'Output-Calculation-sheet'!Q7*'Output-Calculation-sheet'!Q79</f>
        <v>689372785.50949216</v>
      </c>
      <c r="R96" s="2">
        <f>R8/'Output-Calculation-sheet'!R7*'Output-Calculation-sheet'!R79</f>
        <v>914990703.06953585</v>
      </c>
      <c r="S96" s="2">
        <f>S8/'Output-Calculation-sheet'!S7*'Output-Calculation-sheet'!S79</f>
        <v>516018874.29745573</v>
      </c>
      <c r="T96" s="2">
        <f>T8/'Output-Calculation-sheet'!T7*'Output-Calculation-sheet'!T79</f>
        <v>311304765.84003329</v>
      </c>
      <c r="U96" s="2">
        <f>U8/'Output-Calculation-sheet'!U7*'Output-Calculation-sheet'!U79</f>
        <v>245035437.61090314</v>
      </c>
      <c r="V96" s="2">
        <f>V8/'Output-Calculation-sheet'!V7*'Output-Calculation-sheet'!V79</f>
        <v>112463220.80630058</v>
      </c>
      <c r="W96" s="2">
        <f>W8/'Output-Calculation-sheet'!W7*'Output-Calculation-sheet'!W79</f>
        <v>346261326.24122608</v>
      </c>
      <c r="X96" s="2">
        <f>X8/'Output-Calculation-sheet'!X7*'Output-Calculation-sheet'!X79</f>
        <v>156171523.93440378</v>
      </c>
      <c r="Y96" s="2">
        <f>Y8/'Output-Calculation-sheet'!Y7*'Output-Calculation-sheet'!Y79</f>
        <v>214920619.32102019</v>
      </c>
      <c r="AA96" s="2">
        <f t="shared" si="8"/>
        <v>38.175341125899841</v>
      </c>
    </row>
    <row r="97" spans="1:27" x14ac:dyDescent="0.25">
      <c r="A97" s="2">
        <v>2032</v>
      </c>
      <c r="B97" s="2">
        <f>B9/'Output-Calculation-sheet'!B8*'Output-Calculation-sheet'!B80</f>
        <v>13191440435.398802</v>
      </c>
      <c r="C97" s="2">
        <f>C9/'Output-Calculation-sheet'!C8*'Output-Calculation-sheet'!C80</f>
        <v>3115578740.9711213</v>
      </c>
      <c r="D97" s="2">
        <f>D9/'Output-Calculation-sheet'!D8*'Output-Calculation-sheet'!D80</f>
        <v>2379964614.1774793</v>
      </c>
      <c r="E97" s="2">
        <f>E9/'Output-Calculation-sheet'!E8*'Output-Calculation-sheet'!E80</f>
        <v>10019301433.887074</v>
      </c>
      <c r="F97" s="2">
        <f>F9/'Output-Calculation-sheet'!F8*'Output-Calculation-sheet'!F80</f>
        <v>2747638427.9166865</v>
      </c>
      <c r="G97" s="2">
        <f>G9/'Output-Calculation-sheet'!G8*'Output-Calculation-sheet'!G80</f>
        <v>1683602031.3803716</v>
      </c>
      <c r="H97" s="2">
        <f>H9/'Output-Calculation-sheet'!H8*'Output-Calculation-sheet'!H80</f>
        <v>2204436384.4112654</v>
      </c>
      <c r="I97" s="2">
        <f>I9/'Output-Calculation-sheet'!I8*'Output-Calculation-sheet'!I80</f>
        <v>1269755031.0537782</v>
      </c>
      <c r="J97" s="2">
        <f>J9/'Output-Calculation-sheet'!J8*'Output-Calculation-sheet'!J80</f>
        <v>948859912.76081228</v>
      </c>
      <c r="K97" s="2">
        <f>K9/'Output-Calculation-sheet'!K8*'Output-Calculation-sheet'!K80</f>
        <v>1170265310.3578234</v>
      </c>
      <c r="L97" s="2">
        <f>L9/'Output-Calculation-sheet'!L8*'Output-Calculation-sheet'!L80</f>
        <v>1128799277.4703023</v>
      </c>
      <c r="M97" s="2">
        <f>M9/'Output-Calculation-sheet'!M8*'Output-Calculation-sheet'!M80</f>
        <v>1739152339.7580991</v>
      </c>
      <c r="N97" s="2">
        <f>N9/'Output-Calculation-sheet'!N8*'Output-Calculation-sheet'!N80</f>
        <v>1092719987.0851808</v>
      </c>
      <c r="O97" s="2">
        <f>O9/'Output-Calculation-sheet'!O8*'Output-Calculation-sheet'!O80</f>
        <v>406183867.0313614</v>
      </c>
      <c r="P97" s="2">
        <f>P9/'Output-Calculation-sheet'!P8*'Output-Calculation-sheet'!P80</f>
        <v>2048575286.0109744</v>
      </c>
      <c r="Q97" s="2">
        <f>Q9/'Output-Calculation-sheet'!Q8*'Output-Calculation-sheet'!Q80</f>
        <v>886081611.56756878</v>
      </c>
      <c r="R97" s="2">
        <f>R9/'Output-Calculation-sheet'!R8*'Output-Calculation-sheet'!R80</f>
        <v>1187353294.0975449</v>
      </c>
      <c r="S97" s="2">
        <f>S9/'Output-Calculation-sheet'!S8*'Output-Calculation-sheet'!S80</f>
        <v>660836854.27321982</v>
      </c>
      <c r="T97" s="2">
        <f>T9/'Output-Calculation-sheet'!T8*'Output-Calculation-sheet'!T80</f>
        <v>385331169.30315578</v>
      </c>
      <c r="U97" s="2">
        <f>U9/'Output-Calculation-sheet'!U8*'Output-Calculation-sheet'!U80</f>
        <v>306616373.39111465</v>
      </c>
      <c r="V97" s="2">
        <f>V9/'Output-Calculation-sheet'!V8*'Output-Calculation-sheet'!V80</f>
        <v>141429880.07083827</v>
      </c>
      <c r="W97" s="2">
        <f>W9/'Output-Calculation-sheet'!W8*'Output-Calculation-sheet'!W80</f>
        <v>437649777.41108572</v>
      </c>
      <c r="X97" s="2">
        <f>X9/'Output-Calculation-sheet'!X8*'Output-Calculation-sheet'!X80</f>
        <v>211968229.09919837</v>
      </c>
      <c r="Y97" s="2">
        <f>Y9/'Output-Calculation-sheet'!Y8*'Output-Calculation-sheet'!Y80</f>
        <v>278251732.8403964</v>
      </c>
      <c r="AA97" s="2">
        <f t="shared" si="8"/>
        <v>49.641792001725243</v>
      </c>
    </row>
    <row r="98" spans="1:27" x14ac:dyDescent="0.25">
      <c r="A98" s="2">
        <v>2033</v>
      </c>
      <c r="B98" s="2">
        <f>B10/'Output-Calculation-sheet'!B9*'Output-Calculation-sheet'!B81</f>
        <v>15983380022.583416</v>
      </c>
      <c r="C98" s="2">
        <f>C10/'Output-Calculation-sheet'!C9*'Output-Calculation-sheet'!C81</f>
        <v>3701123583.2945957</v>
      </c>
      <c r="D98" s="2">
        <f>D10/'Output-Calculation-sheet'!D9*'Output-Calculation-sheet'!D81</f>
        <v>2662577405.6674876</v>
      </c>
      <c r="E98" s="2">
        <f>E10/'Output-Calculation-sheet'!E9*'Output-Calculation-sheet'!E81</f>
        <v>12568383376.822187</v>
      </c>
      <c r="F98" s="2">
        <f>F10/'Output-Calculation-sheet'!F9*'Output-Calculation-sheet'!F81</f>
        <v>3238250941.3873043</v>
      </c>
      <c r="G98" s="2">
        <f>G10/'Output-Calculation-sheet'!G9*'Output-Calculation-sheet'!G81</f>
        <v>1891852579.2831926</v>
      </c>
      <c r="H98" s="2">
        <f>H10/'Output-Calculation-sheet'!H9*'Output-Calculation-sheet'!H81</f>
        <v>2633749261.4656973</v>
      </c>
      <c r="I98" s="2">
        <f>I10/'Output-Calculation-sheet'!I9*'Output-Calculation-sheet'!I81</f>
        <v>1500954868.6422043</v>
      </c>
      <c r="J98" s="2">
        <f>J10/'Output-Calculation-sheet'!J9*'Output-Calculation-sheet'!J81</f>
        <v>1107245015.8522131</v>
      </c>
      <c r="K98" s="2">
        <f>K10/'Output-Calculation-sheet'!K9*'Output-Calculation-sheet'!K81</f>
        <v>1340817995.0738904</v>
      </c>
      <c r="L98" s="2">
        <f>L10/'Output-Calculation-sheet'!L9*'Output-Calculation-sheet'!L81</f>
        <v>1374204046.7006409</v>
      </c>
      <c r="M98" s="2">
        <f>M10/'Output-Calculation-sheet'!M9*'Output-Calculation-sheet'!M81</f>
        <v>2129525765.7017629</v>
      </c>
      <c r="N98" s="2">
        <f>N10/'Output-Calculation-sheet'!N9*'Output-Calculation-sheet'!N81</f>
        <v>1294145294.7866056</v>
      </c>
      <c r="O98" s="2">
        <f>O10/'Output-Calculation-sheet'!O9*'Output-Calculation-sheet'!O81</f>
        <v>477319692.94892615</v>
      </c>
      <c r="P98" s="2">
        <f>P10/'Output-Calculation-sheet'!P9*'Output-Calculation-sheet'!P81</f>
        <v>2367987647.4662762</v>
      </c>
      <c r="Q98" s="2">
        <f>Q10/'Output-Calculation-sheet'!Q9*'Output-Calculation-sheet'!Q81</f>
        <v>1052175912.0619609</v>
      </c>
      <c r="R98" s="2">
        <f>R10/'Output-Calculation-sheet'!R9*'Output-Calculation-sheet'!R81</f>
        <v>1420200070.7431147</v>
      </c>
      <c r="S98" s="2">
        <f>S10/'Output-Calculation-sheet'!S9*'Output-Calculation-sheet'!S81</f>
        <v>779974093.7943083</v>
      </c>
      <c r="T98" s="2">
        <f>T10/'Output-Calculation-sheet'!T9*'Output-Calculation-sheet'!T81</f>
        <v>439449619.30697596</v>
      </c>
      <c r="U98" s="2">
        <f>U10/'Output-Calculation-sheet'!U9*'Output-Calculation-sheet'!U81</f>
        <v>353110636.89248872</v>
      </c>
      <c r="V98" s="2">
        <f>V10/'Output-Calculation-sheet'!V9*'Output-Calculation-sheet'!V81</f>
        <v>164001565.61417988</v>
      </c>
      <c r="W98" s="2">
        <f>W10/'Output-Calculation-sheet'!W9*'Output-Calculation-sheet'!W81</f>
        <v>507171348.95006895</v>
      </c>
      <c r="X98" s="2">
        <f>X10/'Output-Calculation-sheet'!X9*'Output-Calculation-sheet'!X81</f>
        <v>265878053.16395882</v>
      </c>
      <c r="Y98" s="2">
        <f>Y10/'Output-Calculation-sheet'!Y9*'Output-Calculation-sheet'!Y81</f>
        <v>331012122.50300038</v>
      </c>
      <c r="AA98" s="2">
        <f t="shared" si="8"/>
        <v>59.584490920706457</v>
      </c>
    </row>
    <row r="99" spans="1:27" x14ac:dyDescent="0.25">
      <c r="A99" s="2">
        <v>2034</v>
      </c>
      <c r="B99" s="2">
        <f>B11/'Output-Calculation-sheet'!B10*'Output-Calculation-sheet'!B82</f>
        <v>18330282923.519142</v>
      </c>
      <c r="C99" s="2">
        <f>C11/'Output-Calculation-sheet'!C10*'Output-Calculation-sheet'!C82</f>
        <v>4172574490.5006099</v>
      </c>
      <c r="D99" s="2">
        <f>D11/'Output-Calculation-sheet'!D10*'Output-Calculation-sheet'!D82</f>
        <v>2830378524.5187492</v>
      </c>
      <c r="E99" s="2">
        <f>E11/'Output-Calculation-sheet'!E10*'Output-Calculation-sheet'!E82</f>
        <v>14938254057.955624</v>
      </c>
      <c r="F99" s="2">
        <f>F11/'Output-Calculation-sheet'!F10*'Output-Calculation-sheet'!F82</f>
        <v>3615896793.3250675</v>
      </c>
      <c r="G99" s="2">
        <f>G11/'Output-Calculation-sheet'!G10*'Output-Calculation-sheet'!G82</f>
        <v>2012464670.4646373</v>
      </c>
      <c r="H99" s="2">
        <f>H11/'Output-Calculation-sheet'!H10*'Output-Calculation-sheet'!H82</f>
        <v>2977923035.4925475</v>
      </c>
      <c r="I99" s="2">
        <f>I11/'Output-Calculation-sheet'!I10*'Output-Calculation-sheet'!I82</f>
        <v>1683887473.9382243</v>
      </c>
      <c r="J99" s="2">
        <f>J11/'Output-Calculation-sheet'!J10*'Output-Calculation-sheet'!J82</f>
        <v>1227545671.1061189</v>
      </c>
      <c r="K99" s="2">
        <f>K11/'Output-Calculation-sheet'!K10*'Output-Calculation-sheet'!K82</f>
        <v>1457532624.3099079</v>
      </c>
      <c r="L99" s="2">
        <f>L11/'Output-Calculation-sheet'!L10*'Output-Calculation-sheet'!L82</f>
        <v>1586650715.8107111</v>
      </c>
      <c r="M99" s="2">
        <f>M11/'Output-Calculation-sheet'!M10*'Output-Calculation-sheet'!M82</f>
        <v>2473349695.4210782</v>
      </c>
      <c r="N99" s="2">
        <f>N11/'Output-Calculation-sheet'!N10*'Output-Calculation-sheet'!N82</f>
        <v>1455247507.3432686</v>
      </c>
      <c r="O99" s="2">
        <f>O11/'Output-Calculation-sheet'!O10*'Output-Calculation-sheet'!O82</f>
        <v>533345896.70795584</v>
      </c>
      <c r="P99" s="2">
        <f>P11/'Output-Calculation-sheet'!P10*'Output-Calculation-sheet'!P82</f>
        <v>2577991995.8811541</v>
      </c>
      <c r="Q99" s="2">
        <f>Q11/'Output-Calculation-sheet'!Q10*'Output-Calculation-sheet'!Q82</f>
        <v>1185848212.4539998</v>
      </c>
      <c r="R99" s="2">
        <f>R11/'Output-Calculation-sheet'!R10*'Output-Calculation-sheet'!R82</f>
        <v>1608572186.9462461</v>
      </c>
      <c r="S99" s="2">
        <f>S11/'Output-Calculation-sheet'!S10*'Output-Calculation-sheet'!S82</f>
        <v>871710766.33157337</v>
      </c>
      <c r="T99" s="2">
        <f>T11/'Output-Calculation-sheet'!T10*'Output-Calculation-sheet'!T82</f>
        <v>474683188.88719666</v>
      </c>
      <c r="U99" s="2">
        <f>U11/'Output-Calculation-sheet'!U10*'Output-Calculation-sheet'!U82</f>
        <v>384699476.88893574</v>
      </c>
      <c r="V99" s="2">
        <f>V11/'Output-Calculation-sheet'!V10*'Output-Calculation-sheet'!V82</f>
        <v>180201966.03919226</v>
      </c>
      <c r="W99" s="2">
        <f>W11/'Output-Calculation-sheet'!W10*'Output-Calculation-sheet'!W82</f>
        <v>553936169.81614625</v>
      </c>
      <c r="X99" s="2">
        <f>X11/'Output-Calculation-sheet'!X10*'Output-Calculation-sheet'!X82</f>
        <v>316597768.23454428</v>
      </c>
      <c r="Y99" s="2">
        <f>Y11/'Output-Calculation-sheet'!Y10*'Output-Calculation-sheet'!Y82</f>
        <v>371805127.69036222</v>
      </c>
      <c r="AA99" s="2">
        <f t="shared" si="8"/>
        <v>67.821380939582994</v>
      </c>
    </row>
    <row r="100" spans="1:27" x14ac:dyDescent="0.25">
      <c r="A100" s="2">
        <v>2035</v>
      </c>
      <c r="B100" s="2">
        <f>B12/'Output-Calculation-sheet'!B11*'Output-Calculation-sheet'!B83</f>
        <v>20216308568.849121</v>
      </c>
      <c r="C100" s="2">
        <f>C12/'Output-Calculation-sheet'!C11*'Output-Calculation-sheet'!C83</f>
        <v>4536600915.8473253</v>
      </c>
      <c r="D100" s="2">
        <f>D12/'Output-Calculation-sheet'!D11*'Output-Calculation-sheet'!D83</f>
        <v>2906070925.8309736</v>
      </c>
      <c r="E100" s="2">
        <f>E12/'Output-Calculation-sheet'!E11*'Output-Calculation-sheet'!E83</f>
        <v>17089344002.853453</v>
      </c>
      <c r="F100" s="2">
        <f>F12/'Output-Calculation-sheet'!F11*'Output-Calculation-sheet'!F83</f>
        <v>3888030976.9439754</v>
      </c>
      <c r="G100" s="2">
        <f>G12/'Output-Calculation-sheet'!G11*'Output-Calculation-sheet'!G83</f>
        <v>2060529271.8759654</v>
      </c>
      <c r="H100" s="2">
        <f>H12/'Output-Calculation-sheet'!H11*'Output-Calculation-sheet'!H83</f>
        <v>3237924240.5718713</v>
      </c>
      <c r="I100" s="2">
        <f>I12/'Output-Calculation-sheet'!I11*'Output-Calculation-sheet'!I83</f>
        <v>1822142905.2037563</v>
      </c>
      <c r="J100" s="2">
        <f>J12/'Output-Calculation-sheet'!J11*'Output-Calculation-sheet'!J83</f>
        <v>1313984082.3561041</v>
      </c>
      <c r="K100" s="2">
        <f>K12/'Output-Calculation-sheet'!K11*'Output-Calculation-sheet'!K83</f>
        <v>1528039129.3238862</v>
      </c>
      <c r="L100" s="2">
        <f>L12/'Output-Calculation-sheet'!L11*'Output-Calculation-sheet'!L83</f>
        <v>1765414499.5358832</v>
      </c>
      <c r="M100" s="2">
        <f>M12/'Output-Calculation-sheet'!M11*'Output-Calculation-sheet'!M83</f>
        <v>2768573654.1558075</v>
      </c>
      <c r="N100" s="2">
        <f>N12/'Output-Calculation-sheet'!N11*'Output-Calculation-sheet'!N83</f>
        <v>1578983741.9958565</v>
      </c>
      <c r="O100" s="2">
        <f>O12/'Output-Calculation-sheet'!O11*'Output-Calculation-sheet'!O83</f>
        <v>575806545.86870992</v>
      </c>
      <c r="P100" s="2">
        <f>P12/'Output-Calculation-sheet'!P11*'Output-Calculation-sheet'!P83</f>
        <v>2688165489.4047141</v>
      </c>
      <c r="Q100" s="2">
        <f>Q12/'Output-Calculation-sheet'!Q11*'Output-Calculation-sheet'!Q83</f>
        <v>1288977415.0306742</v>
      </c>
      <c r="R100" s="2">
        <f>R12/'Output-Calculation-sheet'!R11*'Output-Calculation-sheet'!R83</f>
        <v>1753102134.7042561</v>
      </c>
      <c r="S100" s="2">
        <f>S12/'Output-Calculation-sheet'!S11*'Output-Calculation-sheet'!S83</f>
        <v>937470604.95529366</v>
      </c>
      <c r="T100" s="2">
        <f>T12/'Output-Calculation-sheet'!T11*'Output-Calculation-sheet'!T83</f>
        <v>493768906.20346421</v>
      </c>
      <c r="U100" s="2">
        <f>U12/'Output-Calculation-sheet'!U11*'Output-Calculation-sheet'!U83</f>
        <v>403091760.24665427</v>
      </c>
      <c r="V100" s="2">
        <f>V12/'Output-Calculation-sheet'!V11*'Output-Calculation-sheet'!V83</f>
        <v>190690575.69664624</v>
      </c>
      <c r="W100" s="2">
        <f>W12/'Output-Calculation-sheet'!W11*'Output-Calculation-sheet'!W83</f>
        <v>579827464.66593647</v>
      </c>
      <c r="X100" s="2">
        <f>X12/'Output-Calculation-sheet'!X11*'Output-Calculation-sheet'!X83</f>
        <v>363617525.66963506</v>
      </c>
      <c r="Y100" s="2">
        <f>Y12/'Output-Calculation-sheet'!Y11*'Output-Calculation-sheet'!Y83</f>
        <v>400817029.59347618</v>
      </c>
      <c r="AA100" s="2">
        <f t="shared" si="8"/>
        <v>74.387282367383435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1665572967.2367306</v>
      </c>
      <c r="C107" s="2">
        <f>C8/'Output-Calculation-sheet'!C7*'Output-Calculation-sheet'!C88</f>
        <v>21478070926.705227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8558349205.507802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5904545248.3074322</v>
      </c>
      <c r="N107" s="2">
        <f>N8/'Output-Calculation-sheet'!N7*'Output-Calculation-sheet'!N88</f>
        <v>1971123376.4586816</v>
      </c>
      <c r="O107" s="2">
        <f>O8/'Output-Calculation-sheet'!O7*'Output-Calculation-sheet'!O88</f>
        <v>3383933571.6505561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592198427.01425421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639463622.75195932</v>
      </c>
      <c r="Y107" s="2">
        <f>Y8/'Output-Calculation-sheet'!Y7*'Output-Calculation-sheet'!Y88</f>
        <v>0</v>
      </c>
      <c r="AA107" s="2">
        <f t="shared" si="9"/>
        <v>44193.257345632635</v>
      </c>
    </row>
    <row r="108" spans="1:27" x14ac:dyDescent="0.25">
      <c r="A108" s="2">
        <v>2032</v>
      </c>
      <c r="B108" s="2">
        <f>B9/'Output-Calculation-sheet'!B8*'Output-Calculation-sheet'!B89</f>
        <v>7847114528.2792015</v>
      </c>
      <c r="C108" s="2">
        <f>C9/'Output-Calculation-sheet'!C8*'Output-Calculation-sheet'!C89</f>
        <v>26656270297.647915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12272865235.774914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8467209849.0340624</v>
      </c>
      <c r="N108" s="2">
        <f>N9/'Output-Calculation-sheet'!N8*'Output-Calculation-sheet'!N89</f>
        <v>3984491861.5525794</v>
      </c>
      <c r="O108" s="2">
        <f>O9/'Output-Calculation-sheet'!O8*'Output-Calculation-sheet'!O89</f>
        <v>4265873589.0192823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1185728360.4573915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917024135.97605932</v>
      </c>
      <c r="Y108" s="2">
        <f>Y9/'Output-Calculation-sheet'!Y8*'Output-Calculation-sheet'!Y89</f>
        <v>0</v>
      </c>
      <c r="AA108" s="2">
        <f t="shared" si="9"/>
        <v>65596.577857741402</v>
      </c>
    </row>
    <row r="109" spans="1:27" x14ac:dyDescent="0.25">
      <c r="A109" s="2">
        <v>2033</v>
      </c>
      <c r="B109" s="2">
        <f>B10/'Output-Calculation-sheet'!B9*'Output-Calculation-sheet'!B90</f>
        <v>22276746889.701363</v>
      </c>
      <c r="C109" s="2">
        <f>C10/'Output-Calculation-sheet'!C9*'Output-Calculation-sheet'!C90</f>
        <v>32859051582.079834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16302007563.231153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11246968561.754423</v>
      </c>
      <c r="N109" s="2">
        <f>N10/'Output-Calculation-sheet'!N9*'Output-Calculation-sheet'!N90</f>
        <v>6625387813.9372025</v>
      </c>
      <c r="O109" s="2">
        <f>O10/'Output-Calculation-sheet'!O9*'Output-Calculation-sheet'!O90</f>
        <v>5133235117.0763369</v>
      </c>
      <c r="P109" s="2">
        <f>P10/'Output-Calculation-sheet'!P9*'Output-Calculation-sheet'!P90</f>
        <v>0</v>
      </c>
      <c r="Q109" s="2">
        <f>Q10/'Output-Calculation-sheet'!Q9*'Output-Calculation-sheet'!Q90</f>
        <v>215634257.94799456</v>
      </c>
      <c r="R109" s="2">
        <f>R10/'Output-Calculation-sheet'!R9*'Output-Calculation-sheet'!R90</f>
        <v>-4.4429469014409956E-7</v>
      </c>
      <c r="S109" s="2">
        <f>S10/'Output-Calculation-sheet'!S9*'Output-Calculation-sheet'!S90</f>
        <v>2663167379.6828732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1218080723.4164708</v>
      </c>
      <c r="Y109" s="2">
        <f>Y10/'Output-Calculation-sheet'!Y9*'Output-Calculation-sheet'!Y90</f>
        <v>0</v>
      </c>
      <c r="AA109" s="2">
        <f t="shared" si="9"/>
        <v>98540.279888827674</v>
      </c>
    </row>
    <row r="110" spans="1:27" x14ac:dyDescent="0.25">
      <c r="A110" s="2">
        <v>2034</v>
      </c>
      <c r="B110" s="2">
        <f>B11/'Output-Calculation-sheet'!B10*'Output-Calculation-sheet'!B91</f>
        <v>55097780802.20517</v>
      </c>
      <c r="C110" s="2">
        <f>C11/'Output-Calculation-sheet'!C10*'Output-Calculation-sheet'!C91</f>
        <v>40615115677.684441</v>
      </c>
      <c r="D110" s="2">
        <f>D11/'Output-Calculation-sheet'!D10*'Output-Calculation-sheet'!D91</f>
        <v>0</v>
      </c>
      <c r="E110" s="2">
        <f>E11/'Output-Calculation-sheet'!E10*'Output-Calculation-sheet'!E91</f>
        <v>1166155637.2654285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20084810680.978333</v>
      </c>
      <c r="I110" s="2">
        <f>I11/'Output-Calculation-sheet'!I10*'Output-Calculation-sheet'!I91</f>
        <v>-1.9336847661296916E-6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937303211.50256431</v>
      </c>
      <c r="M110" s="2">
        <f>M11/'Output-Calculation-sheet'!M10*'Output-Calculation-sheet'!M91</f>
        <v>14214907167.072985</v>
      </c>
      <c r="N110" s="2">
        <f>N11/'Output-Calculation-sheet'!N10*'Output-Calculation-sheet'!N91</f>
        <v>9837683173.5707722</v>
      </c>
      <c r="O110" s="2">
        <f>O11/'Output-Calculation-sheet'!O10*'Output-Calculation-sheet'!O91</f>
        <v>6237698430.7000761</v>
      </c>
      <c r="P110" s="2">
        <f>P11/'Output-Calculation-sheet'!P10*'Output-Calculation-sheet'!P91</f>
        <v>0</v>
      </c>
      <c r="Q110" s="2">
        <f>Q11/'Output-Calculation-sheet'!Q10*'Output-Calculation-sheet'!Q91</f>
        <v>1574849927.3011541</v>
      </c>
      <c r="R110" s="2">
        <f>R11/'Output-Calculation-sheet'!R10*'Output-Calculation-sheet'!R91</f>
        <v>0</v>
      </c>
      <c r="S110" s="2">
        <f>S11/'Output-Calculation-sheet'!S10*'Output-Calculation-sheet'!S91</f>
        <v>4815965983.623148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1387686623.2313349</v>
      </c>
      <c r="Y110" s="2">
        <f>Y11/'Output-Calculation-sheet'!Y10*'Output-Calculation-sheet'!Y91</f>
        <v>61708111.02926416</v>
      </c>
      <c r="AA110" s="2">
        <f t="shared" si="9"/>
        <v>156031.66542616463</v>
      </c>
    </row>
    <row r="111" spans="1:27" x14ac:dyDescent="0.25">
      <c r="A111" s="2">
        <v>2035</v>
      </c>
      <c r="B111" s="2">
        <f>B12/'Output-Calculation-sheet'!B11*'Output-Calculation-sheet'!B92</f>
        <v>60723168310.635391</v>
      </c>
      <c r="C111" s="2">
        <f>C12/'Output-Calculation-sheet'!C11*'Output-Calculation-sheet'!C92</f>
        <v>53239045368.138985</v>
      </c>
      <c r="D111" s="2">
        <f>D12/'Output-Calculation-sheet'!D11*'Output-Calculation-sheet'!D92</f>
        <v>-1.5893583501670049E-6</v>
      </c>
      <c r="E111" s="2">
        <f>E12/'Output-Calculation-sheet'!E11*'Output-Calculation-sheet'!E92</f>
        <v>4925149042.1640177</v>
      </c>
      <c r="F111" s="2">
        <f>F12/'Output-Calculation-sheet'!F11*'Output-Calculation-sheet'!F92</f>
        <v>-3.4915458853093247E-7</v>
      </c>
      <c r="G111" s="2">
        <f>G12/'Output-Calculation-sheet'!G11*'Output-Calculation-sheet'!G92</f>
        <v>0</v>
      </c>
      <c r="H111" s="2">
        <f>H12/'Output-Calculation-sheet'!H11*'Output-Calculation-sheet'!H92</f>
        <v>22129855343.493755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2396458228.2822847</v>
      </c>
      <c r="M111" s="2">
        <f>M12/'Output-Calculation-sheet'!M11*'Output-Calculation-sheet'!M92</f>
        <v>15769777749.314209</v>
      </c>
      <c r="N111" s="2">
        <f>N12/'Output-Calculation-sheet'!N11*'Output-Calculation-sheet'!N92</f>
        <v>11102799343.995024</v>
      </c>
      <c r="O111" s="2">
        <f>O12/'Output-Calculation-sheet'!O11*'Output-Calculation-sheet'!O92</f>
        <v>8044782078.9580317</v>
      </c>
      <c r="P111" s="2">
        <f>P12/'Output-Calculation-sheet'!P11*'Output-Calculation-sheet'!P92</f>
        <v>477087379.78387409</v>
      </c>
      <c r="Q111" s="2">
        <f>Q12/'Output-Calculation-sheet'!Q11*'Output-Calculation-sheet'!Q92</f>
        <v>2110019488.345515</v>
      </c>
      <c r="R111" s="2">
        <f>R12/'Output-Calculation-sheet'!R11*'Output-Calculation-sheet'!R92</f>
        <v>0</v>
      </c>
      <c r="S111" s="2">
        <f>S12/'Output-Calculation-sheet'!S11*'Output-Calculation-sheet'!S92</f>
        <v>5304080500.115222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1541482459.377826</v>
      </c>
      <c r="Y111" s="2">
        <f>Y12/'Output-Calculation-sheet'!Y11*'Output-Calculation-sheet'!Y92</f>
        <v>104384899.78663522</v>
      </c>
      <c r="AA111" s="2">
        <f t="shared" si="9"/>
        <v>187868.09019239081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56554976654.52269</v>
      </c>
      <c r="C118" s="2">
        <f>C8/'Output-Calculation-sheet'!C7*'Output-Calculation-sheet'!C97</f>
        <v>0</v>
      </c>
      <c r="D118" s="2">
        <f>D8/'Output-Calculation-sheet'!D7*'Output-Calculation-sheet'!D97</f>
        <v>24453301712.0415</v>
      </c>
      <c r="E118" s="2">
        <f>E8/'Output-Calculation-sheet'!E7*'Output-Calculation-sheet'!E97</f>
        <v>19401213465.735241</v>
      </c>
      <c r="F118" s="2">
        <f>F8/'Output-Calculation-sheet'!F7*'Output-Calculation-sheet'!F97</f>
        <v>12489257313.699242</v>
      </c>
      <c r="G118" s="2">
        <f>G8/'Output-Calculation-sheet'!G7*'Output-Calculation-sheet'!G97</f>
        <v>8775294947.020607</v>
      </c>
      <c r="H118" s="2">
        <f>H8/'Output-Calculation-sheet'!H7*'Output-Calculation-sheet'!H97</f>
        <v>0</v>
      </c>
      <c r="I118" s="2">
        <f>I8/'Output-Calculation-sheet'!I7*'Output-Calculation-sheet'!I97</f>
        <v>7994984463.3933926</v>
      </c>
      <c r="J118" s="2">
        <f>J8/'Output-Calculation-sheet'!J7*'Output-Calculation-sheet'!J97</f>
        <v>7781767215.6882114</v>
      </c>
      <c r="K118" s="2">
        <f>K8/'Output-Calculation-sheet'!K7*'Output-Calculation-sheet'!K97</f>
        <v>7707163507.2928209</v>
      </c>
      <c r="L118" s="2">
        <f>L8/'Output-Calculation-sheet'!L7*'Output-Calculation-sheet'!L97</f>
        <v>6182786780.0361214</v>
      </c>
      <c r="M118" s="2">
        <f>M8/'Output-Calculation-sheet'!M7*'Output-Calculation-sheet'!M97</f>
        <v>0</v>
      </c>
      <c r="N118" s="2">
        <f>N8/'Output-Calculation-sheet'!N7*'Output-Calculation-sheet'!N97</f>
        <v>3825189264.679183</v>
      </c>
      <c r="O118" s="2">
        <f>O8/'Output-Calculation-sheet'!O7*'Output-Calculation-sheet'!O97</f>
        <v>0</v>
      </c>
      <c r="P118" s="2">
        <f>P8/'Output-Calculation-sheet'!P7*'Output-Calculation-sheet'!P97</f>
        <v>5276689745.8396435</v>
      </c>
      <c r="Q118" s="2">
        <f>Q8/'Output-Calculation-sheet'!Q7*'Output-Calculation-sheet'!Q97</f>
        <v>5191408927.5708923</v>
      </c>
      <c r="R118" s="2">
        <f>R8/'Output-Calculation-sheet'!R7*'Output-Calculation-sheet'!R97</f>
        <v>4994374142.6479139</v>
      </c>
      <c r="S118" s="2">
        <f>S8/'Output-Calculation-sheet'!S7*'Output-Calculation-sheet'!S97</f>
        <v>2727318864.6706386</v>
      </c>
      <c r="T118" s="2">
        <f>T8/'Output-Calculation-sheet'!T7*'Output-Calculation-sheet'!T97</f>
        <v>1835889348.3269577</v>
      </c>
      <c r="U118" s="2">
        <f>U8/'Output-Calculation-sheet'!U7*'Output-Calculation-sheet'!U97</f>
        <v>1598996578.7249329</v>
      </c>
      <c r="V118" s="2">
        <f>V8/'Output-Calculation-sheet'!V7*'Output-Calculation-sheet'!V97</f>
        <v>1231259829.3872526</v>
      </c>
      <c r="W118" s="2">
        <f>W8/'Output-Calculation-sheet'!W7*'Output-Calculation-sheet'!W97</f>
        <v>1065997718.8234779</v>
      </c>
      <c r="X118" s="2">
        <f>X8/'Output-Calculation-sheet'!X7*'Output-Calculation-sheet'!X97</f>
        <v>0</v>
      </c>
      <c r="Y118" s="2">
        <f>Y8/'Output-Calculation-sheet'!Y7*'Output-Calculation-sheet'!Y97</f>
        <v>622003516.23579383</v>
      </c>
      <c r="AA118" s="2">
        <f t="shared" si="10"/>
        <v>179709.87399633648</v>
      </c>
    </row>
    <row r="119" spans="1:27" x14ac:dyDescent="0.25">
      <c r="A119" s="2">
        <v>2032</v>
      </c>
      <c r="B119" s="2">
        <f>B9/'Output-Calculation-sheet'!B8*'Output-Calculation-sheet'!B98</f>
        <v>75641750404.685486</v>
      </c>
      <c r="C119" s="2">
        <f>C9/'Output-Calculation-sheet'!C8*'Output-Calculation-sheet'!C98</f>
        <v>0</v>
      </c>
      <c r="D119" s="2">
        <f>D9/'Output-Calculation-sheet'!D8*'Output-Calculation-sheet'!D98</f>
        <v>35066287957.821266</v>
      </c>
      <c r="E119" s="2">
        <f>E9/'Output-Calculation-sheet'!E8*'Output-Calculation-sheet'!E98</f>
        <v>27821534548.129963</v>
      </c>
      <c r="F119" s="2">
        <f>F9/'Output-Calculation-sheet'!F8*'Output-Calculation-sheet'!F98</f>
        <v>17909725699.680504</v>
      </c>
      <c r="G119" s="2">
        <f>G9/'Output-Calculation-sheet'!G8*'Output-Calculation-sheet'!G98</f>
        <v>12583864837.006424</v>
      </c>
      <c r="H119" s="2">
        <f>H9/'Output-Calculation-sheet'!H8*'Output-Calculation-sheet'!H98</f>
        <v>2.6420171334074432E-7</v>
      </c>
      <c r="I119" s="2">
        <f>I9/'Output-Calculation-sheet'!I8*'Output-Calculation-sheet'!I98</f>
        <v>11464892294.669052</v>
      </c>
      <c r="J119" s="2">
        <f>J9/'Output-Calculation-sheet'!J8*'Output-Calculation-sheet'!J98</f>
        <v>11159132172.867781</v>
      </c>
      <c r="K119" s="2">
        <f>K9/'Output-Calculation-sheet'!K8*'Output-Calculation-sheet'!K98</f>
        <v>11052151441.179342</v>
      </c>
      <c r="L119" s="2">
        <f>L9/'Output-Calculation-sheet'!L8*'Output-Calculation-sheet'!L98</f>
        <v>8866181668.2719479</v>
      </c>
      <c r="M119" s="2">
        <f>M9/'Output-Calculation-sheet'!M8*'Output-Calculation-sheet'!M98</f>
        <v>0</v>
      </c>
      <c r="N119" s="2">
        <f>N9/'Output-Calculation-sheet'!N8*'Output-Calculation-sheet'!N98</f>
        <v>4326784758.7090654</v>
      </c>
      <c r="O119" s="2">
        <f>O9/'Output-Calculation-sheet'!O8*'Output-Calculation-sheet'!O98</f>
        <v>0</v>
      </c>
      <c r="P119" s="2">
        <f>P9/'Output-Calculation-sheet'!P8*'Output-Calculation-sheet'!P98</f>
        <v>7566777767.4390755</v>
      </c>
      <c r="Q119" s="2">
        <f>Q9/'Output-Calculation-sheet'!Q8*'Output-Calculation-sheet'!Q98</f>
        <v>7444534160.5126448</v>
      </c>
      <c r="R119" s="2">
        <f>R9/'Output-Calculation-sheet'!R8*'Output-Calculation-sheet'!R98</f>
        <v>7161984815.0467253</v>
      </c>
      <c r="S119" s="2">
        <f>S9/'Output-Calculation-sheet'!S8*'Output-Calculation-sheet'!S98</f>
        <v>3574242153.8971715</v>
      </c>
      <c r="T119" s="2">
        <f>T9/'Output-Calculation-sheet'!T8*'Output-Calculation-sheet'!T98</f>
        <v>2632683929.9251475</v>
      </c>
      <c r="U119" s="2">
        <f>U9/'Output-Calculation-sheet'!U8*'Output-Calculation-sheet'!U98</f>
        <v>2292978198.4067574</v>
      </c>
      <c r="V119" s="2">
        <f>V9/'Output-Calculation-sheet'!V8*'Output-Calculation-sheet'!V98</f>
        <v>1765639072.6263969</v>
      </c>
      <c r="W119" s="2">
        <f>W9/'Output-Calculation-sheet'!W8*'Output-Calculation-sheet'!W98</f>
        <v>1528651892.0639939</v>
      </c>
      <c r="X119" s="2">
        <f>X9/'Output-Calculation-sheet'!X8*'Output-Calculation-sheet'!X98</f>
        <v>0</v>
      </c>
      <c r="Y119" s="2">
        <f>Y9/'Output-Calculation-sheet'!Y8*'Output-Calculation-sheet'!Y98</f>
        <v>891959207.49399126</v>
      </c>
      <c r="AA119" s="2">
        <f t="shared" si="10"/>
        <v>250751.75698043281</v>
      </c>
    </row>
    <row r="120" spans="1:27" x14ac:dyDescent="0.25">
      <c r="A120" s="2">
        <v>2033</v>
      </c>
      <c r="B120" s="2">
        <f>B10/'Output-Calculation-sheet'!B9*'Output-Calculation-sheet'!B99</f>
        <v>88611172425.201233</v>
      </c>
      <c r="C120" s="2">
        <f>C10/'Output-Calculation-sheet'!C9*'Output-Calculation-sheet'!C99</f>
        <v>0</v>
      </c>
      <c r="D120" s="2">
        <f>D10/'Output-Calculation-sheet'!D9*'Output-Calculation-sheet'!D99</f>
        <v>46577042516.001038</v>
      </c>
      <c r="E120" s="2">
        <f>E10/'Output-Calculation-sheet'!E9*'Output-Calculation-sheet'!E99</f>
        <v>36954151932.766426</v>
      </c>
      <c r="F120" s="2">
        <f>F10/'Output-Calculation-sheet'!F9*'Output-Calculation-sheet'!F99</f>
        <v>23788713686.026421</v>
      </c>
      <c r="G120" s="2">
        <f>G10/'Output-Calculation-sheet'!G9*'Output-Calculation-sheet'!G99</f>
        <v>16714603099.427715</v>
      </c>
      <c r="H120" s="2">
        <f>H10/'Output-Calculation-sheet'!H9*'Output-Calculation-sheet'!H99</f>
        <v>0</v>
      </c>
      <c r="I120" s="2">
        <f>I10/'Output-Calculation-sheet'!I9*'Output-Calculation-sheet'!I99</f>
        <v>15228321108.258501</v>
      </c>
      <c r="J120" s="2">
        <f>J10/'Output-Calculation-sheet'!J9*'Output-Calculation-sheet'!J99</f>
        <v>14822193122.869463</v>
      </c>
      <c r="K120" s="2">
        <f>K10/'Output-Calculation-sheet'!K9*'Output-Calculation-sheet'!K99</f>
        <v>14680096774.471441</v>
      </c>
      <c r="L120" s="2">
        <f>L10/'Output-Calculation-sheet'!L9*'Output-Calculation-sheet'!L99</f>
        <v>11776566044.54587</v>
      </c>
      <c r="M120" s="2">
        <f>M10/'Output-Calculation-sheet'!M9*'Output-Calculation-sheet'!M99</f>
        <v>0</v>
      </c>
      <c r="N120" s="2">
        <f>N10/'Output-Calculation-sheet'!N9*'Output-Calculation-sheet'!N99</f>
        <v>4413477800.7162848</v>
      </c>
      <c r="O120" s="2">
        <f>O10/'Output-Calculation-sheet'!O9*'Output-Calculation-sheet'!O99</f>
        <v>0</v>
      </c>
      <c r="P120" s="2">
        <f>P10/'Output-Calculation-sheet'!P9*'Output-Calculation-sheet'!P99</f>
        <v>10050101726.406349</v>
      </c>
      <c r="Q120" s="2">
        <f>Q10/'Output-Calculation-sheet'!Q9*'Output-Calculation-sheet'!Q99</f>
        <v>9672524113.3793774</v>
      </c>
      <c r="R120" s="2">
        <f>R10/'Output-Calculation-sheet'!R9*'Output-Calculation-sheet'!R99</f>
        <v>9512503461.0639706</v>
      </c>
      <c r="S120" s="2">
        <f>S10/'Output-Calculation-sheet'!S9*'Output-Calculation-sheet'!S99</f>
        <v>3658868413.4722538</v>
      </c>
      <c r="T120" s="2">
        <f>T10/'Output-Calculation-sheet'!T9*'Output-Calculation-sheet'!T99</f>
        <v>3496850242.3591032</v>
      </c>
      <c r="U120" s="2">
        <f>U10/'Output-Calculation-sheet'!U9*'Output-Calculation-sheet'!U99</f>
        <v>3046325814.2935829</v>
      </c>
      <c r="V120" s="2">
        <f>V10/'Output-Calculation-sheet'!V9*'Output-Calculation-sheet'!V99</f>
        <v>2345222216.1346664</v>
      </c>
      <c r="W120" s="2">
        <f>W10/'Output-Calculation-sheet'!W9*'Output-Calculation-sheet'!W99</f>
        <v>2030442686.4762449</v>
      </c>
      <c r="X120" s="2">
        <f>X10/'Output-Calculation-sheet'!X9*'Output-Calculation-sheet'!X99</f>
        <v>0</v>
      </c>
      <c r="Y120" s="2">
        <f>Y10/'Output-Calculation-sheet'!Y9*'Output-Calculation-sheet'!Y99</f>
        <v>1184752660.1700234</v>
      </c>
      <c r="AA120" s="2">
        <f t="shared" si="10"/>
        <v>318563.92984403996</v>
      </c>
    </row>
    <row r="121" spans="1:27" x14ac:dyDescent="0.25">
      <c r="A121" s="2">
        <v>2034</v>
      </c>
      <c r="B121" s="2">
        <f>B11/'Output-Calculation-sheet'!B10*'Output-Calculation-sheet'!B100</f>
        <v>85039937970.987518</v>
      </c>
      <c r="C121" s="2">
        <f>C11/'Output-Calculation-sheet'!C10*'Output-Calculation-sheet'!C100</f>
        <v>0</v>
      </c>
      <c r="D121" s="2">
        <f>D11/'Output-Calculation-sheet'!D10*'Output-Calculation-sheet'!D100</f>
        <v>58866896177.636398</v>
      </c>
      <c r="E121" s="2">
        <f>E11/'Output-Calculation-sheet'!E10*'Output-Calculation-sheet'!E100</f>
        <v>45546469802.491859</v>
      </c>
      <c r="F121" s="2">
        <f>F11/'Output-Calculation-sheet'!F10*'Output-Calculation-sheet'!F100</f>
        <v>30065853984.143177</v>
      </c>
      <c r="G121" s="2">
        <f>G11/'Output-Calculation-sheet'!G10*'Output-Calculation-sheet'!G100</f>
        <v>21123786425.039219</v>
      </c>
      <c r="H121" s="2">
        <f>H11/'Output-Calculation-sheet'!H10*'Output-Calculation-sheet'!H100</f>
        <v>0</v>
      </c>
      <c r="I121" s="2">
        <f>I11/'Output-Calculation-sheet'!I10*'Output-Calculation-sheet'!I100</f>
        <v>19245805116.778618</v>
      </c>
      <c r="J121" s="2">
        <f>J11/'Output-Calculation-sheet'!J10*'Output-Calculation-sheet'!J100</f>
        <v>18732720095.792633</v>
      </c>
      <c r="K121" s="2">
        <f>K11/'Output-Calculation-sheet'!K10*'Output-Calculation-sheet'!K100</f>
        <v>18553605833.481415</v>
      </c>
      <c r="L121" s="2">
        <f>L11/'Output-Calculation-sheet'!L10*'Output-Calculation-sheet'!L100</f>
        <v>13946216759.989525</v>
      </c>
      <c r="M121" s="2">
        <f>M11/'Output-Calculation-sheet'!M10*'Output-Calculation-sheet'!M100</f>
        <v>9.9640093542292292E-7</v>
      </c>
      <c r="N121" s="2">
        <f>N11/'Output-Calculation-sheet'!N10*'Output-Calculation-sheet'!N100</f>
        <v>4114206638.2891026</v>
      </c>
      <c r="O121" s="2">
        <f>O11/'Output-Calculation-sheet'!O10*'Output-Calculation-sheet'!O100</f>
        <v>0</v>
      </c>
      <c r="P121" s="2">
        <f>P11/'Output-Calculation-sheet'!P10*'Output-Calculation-sheet'!P100</f>
        <v>12701393464.046696</v>
      </c>
      <c r="Q121" s="2">
        <f>Q11/'Output-Calculation-sheet'!Q10*'Output-Calculation-sheet'!Q100</f>
        <v>10525717594.510538</v>
      </c>
      <c r="R121" s="2">
        <f>R11/'Output-Calculation-sheet'!R10*'Output-Calculation-sheet'!R100</f>
        <v>12021960781.149881</v>
      </c>
      <c r="S121" s="2">
        <f>S11/'Output-Calculation-sheet'!S10*'Output-Calculation-sheet'!S100</f>
        <v>3174143497.6678867</v>
      </c>
      <c r="T121" s="2">
        <f>T11/'Output-Calculation-sheet'!T10*'Output-Calculation-sheet'!T100</f>
        <v>4419269737.965374</v>
      </c>
      <c r="U121" s="2">
        <f>U11/'Output-Calculation-sheet'!U10*'Output-Calculation-sheet'!U100</f>
        <v>3724277443.0856643</v>
      </c>
      <c r="V121" s="2">
        <f>V11/'Output-Calculation-sheet'!V10*'Output-Calculation-sheet'!V100</f>
        <v>2964873967.7829742</v>
      </c>
      <c r="W121" s="2">
        <f>W11/'Output-Calculation-sheet'!W10*'Output-Calculation-sheet'!W100</f>
        <v>2566273051.4844799</v>
      </c>
      <c r="X121" s="2">
        <f>X11/'Output-Calculation-sheet'!X10*'Output-Calculation-sheet'!X100</f>
        <v>98830869.430361524</v>
      </c>
      <c r="Y121" s="2">
        <f>Y11/'Output-Calculation-sheet'!Y10*'Output-Calculation-sheet'!Y100</f>
        <v>1435627236.2544875</v>
      </c>
      <c r="AA121" s="2">
        <f t="shared" si="10"/>
        <v>368867.86644800793</v>
      </c>
    </row>
    <row r="122" spans="1:27" x14ac:dyDescent="0.25">
      <c r="A122" s="2">
        <v>2035</v>
      </c>
      <c r="B122" s="2">
        <f>B12/'Output-Calculation-sheet'!B11*'Output-Calculation-sheet'!B101</f>
        <v>90970326044.044022</v>
      </c>
      <c r="C122" s="2">
        <f>C12/'Output-Calculation-sheet'!C11*'Output-Calculation-sheet'!C101</f>
        <v>0</v>
      </c>
      <c r="D122" s="2">
        <f>D12/'Output-Calculation-sheet'!D11*'Output-Calculation-sheet'!D101</f>
        <v>63659587645.14344</v>
      </c>
      <c r="E122" s="2">
        <f>E12/'Output-Calculation-sheet'!E11*'Output-Calculation-sheet'!E101</f>
        <v>49437447794.076614</v>
      </c>
      <c r="F122" s="2">
        <f>F12/'Output-Calculation-sheet'!F11*'Output-Calculation-sheet'!F101</f>
        <v>33679427665.159561</v>
      </c>
      <c r="G122" s="2">
        <f>G12/'Output-Calculation-sheet'!G11*'Output-Calculation-sheet'!G101</f>
        <v>22820435368.471767</v>
      </c>
      <c r="H122" s="2">
        <f>H12/'Output-Calculation-sheet'!H11*'Output-Calculation-sheet'!H101</f>
        <v>0</v>
      </c>
      <c r="I122" s="2">
        <f>I12/'Output-Calculation-sheet'!I11*'Output-Calculation-sheet'!I101</f>
        <v>20939538844.045074</v>
      </c>
      <c r="J122" s="2">
        <f>J12/'Output-Calculation-sheet'!J11*'Output-Calculation-sheet'!J101</f>
        <v>20962398943.886356</v>
      </c>
      <c r="K122" s="2">
        <f>K12/'Output-Calculation-sheet'!K11*'Output-Calculation-sheet'!K101</f>
        <v>20580324122.495934</v>
      </c>
      <c r="L122" s="2">
        <f>L12/'Output-Calculation-sheet'!L11*'Output-Calculation-sheet'!L101</f>
        <v>14909106919.690222</v>
      </c>
      <c r="M122" s="2">
        <f>M12/'Output-Calculation-sheet'!M11*'Output-Calculation-sheet'!M101</f>
        <v>0</v>
      </c>
      <c r="N122" s="2">
        <f>N12/'Output-Calculation-sheet'!N11*'Output-Calculation-sheet'!N101</f>
        <v>4341093905.1978312</v>
      </c>
      <c r="O122" s="2">
        <f>O12/'Output-Calculation-sheet'!O11*'Output-Calculation-sheet'!O101</f>
        <v>0</v>
      </c>
      <c r="P122" s="2">
        <f>P12/'Output-Calculation-sheet'!P11*'Output-Calculation-sheet'!P101</f>
        <v>13839437639.31922</v>
      </c>
      <c r="Q122" s="2">
        <f>Q12/'Output-Calculation-sheet'!Q11*'Output-Calculation-sheet'!Q101</f>
        <v>11188473949.071154</v>
      </c>
      <c r="R122" s="2">
        <f>R12/'Output-Calculation-sheet'!R11*'Output-Calculation-sheet'!R101</f>
        <v>13708003843.653391</v>
      </c>
      <c r="S122" s="2">
        <f>S12/'Output-Calculation-sheet'!S11*'Output-Calculation-sheet'!S101</f>
        <v>3278925447.1127849</v>
      </c>
      <c r="T122" s="2">
        <f>T12/'Output-Calculation-sheet'!T11*'Output-Calculation-sheet'!T101</f>
        <v>5115362380.4766951</v>
      </c>
      <c r="U122" s="2">
        <f>U12/'Output-Calculation-sheet'!U11*'Output-Calculation-sheet'!U101</f>
        <v>4040070242.9141045</v>
      </c>
      <c r="V122" s="2">
        <f>V12/'Output-Calculation-sheet'!V11*'Output-Calculation-sheet'!V101</f>
        <v>3517963381.8989897</v>
      </c>
      <c r="W122" s="2">
        <f>W12/'Output-Calculation-sheet'!W11*'Output-Calculation-sheet'!W101</f>
        <v>2964846048.4652886</v>
      </c>
      <c r="X122" s="2">
        <f>X12/'Output-Calculation-sheet'!X11*'Output-Calculation-sheet'!X101</f>
        <v>104536833.89302318</v>
      </c>
      <c r="Y122" s="2">
        <f>Y12/'Output-Calculation-sheet'!Y11*'Output-Calculation-sheet'!Y101</f>
        <v>1566161176.48716</v>
      </c>
      <c r="AA122" s="2">
        <f t="shared" si="10"/>
        <v>401623.46819550265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58220550682.009087</v>
      </c>
      <c r="C129" s="2">
        <f>C8/'Output-Calculation-sheet'!C7*'Output-Calculation-sheet'!C106</f>
        <v>34124134823.963322</v>
      </c>
      <c r="D129" s="2">
        <f>D8/'Output-Calculation-sheet'!D7*'Output-Calculation-sheet'!D106</f>
        <v>24453301712.0415</v>
      </c>
      <c r="E129" s="2">
        <f>E8/'Output-Calculation-sheet'!E7*'Output-Calculation-sheet'!E106</f>
        <v>19401213465.735241</v>
      </c>
      <c r="F129" s="2">
        <f>F8/'Output-Calculation-sheet'!F7*'Output-Calculation-sheet'!F106</f>
        <v>12489257313.699242</v>
      </c>
      <c r="G129" s="2">
        <f>G8/'Output-Calculation-sheet'!G7*'Output-Calculation-sheet'!G106</f>
        <v>8775294947.020607</v>
      </c>
      <c r="H129" s="2">
        <f>H8/'Output-Calculation-sheet'!H7*'Output-Calculation-sheet'!H106</f>
        <v>8559963365.4731998</v>
      </c>
      <c r="I129" s="2">
        <f>I8/'Output-Calculation-sheet'!I7*'Output-Calculation-sheet'!I106</f>
        <v>7994984463.3933926</v>
      </c>
      <c r="J129" s="2">
        <f>J8/'Output-Calculation-sheet'!J7*'Output-Calculation-sheet'!J106</f>
        <v>7781767215.6882114</v>
      </c>
      <c r="K129" s="2">
        <f>K8/'Output-Calculation-sheet'!K7*'Output-Calculation-sheet'!K106</f>
        <v>7707163507.2928209</v>
      </c>
      <c r="L129" s="2">
        <f>L8/'Output-Calculation-sheet'!L7*'Output-Calculation-sheet'!L106</f>
        <v>6182786780.0361214</v>
      </c>
      <c r="M129" s="2">
        <f>M8/'Output-Calculation-sheet'!M7*'Output-Calculation-sheet'!M106</f>
        <v>5905628523.6265984</v>
      </c>
      <c r="N129" s="2">
        <f>N8/'Output-Calculation-sheet'!N7*'Output-Calculation-sheet'!N106</f>
        <v>5796358463.0589542</v>
      </c>
      <c r="O129" s="2">
        <f>O8/'Output-Calculation-sheet'!O7*'Output-Calculation-sheet'!O106</f>
        <v>7434296646.1551151</v>
      </c>
      <c r="P129" s="2">
        <f>P8/'Output-Calculation-sheet'!P7*'Output-Calculation-sheet'!P106</f>
        <v>5276689745.8396435</v>
      </c>
      <c r="Q129" s="2">
        <f>Q8/'Output-Calculation-sheet'!Q7*'Output-Calculation-sheet'!Q106</f>
        <v>5191408927.5708923</v>
      </c>
      <c r="R129" s="2">
        <f>R8/'Output-Calculation-sheet'!R7*'Output-Calculation-sheet'!R106</f>
        <v>4994374142.6479139</v>
      </c>
      <c r="S129" s="2">
        <f>S8/'Output-Calculation-sheet'!S7*'Output-Calculation-sheet'!S106</f>
        <v>3319516905.4108381</v>
      </c>
      <c r="T129" s="2">
        <f>T8/'Output-Calculation-sheet'!T7*'Output-Calculation-sheet'!T106</f>
        <v>1835889348.3269577</v>
      </c>
      <c r="U129" s="2">
        <f>U8/'Output-Calculation-sheet'!U7*'Output-Calculation-sheet'!U106</f>
        <v>1598996578.7249329</v>
      </c>
      <c r="V129" s="2">
        <f>V8/'Output-Calculation-sheet'!V7*'Output-Calculation-sheet'!V106</f>
        <v>1231259829.3872526</v>
      </c>
      <c r="W129" s="2">
        <f>W8/'Output-Calculation-sheet'!W7*'Output-Calculation-sheet'!W106</f>
        <v>1065997718.8234779</v>
      </c>
      <c r="X129" s="2">
        <f>X8/'Output-Calculation-sheet'!X7*'Output-Calculation-sheet'!X106</f>
        <v>639598757.07147229</v>
      </c>
      <c r="Y129" s="2">
        <f>Y8/'Output-Calculation-sheet'!Y7*'Output-Calculation-sheet'!Y106</f>
        <v>622003516.23579383</v>
      </c>
      <c r="AA129" s="2">
        <f t="shared" si="11"/>
        <v>240602.43737923258</v>
      </c>
    </row>
    <row r="130" spans="1:27" x14ac:dyDescent="0.25">
      <c r="A130" s="2">
        <v>2032</v>
      </c>
      <c r="B130" s="2">
        <f>B9/'Output-Calculation-sheet'!B8*'Output-Calculation-sheet'!B107</f>
        <v>50093326261.914124</v>
      </c>
      <c r="C130" s="2">
        <f>C9/'Output-Calculation-sheet'!C8*'Output-Calculation-sheet'!C107</f>
        <v>37671532993.041992</v>
      </c>
      <c r="D130" s="2">
        <f>D9/'Output-Calculation-sheet'!D8*'Output-Calculation-sheet'!D107</f>
        <v>21039768388.869839</v>
      </c>
      <c r="E130" s="2">
        <f>E9/'Output-Calculation-sheet'!E8*'Output-Calculation-sheet'!E107</f>
        <v>16692918986.098289</v>
      </c>
      <c r="F130" s="2">
        <f>F9/'Output-Calculation-sheet'!F8*'Output-Calculation-sheet'!F107</f>
        <v>10745836515.897219</v>
      </c>
      <c r="G130" s="2">
        <f>G9/'Output-Calculation-sheet'!G8*'Output-Calculation-sheet'!G107</f>
        <v>7550319688.8483105</v>
      </c>
      <c r="H130" s="2">
        <f>H9/'Output-Calculation-sheet'!H8*'Output-Calculation-sheet'!H107</f>
        <v>7365045105.6322155</v>
      </c>
      <c r="I130" s="2">
        <f>I9/'Output-Calculation-sheet'!I8*'Output-Calculation-sheet'!I107</f>
        <v>6878934669.2617092</v>
      </c>
      <c r="J130" s="2">
        <f>J9/'Output-Calculation-sheet'!J8*'Output-Calculation-sheet'!J107</f>
        <v>6695478603.4886408</v>
      </c>
      <c r="K130" s="2">
        <f>K9/'Output-Calculation-sheet'!K8*'Output-Calculation-sheet'!K107</f>
        <v>6631290864.7076054</v>
      </c>
      <c r="L130" s="2">
        <f>L9/'Output-Calculation-sheet'!L8*'Output-Calculation-sheet'!L107</f>
        <v>5319708448.0142727</v>
      </c>
      <c r="M130" s="2">
        <f>M9/'Output-Calculation-sheet'!M8*'Output-Calculation-sheet'!M107</f>
        <v>5081240399.9759426</v>
      </c>
      <c r="N130" s="2">
        <f>N9/'Output-Calculation-sheet'!N8*'Output-Calculation-sheet'!N107</f>
        <v>4987220524.5494919</v>
      </c>
      <c r="O130" s="2">
        <f>O9/'Output-Calculation-sheet'!O8*'Output-Calculation-sheet'!O107</f>
        <v>8203468580.1380301</v>
      </c>
      <c r="P130" s="2">
        <f>P9/'Output-Calculation-sheet'!P8*'Output-Calculation-sheet'!P107</f>
        <v>4540095702.8613558</v>
      </c>
      <c r="Q130" s="2">
        <f>Q9/'Output-Calculation-sheet'!Q8*'Output-Calculation-sheet'!Q107</f>
        <v>4466721850.9207764</v>
      </c>
      <c r="R130" s="2">
        <f>R9/'Output-Calculation-sheet'!R8*'Output-Calculation-sheet'!R107</f>
        <v>4297191336.8118887</v>
      </c>
      <c r="S130" s="2">
        <f>S9/'Output-Calculation-sheet'!S8*'Output-Calculation-sheet'!S107</f>
        <v>2856133122.8240218</v>
      </c>
      <c r="T130" s="2">
        <f>T9/'Output-Calculation-sheet'!T8*'Output-Calculation-sheet'!T107</f>
        <v>1579610689.2836742</v>
      </c>
      <c r="U130" s="2">
        <f>U9/'Output-Calculation-sheet'!U8*'Output-Calculation-sheet'!U107</f>
        <v>1375786486.8396783</v>
      </c>
      <c r="V130" s="2">
        <f>V9/'Output-Calculation-sheet'!V8*'Output-Calculation-sheet'!V107</f>
        <v>1059383110.3070654</v>
      </c>
      <c r="W130" s="2">
        <f>W9/'Output-Calculation-sheet'!W8*'Output-Calculation-sheet'!W107</f>
        <v>917191231.43362796</v>
      </c>
      <c r="X130" s="2">
        <f>X9/'Output-Calculation-sheet'!X8*'Output-Calculation-sheet'!X107</f>
        <v>550314630.88195634</v>
      </c>
      <c r="Y130" s="2">
        <f>Y9/'Output-Calculation-sheet'!Y8*'Output-Calculation-sheet'!Y107</f>
        <v>535175580.00812852</v>
      </c>
      <c r="AA130" s="2">
        <f t="shared" si="11"/>
        <v>217133.6937726099</v>
      </c>
    </row>
    <row r="131" spans="1:27" x14ac:dyDescent="0.25">
      <c r="A131" s="2">
        <v>2033</v>
      </c>
      <c r="B131" s="2">
        <f>B10/'Output-Calculation-sheet'!B9*'Output-Calculation-sheet'!B108</f>
        <v>36964902897.731621</v>
      </c>
      <c r="C131" s="2">
        <f>C10/'Output-Calculation-sheet'!C9*'Output-Calculation-sheet'!C108</f>
        <v>38681083452.036957</v>
      </c>
      <c r="D131" s="2">
        <f>D10/'Output-Calculation-sheet'!D9*'Output-Calculation-sheet'!D108</f>
        <v>15525684884.152914</v>
      </c>
      <c r="E131" s="2">
        <f>E10/'Output-Calculation-sheet'!E9*'Output-Calculation-sheet'!E108</f>
        <v>12318050644.255474</v>
      </c>
      <c r="F131" s="2">
        <f>F10/'Output-Calculation-sheet'!F9*'Output-Calculation-sheet'!F108</f>
        <v>7929571228.6754732</v>
      </c>
      <c r="G131" s="2">
        <f>G10/'Output-Calculation-sheet'!G9*'Output-Calculation-sheet'!G108</f>
        <v>5571534366.4759054</v>
      </c>
      <c r="H131" s="2">
        <f>H10/'Output-Calculation-sheet'!H9*'Output-Calculation-sheet'!H108</f>
        <v>5434817901.2149496</v>
      </c>
      <c r="I131" s="2">
        <f>I10/'Output-Calculation-sheet'!I9*'Output-Calculation-sheet'!I108</f>
        <v>5076108341.3563633</v>
      </c>
      <c r="J131" s="2">
        <f>J10/'Output-Calculation-sheet'!J9*'Output-Calculation-sheet'!J108</f>
        <v>4940732332.7454395</v>
      </c>
      <c r="K131" s="2">
        <f>K10/'Output-Calculation-sheet'!K9*'Output-Calculation-sheet'!K108</f>
        <v>4893365591.4904804</v>
      </c>
      <c r="L131" s="2">
        <f>L10/'Output-Calculation-sheet'!L9*'Output-Calculation-sheet'!L108</f>
        <v>3925523034.9294639</v>
      </c>
      <c r="M131" s="2">
        <f>M10/'Output-Calculation-sheet'!M9*'Output-Calculation-sheet'!M108</f>
        <v>3749550581.9091969</v>
      </c>
      <c r="N131" s="2">
        <f>N10/'Output-Calculation-sheet'!N9*'Output-Calculation-sheet'!N108</f>
        <v>3680172354.0566869</v>
      </c>
      <c r="O131" s="2">
        <f>O10/'Output-Calculation-sheet'!O9*'Output-Calculation-sheet'!O108</f>
        <v>8715613486.5683556</v>
      </c>
      <c r="P131" s="2">
        <f>P10/'Output-Calculation-sheet'!P9*'Output-Calculation-sheet'!P108</f>
        <v>3350231530.5560679</v>
      </c>
      <c r="Q131" s="2">
        <f>Q10/'Output-Calculation-sheet'!Q9*'Output-Calculation-sheet'!Q108</f>
        <v>3296085703.0689392</v>
      </c>
      <c r="R131" s="2">
        <f>R10/'Output-Calculation-sheet'!R9*'Output-Calculation-sheet'!R108</f>
        <v>3170984832.1678467</v>
      </c>
      <c r="S131" s="2">
        <f>S10/'Output-Calculation-sheet'!S9*'Output-Calculation-sheet'!S108</f>
        <v>2107599779.1585147</v>
      </c>
      <c r="T131" s="2">
        <f>T10/'Output-Calculation-sheet'!T9*'Output-Calculation-sheet'!T108</f>
        <v>1165626527.2195029</v>
      </c>
      <c r="U131" s="2">
        <f>U10/'Output-Calculation-sheet'!U9*'Output-Calculation-sheet'!U108</f>
        <v>1015221077.3574171</v>
      </c>
      <c r="V131" s="2">
        <f>V10/'Output-Calculation-sheet'!V9*'Output-Calculation-sheet'!V108</f>
        <v>781740533.77333415</v>
      </c>
      <c r="W131" s="2">
        <f>W10/'Output-Calculation-sheet'!W9*'Output-Calculation-sheet'!W108</f>
        <v>676814051.36432719</v>
      </c>
      <c r="X131" s="2">
        <f>X10/'Output-Calculation-sheet'!X9*'Output-Calculation-sheet'!X108</f>
        <v>406088351.49554193</v>
      </c>
      <c r="Y131" s="2">
        <f>Y10/'Output-Calculation-sheet'!Y9*'Output-Calculation-sheet'!Y108</f>
        <v>394916938.94129753</v>
      </c>
      <c r="AA131" s="2">
        <f t="shared" si="11"/>
        <v>173772.02042270213</v>
      </c>
    </row>
    <row r="132" spans="1:27" x14ac:dyDescent="0.25">
      <c r="A132" s="2">
        <v>2034</v>
      </c>
      <c r="B132" s="2">
        <f>B11/'Output-Calculation-sheet'!B10*'Output-Calculation-sheet'!B109</f>
        <v>20022207528.255165</v>
      </c>
      <c r="C132" s="2">
        <f>C11/'Output-Calculation-sheet'!C10*'Output-Calculation-sheet'!C109</f>
        <v>37020880244.521584</v>
      </c>
      <c r="D132" s="2">
        <f>D11/'Output-Calculation-sheet'!D10*'Output-Calculation-sheet'!D109</f>
        <v>8409557723.7371111</v>
      </c>
      <c r="E132" s="2">
        <f>E11/'Output-Calculation-sheet'!E10*'Output-Calculation-sheet'!E109</f>
        <v>6672130157.2291679</v>
      </c>
      <c r="F132" s="2">
        <f>F11/'Output-Calculation-sheet'!F10*'Output-Calculation-sheet'!F109</f>
        <v>4295089609.2812891</v>
      </c>
      <c r="G132" s="2">
        <f>G11/'Output-Calculation-sheet'!G10*'Output-Calculation-sheet'!G109</f>
        <v>3017848306.6642313</v>
      </c>
      <c r="H132" s="2">
        <f>H11/'Output-Calculation-sheet'!H10*'Output-Calculation-sheet'!H109</f>
        <v>3576260551.1910472</v>
      </c>
      <c r="I132" s="2">
        <f>I11/'Output-Calculation-sheet'!I10*'Output-Calculation-sheet'!I109</f>
        <v>2749497146.3525939</v>
      </c>
      <c r="J132" s="2">
        <f>J11/'Output-Calculation-sheet'!J10*'Output-Calculation-sheet'!J109</f>
        <v>2676170522.1670747</v>
      </c>
      <c r="K132" s="2">
        <f>K11/'Output-Calculation-sheet'!K10*'Output-Calculation-sheet'!K109</f>
        <v>2650514940.3865371</v>
      </c>
      <c r="L132" s="2">
        <f>L11/'Output-Calculation-sheet'!L10*'Output-Calculation-sheet'!L109</f>
        <v>2126277712.0337479</v>
      </c>
      <c r="M132" s="2">
        <f>M11/'Output-Calculation-sheet'!M10*'Output-Calculation-sheet'!M109</f>
        <v>2030961735.4333124</v>
      </c>
      <c r="N132" s="2">
        <f>N11/'Output-Calculation-sheet'!N10*'Output-Calculation-sheet'!N109</f>
        <v>1993383309.4737999</v>
      </c>
      <c r="O132" s="2">
        <f>O11/'Output-Calculation-sheet'!O10*'Output-Calculation-sheet'!O109</f>
        <v>8786209649.9846096</v>
      </c>
      <c r="P132" s="2">
        <f>P11/'Output-Calculation-sheet'!P10*'Output-Calculation-sheet'!P109</f>
        <v>1814668119.3292465</v>
      </c>
      <c r="Q132" s="2">
        <f>Q11/'Output-Calculation-sheet'!Q10*'Output-Calculation-sheet'!Q109</f>
        <v>2234879248.8829846</v>
      </c>
      <c r="R132" s="2">
        <f>R11/'Output-Calculation-sheet'!R10*'Output-Calculation-sheet'!R109</f>
        <v>1717579140.1447859</v>
      </c>
      <c r="S132" s="2">
        <f>S11/'Output-Calculation-sheet'!S10*'Output-Calculation-sheet'!S109</f>
        <v>1141591171.3811915</v>
      </c>
      <c r="T132" s="2">
        <f>T11/'Output-Calculation-sheet'!T10*'Output-Calculation-sheet'!T109</f>
        <v>631367297.94983935</v>
      </c>
      <c r="U132" s="2">
        <f>U11/'Output-Calculation-sheet'!U10*'Output-Calculation-sheet'!U109</f>
        <v>694441396.59754479</v>
      </c>
      <c r="V132" s="2">
        <f>V11/'Output-Calculation-sheet'!V10*'Output-Calculation-sheet'!V109</f>
        <v>423433509.21150875</v>
      </c>
      <c r="W132" s="2">
        <f>W11/'Output-Calculation-sheet'!W10*'Output-Calculation-sheet'!W109</f>
        <v>366599576.8150543</v>
      </c>
      <c r="X132" s="2">
        <f>X11/'Output-Calculation-sheet'!X10*'Output-Calculation-sheet'!X109</f>
        <v>291095870.24448997</v>
      </c>
      <c r="Y132" s="2">
        <f>Y11/'Output-Calculation-sheet'!Y10*'Output-Calculation-sheet'!Y109</f>
        <v>213908686.848598</v>
      </c>
      <c r="AA132" s="2">
        <f t="shared" si="11"/>
        <v>115556.55315411653</v>
      </c>
    </row>
    <row r="133" spans="1:27" x14ac:dyDescent="0.25">
      <c r="A133" s="2">
        <v>2035</v>
      </c>
      <c r="B133" s="2">
        <f>B12/'Output-Calculation-sheet'!B11*'Output-Calculation-sheet'!B110</f>
        <v>22892355583.632507</v>
      </c>
      <c r="C133" s="2">
        <f>C12/'Output-Calculation-sheet'!C11*'Output-Calculation-sheet'!C110</f>
        <v>29511111787.059177</v>
      </c>
      <c r="D133" s="2">
        <f>D12/'Output-Calculation-sheet'!D11*'Output-Calculation-sheet'!D110</f>
        <v>8705100725.7272949</v>
      </c>
      <c r="E133" s="2">
        <f>E12/'Output-Calculation-sheet'!E11*'Output-Calculation-sheet'!E110</f>
        <v>4296676576.2830572</v>
      </c>
      <c r="F133" s="2">
        <f>F12/'Output-Calculation-sheet'!F11*'Output-Calculation-sheet'!F110</f>
        <v>3519208567.2391043</v>
      </c>
      <c r="G133" s="2">
        <f>G12/'Output-Calculation-sheet'!G11*'Output-Calculation-sheet'!G110</f>
        <v>3321265789.9089108</v>
      </c>
      <c r="H133" s="2">
        <f>H12/'Output-Calculation-sheet'!H11*'Output-Calculation-sheet'!H110</f>
        <v>3623954904.4533334</v>
      </c>
      <c r="I133" s="2">
        <f>I12/'Output-Calculation-sheet'!I11*'Output-Calculation-sheet'!I110</f>
        <v>2850597206.8980165</v>
      </c>
      <c r="J133" s="2">
        <f>J12/'Output-Calculation-sheet'!J11*'Output-Calculation-sheet'!J110</f>
        <v>2074180173.931896</v>
      </c>
      <c r="K133" s="2">
        <f>K12/'Output-Calculation-sheet'!K11*'Output-Calculation-sheet'!K110</f>
        <v>2288019043.0863066</v>
      </c>
      <c r="L133" s="2">
        <f>L12/'Output-Calculation-sheet'!L11*'Output-Calculation-sheet'!L110</f>
        <v>1000874187.2411175</v>
      </c>
      <c r="M133" s="2">
        <f>M12/'Output-Calculation-sheet'!M11*'Output-Calculation-sheet'!M110</f>
        <v>1993370059.6954193</v>
      </c>
      <c r="N133" s="2">
        <f>N12/'Output-Calculation-sheet'!N11*'Output-Calculation-sheet'!N110</f>
        <v>1812033565.055805</v>
      </c>
      <c r="O133" s="2">
        <f>O12/'Output-Calculation-sheet'!O11*'Output-Calculation-sheet'!O110</f>
        <v>7998423112.0348597</v>
      </c>
      <c r="P133" s="2">
        <f>P12/'Output-Calculation-sheet'!P11*'Output-Calculation-sheet'!P110</f>
        <v>1532223551.0199134</v>
      </c>
      <c r="Q133" s="2">
        <f>Q12/'Output-Calculation-sheet'!Q11*'Output-Calculation-sheet'!Q110</f>
        <v>2202110742.7671638</v>
      </c>
      <c r="R133" s="2">
        <f>R12/'Output-Calculation-sheet'!R11*'Output-Calculation-sheet'!R110</f>
        <v>1151762109.7957468</v>
      </c>
      <c r="S133" s="2">
        <f>S12/'Output-Calculation-sheet'!S11*'Output-Calculation-sheet'!S110</f>
        <v>1339579850.2992065</v>
      </c>
      <c r="T133" s="2">
        <f>T12/'Output-Calculation-sheet'!T11*'Output-Calculation-sheet'!T110</f>
        <v>320698778.77222127</v>
      </c>
      <c r="U133" s="2">
        <f>U12/'Output-Calculation-sheet'!U11*'Output-Calculation-sheet'!U110</f>
        <v>742213480.65284956</v>
      </c>
      <c r="V133" s="2">
        <f>V12/'Output-Calculation-sheet'!V11*'Output-Calculation-sheet'!V110</f>
        <v>110987928.93342647</v>
      </c>
      <c r="W133" s="2">
        <f>W12/'Output-Calculation-sheet'!W11*'Output-Calculation-sheet'!W110</f>
        <v>222338604.02294731</v>
      </c>
      <c r="X133" s="2">
        <f>X12/'Output-Calculation-sheet'!X11*'Output-Calculation-sheet'!X110</f>
        <v>309220754.06529176</v>
      </c>
      <c r="Y133" s="2">
        <f>Y12/'Output-Calculation-sheet'!Y11*'Output-Calculation-sheet'!Y110</f>
        <v>218344260.23508182</v>
      </c>
      <c r="AA133" s="2">
        <f t="shared" si="11"/>
        <v>104036.65134281064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1258.9526257399841</v>
      </c>
      <c r="C19" s="2">
        <f>C8/'Output-Calculation-sheet'!C7*'Output-Calculation-sheet'!C25</f>
        <v>14406.433561834505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5648.3483114545452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3923.9308292504734</v>
      </c>
      <c r="N19" s="2">
        <f>N8/'Output-Calculation-sheet'!N7*'Output-Calculation-sheet'!N25</f>
        <v>1343.7062279010879</v>
      </c>
      <c r="O19" s="2">
        <f>O8/'Output-Calculation-sheet'!O7*'Output-Calculation-sheet'!O25</f>
        <v>2214.777896419519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479.45559409835829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438.92004930976395</v>
      </c>
      <c r="Y19" s="2">
        <f>Y8/'Output-Calculation-sheet'!Y7*'Output-Calculation-sheet'!Y25</f>
        <v>0</v>
      </c>
      <c r="AA19" s="2">
        <f t="shared" si="0"/>
        <v>29.714525096008238</v>
      </c>
    </row>
    <row r="20" spans="1:27" x14ac:dyDescent="0.25">
      <c r="A20" s="2">
        <v>2032</v>
      </c>
      <c r="B20" s="2">
        <f>B9/'Output-Calculation-sheet'!B8*'Output-Calculation-sheet'!B26</f>
        <v>6935.8683045560665</v>
      </c>
      <c r="C20" s="2">
        <f>C9/'Output-Calculation-sheet'!C8*'Output-Calculation-sheet'!C26</f>
        <v>16402.970657072536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7535.9567522267953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5243.2827400131091</v>
      </c>
      <c r="N20" s="2">
        <f>N9/'Output-Calculation-sheet'!N8*'Output-Calculation-sheet'!N26</f>
        <v>2366.1994551728139</v>
      </c>
      <c r="O20" s="2">
        <f>O9/'Output-Calculation-sheet'!O8*'Output-Calculation-sheet'!O26</f>
        <v>2598.8177463910924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855.54794547484653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586.59456009027019</v>
      </c>
      <c r="Y20" s="2">
        <f>Y9/'Output-Calculation-sheet'!Y8*'Output-Calculation-sheet'!Y26</f>
        <v>0</v>
      </c>
      <c r="AA20" s="2">
        <f t="shared" si="0"/>
        <v>42.525238160997525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17839.607382650905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8889.4685307681539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6173.8227208285716</v>
      </c>
      <c r="N21" s="2">
        <f>N10/'Output-Calculation-sheet'!N9*'Output-Calculation-sheet'!N27</f>
        <v>3377.0062570005562</v>
      </c>
      <c r="O21" s="2">
        <f>O10/'Output-Calculation-sheet'!O9*'Output-Calculation-sheet'!O27</f>
        <v>2738.5988363493793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1470.2030062938832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726.04122732061091</v>
      </c>
      <c r="Y21" s="2">
        <f>Y10/'Output-Calculation-sheet'!Y9*'Output-Calculation-sheet'!Y27</f>
        <v>0</v>
      </c>
      <c r="AA21" s="2">
        <f t="shared" si="0"/>
        <v>56.820673360701086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18543.841977506156</v>
      </c>
      <c r="D22" s="2">
        <f>D11/'Output-Calculation-sheet'!D10*'Output-Calculation-sheet'!D28</f>
        <v>0</v>
      </c>
      <c r="E22" s="2">
        <f>E11/'Output-Calculation-sheet'!E10*'Output-Calculation-sheet'!E28</f>
        <v>1370.1494459118071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9767.2924893707823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803.30527670352944</v>
      </c>
      <c r="M22" s="2">
        <f>M11/'Output-Calculation-sheet'!M10*'Output-Calculation-sheet'!M28</f>
        <v>7301.9938861333003</v>
      </c>
      <c r="N22" s="2">
        <f>N11/'Output-Calculation-sheet'!N10*'Output-Calculation-sheet'!N28</f>
        <v>4202.3381559383024</v>
      </c>
      <c r="O22" s="2">
        <f>O11/'Output-Calculation-sheet'!O10*'Output-Calculation-sheet'!O28</f>
        <v>2792.1277775217682</v>
      </c>
      <c r="P22" s="2">
        <f>P11/'Output-Calculation-sheet'!P10*'Output-Calculation-sheet'!P28</f>
        <v>0</v>
      </c>
      <c r="Q22" s="2">
        <f>Q11/'Output-Calculation-sheet'!Q10*'Output-Calculation-sheet'!Q28</f>
        <v>1213.7316537431368</v>
      </c>
      <c r="R22" s="2">
        <f>R11/'Output-Calculation-sheet'!R10*'Output-Calculation-sheet'!R28</f>
        <v>0</v>
      </c>
      <c r="S22" s="2">
        <f>S11/'Output-Calculation-sheet'!S10*'Output-Calculation-sheet'!S28</f>
        <v>2131.1825189088045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703.26260459081675</v>
      </c>
      <c r="Y22" s="2">
        <f>Y11/'Output-Calculation-sheet'!Y10*'Output-Calculation-sheet'!Y28</f>
        <v>73.385457243090428</v>
      </c>
      <c r="AA22" s="2">
        <f t="shared" si="0"/>
        <v>75.28341534217779</v>
      </c>
    </row>
    <row r="23" spans="1:27" x14ac:dyDescent="0.25">
      <c r="A23" s="2">
        <v>2035</v>
      </c>
      <c r="B23" s="2">
        <f>B12/'Output-Calculation-sheet'!B11*'Output-Calculation-sheet'!B29</f>
        <v>22476.778357457697</v>
      </c>
      <c r="C23" s="2">
        <f>C12/'Output-Calculation-sheet'!C11*'Output-Calculation-sheet'!C29</f>
        <v>19097.156698027928</v>
      </c>
      <c r="D23" s="2">
        <f>D12/'Output-Calculation-sheet'!D11*'Output-Calculation-sheet'!D29</f>
        <v>0</v>
      </c>
      <c r="E23" s="2">
        <f>E12/'Output-Calculation-sheet'!E11*'Output-Calculation-sheet'!E29</f>
        <v>3780.9037587654789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8289.3935340666885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1368.2057171636368</v>
      </c>
      <c r="M23" s="2">
        <f>M12/'Output-Calculation-sheet'!M11*'Output-Calculation-sheet'!M29</f>
        <v>6283.6691402640317</v>
      </c>
      <c r="N23" s="2">
        <f>N12/'Output-Calculation-sheet'!N11*'Output-Calculation-sheet'!N29</f>
        <v>3700.2758458651515</v>
      </c>
      <c r="O23" s="2">
        <f>O12/'Output-Calculation-sheet'!O11*'Output-Calculation-sheet'!O29</f>
        <v>2861.2931845010203</v>
      </c>
      <c r="P23" s="2">
        <f>P12/'Output-Calculation-sheet'!P11*'Output-Calculation-sheet'!P29</f>
        <v>436.67821350873714</v>
      </c>
      <c r="Q23" s="2">
        <f>Q12/'Output-Calculation-sheet'!Q11*'Output-Calculation-sheet'!Q29</f>
        <v>1167.8008318175416</v>
      </c>
      <c r="R23" s="2">
        <f>R12/'Output-Calculation-sheet'!R11*'Output-Calculation-sheet'!R29</f>
        <v>0</v>
      </c>
      <c r="S23" s="2">
        <f>S12/'Output-Calculation-sheet'!S11*'Output-Calculation-sheet'!S29</f>
        <v>1779.124538805384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589.04370843823187</v>
      </c>
      <c r="Y23" s="2">
        <f>Y12/'Output-Calculation-sheet'!Y11*'Output-Calculation-sheet'!Y29</f>
        <v>83.138030754111441</v>
      </c>
      <c r="AA23" s="2">
        <f t="shared" si="0"/>
        <v>71.913461559435632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21943.135300474503</v>
      </c>
      <c r="C30" s="2">
        <f>C8/'Output-Calculation-sheet'!C7*'Output-Calculation-sheet'!C16</f>
        <v>0</v>
      </c>
      <c r="D30" s="2">
        <f>D8/'Output-Calculation-sheet'!D7*'Output-Calculation-sheet'!D16</f>
        <v>3694.9339039202664</v>
      </c>
      <c r="E30" s="2">
        <f>E8/'Output-Calculation-sheet'!E7*'Output-Calculation-sheet'!E16</f>
        <v>3975.5401247672353</v>
      </c>
      <c r="F30" s="2">
        <f>F8/'Output-Calculation-sheet'!F7*'Output-Calculation-sheet'!F16</f>
        <v>2005.6811478761506</v>
      </c>
      <c r="G30" s="2">
        <f>G8/'Output-Calculation-sheet'!G7*'Output-Calculation-sheet'!G16</f>
        <v>1313.4829338688346</v>
      </c>
      <c r="H30" s="2">
        <f>H8/'Output-Calculation-sheet'!H7*'Output-Calculation-sheet'!H16</f>
        <v>0</v>
      </c>
      <c r="I30" s="2">
        <f>I8/'Output-Calculation-sheet'!I7*'Output-Calculation-sheet'!I16</f>
        <v>1280.4491910035917</v>
      </c>
      <c r="J30" s="2">
        <f>J8/'Output-Calculation-sheet'!J7*'Output-Calculation-sheet'!J16</f>
        <v>1139.8459896419831</v>
      </c>
      <c r="K30" s="2">
        <f>K8/'Output-Calculation-sheet'!K7*'Output-Calculation-sheet'!K16</f>
        <v>1521.9122661160286</v>
      </c>
      <c r="L30" s="2">
        <f>L8/'Output-Calculation-sheet'!L7*'Output-Calculation-sheet'!L16</f>
        <v>1285.5210713375698</v>
      </c>
      <c r="M30" s="2">
        <f>M8/'Output-Calculation-sheet'!M7*'Output-Calculation-sheet'!M16</f>
        <v>0</v>
      </c>
      <c r="N30" s="2">
        <f>N8/'Output-Calculation-sheet'!N7*'Output-Calculation-sheet'!N16</f>
        <v>1825.9743782632336</v>
      </c>
      <c r="O30" s="2">
        <f>O8/'Output-Calculation-sheet'!O7*'Output-Calculation-sheet'!O16</f>
        <v>0</v>
      </c>
      <c r="P30" s="2">
        <f>P8/'Output-Calculation-sheet'!P7*'Output-Calculation-sheet'!P16</f>
        <v>1641.1258561789639</v>
      </c>
      <c r="Q30" s="2">
        <f>Q8/'Output-Calculation-sheet'!Q7*'Output-Calculation-sheet'!Q16</f>
        <v>1804.6964438425723</v>
      </c>
      <c r="R30" s="2">
        <f>R8/'Output-Calculation-sheet'!R7*'Output-Calculation-sheet'!R16</f>
        <v>1145.0877375221125</v>
      </c>
      <c r="S30" s="2">
        <f>S8/'Output-Calculation-sheet'!S7*'Output-Calculation-sheet'!S16</f>
        <v>1151.6224868692286</v>
      </c>
      <c r="T30" s="2">
        <f>T8/'Output-Calculation-sheet'!T7*'Output-Calculation-sheet'!T16</f>
        <v>343.73887903738307</v>
      </c>
      <c r="U30" s="2">
        <f>U8/'Output-Calculation-sheet'!U7*'Output-Calculation-sheet'!U16</f>
        <v>343.12445450753313</v>
      </c>
      <c r="V30" s="2">
        <f>V8/'Output-Calculation-sheet'!V7*'Output-Calculation-sheet'!V16</f>
        <v>267.04724067162516</v>
      </c>
      <c r="W30" s="2">
        <f>W8/'Output-Calculation-sheet'!W7*'Output-Calculation-sheet'!W16</f>
        <v>161.97761399594856</v>
      </c>
      <c r="X30" s="2">
        <f>X8/'Output-Calculation-sheet'!X7*'Output-Calculation-sheet'!X16</f>
        <v>0</v>
      </c>
      <c r="Y30" s="2">
        <f>Y8/'Output-Calculation-sheet'!Y7*'Output-Calculation-sheet'!Y16</f>
        <v>137.09563544235158</v>
      </c>
      <c r="AA30" s="2">
        <f t="shared" si="1"/>
        <v>46.981992655337116</v>
      </c>
    </row>
    <row r="31" spans="1:27" x14ac:dyDescent="0.25">
      <c r="A31" s="2">
        <v>2032</v>
      </c>
      <c r="B31" s="2">
        <f>B9/'Output-Calculation-sheet'!B8*'Output-Calculation-sheet'!B17</f>
        <v>29368.757925620917</v>
      </c>
      <c r="C31" s="2">
        <f>C9/'Output-Calculation-sheet'!C8*'Output-Calculation-sheet'!C17</f>
        <v>0</v>
      </c>
      <c r="D31" s="2">
        <f>D9/'Output-Calculation-sheet'!D8*'Output-Calculation-sheet'!D17</f>
        <v>4925.5263053312074</v>
      </c>
      <c r="E31" s="2">
        <f>E9/'Output-Calculation-sheet'!E8*'Output-Calculation-sheet'!E17</f>
        <v>5789.283206059431</v>
      </c>
      <c r="F31" s="2">
        <f>F9/'Output-Calculation-sheet'!F8*'Output-Calculation-sheet'!F17</f>
        <v>2673.7354823896153</v>
      </c>
      <c r="G31" s="2">
        <f>G9/'Output-Calculation-sheet'!G8*'Output-Calculation-sheet'!G17</f>
        <v>1750.9629546992021</v>
      </c>
      <c r="H31" s="2">
        <f>H9/'Output-Calculation-sheet'!H8*'Output-Calculation-sheet'!H17</f>
        <v>0</v>
      </c>
      <c r="I31" s="2">
        <f>I9/'Output-Calculation-sheet'!I8*'Output-Calculation-sheet'!I17</f>
        <v>1706.9347020172975</v>
      </c>
      <c r="J31" s="2">
        <f>J9/'Output-Calculation-sheet'!J8*'Output-Calculation-sheet'!J17</f>
        <v>1519.500896056815</v>
      </c>
      <c r="K31" s="2">
        <f>K9/'Output-Calculation-sheet'!K8*'Output-Calculation-sheet'!K17</f>
        <v>2163.3658265432614</v>
      </c>
      <c r="L31" s="2">
        <f>L9/'Output-Calculation-sheet'!L8*'Output-Calculation-sheet'!L17</f>
        <v>1844.9707399446036</v>
      </c>
      <c r="M31" s="2">
        <f>M9/'Output-Calculation-sheet'!M8*'Output-Calculation-sheet'!M17</f>
        <v>0</v>
      </c>
      <c r="N31" s="2">
        <f>N9/'Output-Calculation-sheet'!N8*'Output-Calculation-sheet'!N17</f>
        <v>2005.6718904667787</v>
      </c>
      <c r="O31" s="2">
        <f>O9/'Output-Calculation-sheet'!O8*'Output-Calculation-sheet'!O17</f>
        <v>0</v>
      </c>
      <c r="P31" s="2">
        <f>P9/'Output-Calculation-sheet'!P8*'Output-Calculation-sheet'!P17</f>
        <v>2489.3501185419968</v>
      </c>
      <c r="Q31" s="2">
        <f>Q9/'Output-Calculation-sheet'!Q8*'Output-Calculation-sheet'!Q17</f>
        <v>2653.8759402610408</v>
      </c>
      <c r="R31" s="2">
        <f>R9/'Output-Calculation-sheet'!R8*'Output-Calculation-sheet'!R17</f>
        <v>1736.3058958361125</v>
      </c>
      <c r="S31" s="2">
        <f>S9/'Output-Calculation-sheet'!S8*'Output-Calculation-sheet'!S17</f>
        <v>1499.3287128615473</v>
      </c>
      <c r="T31" s="2">
        <f>T9/'Output-Calculation-sheet'!T8*'Output-Calculation-sheet'!T17</f>
        <v>471.15929041283084</v>
      </c>
      <c r="U31" s="2">
        <f>U9/'Output-Calculation-sheet'!U8*'Output-Calculation-sheet'!U17</f>
        <v>541.51223100193431</v>
      </c>
      <c r="V31" s="2">
        <f>V9/'Output-Calculation-sheet'!V8*'Output-Calculation-sheet'!V17</f>
        <v>387.85951689870063</v>
      </c>
      <c r="W31" s="2">
        <f>W9/'Output-Calculation-sheet'!W8*'Output-Calculation-sheet'!W17</f>
        <v>215.93054432253612</v>
      </c>
      <c r="X31" s="2">
        <f>X9/'Output-Calculation-sheet'!X8*'Output-Calculation-sheet'!X17</f>
        <v>0</v>
      </c>
      <c r="Y31" s="2">
        <f>Y9/'Output-Calculation-sheet'!Y8*'Output-Calculation-sheet'!Y17</f>
        <v>208.63568771975793</v>
      </c>
      <c r="AA31" s="2">
        <f t="shared" si="1"/>
        <v>63.9526678669856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1900.5639393730401</v>
      </c>
      <c r="O32" s="2">
        <f>O10/'Output-Calculation-sheet'!O9*'Output-Calculation-sheet'!O18</f>
        <v>0</v>
      </c>
      <c r="P32" s="2">
        <f>P10/'Output-Calculation-sheet'!P9*'Output-Calculation-sheet'!P18</f>
        <v>3059.0369916045797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2196.2855258525383</v>
      </c>
      <c r="S32" s="2">
        <f>S10/'Output-Calculation-sheet'!S9*'Output-Calculation-sheet'!S18</f>
        <v>1437.4626750319003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708.99581373995341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74.918290486733127</v>
      </c>
    </row>
    <row r="33" spans="1:27" x14ac:dyDescent="0.25">
      <c r="A33" s="2">
        <v>2034</v>
      </c>
      <c r="B33" s="2">
        <f>B11/'Output-Calculation-sheet'!B10*'Output-Calculation-sheet'!B19</f>
        <v>26608.811806119553</v>
      </c>
      <c r="C33" s="2">
        <f>C11/'Output-Calculation-sheet'!C10*'Output-Calculation-sheet'!C19</f>
        <v>0</v>
      </c>
      <c r="D33" s="2">
        <f>D11/'Output-Calculation-sheet'!D10*'Output-Calculation-sheet'!D19</f>
        <v>7950.7225616779569</v>
      </c>
      <c r="E33" s="2">
        <f>E11/'Output-Calculation-sheet'!E10*'Output-Calculation-sheet'!E19</f>
        <v>9818.0708328034707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2701.8872251814364</v>
      </c>
      <c r="H33" s="2">
        <f>H11/'Output-Calculation-sheet'!H10*'Output-Calculation-sheet'!H19</f>
        <v>0</v>
      </c>
      <c r="I33" s="2">
        <f>I11/'Output-Calculation-sheet'!I10*'Output-Calculation-sheet'!I19</f>
        <v>2952.2377606708073</v>
      </c>
      <c r="J33" s="2">
        <f>J11/'Output-Calculation-sheet'!J10*'Output-Calculation-sheet'!J19</f>
        <v>2493.1719130462889</v>
      </c>
      <c r="K33" s="2">
        <f>K11/'Output-Calculation-sheet'!K10*'Output-Calculation-sheet'!K19</f>
        <v>3459.0706719735467</v>
      </c>
      <c r="L33" s="2">
        <f>L11/'Output-Calculation-sheet'!L10*'Output-Calculation-sheet'!L19</f>
        <v>2815.9613717342409</v>
      </c>
      <c r="M33" s="2">
        <f>M11/'Output-Calculation-sheet'!M10*'Output-Calculation-sheet'!M19</f>
        <v>0</v>
      </c>
      <c r="N33" s="2">
        <f>N11/'Output-Calculation-sheet'!N10*'Output-Calculation-sheet'!N19</f>
        <v>1590.613281936794</v>
      </c>
      <c r="O33" s="2">
        <f>O11/'Output-Calculation-sheet'!O10*'Output-Calculation-sheet'!O19</f>
        <v>0</v>
      </c>
      <c r="P33" s="2">
        <f>P11/'Output-Calculation-sheet'!P10*'Output-Calculation-sheet'!P19</f>
        <v>3502.4411011169695</v>
      </c>
      <c r="Q33" s="2">
        <f>Q11/'Output-Calculation-sheet'!Q10*'Output-Calculation-sheet'!Q19</f>
        <v>2853.1193283360558</v>
      </c>
      <c r="R33" s="2">
        <f>R11/'Output-Calculation-sheet'!R10*'Output-Calculation-sheet'!R19</f>
        <v>2498.7206921896886</v>
      </c>
      <c r="S33" s="2">
        <f>S11/'Output-Calculation-sheet'!S10*'Output-Calculation-sheet'!S19</f>
        <v>1167.9452447137535</v>
      </c>
      <c r="T33" s="2">
        <f>T11/'Output-Calculation-sheet'!T10*'Output-Calculation-sheet'!T19</f>
        <v>733.24429512312668</v>
      </c>
      <c r="U33" s="2">
        <f>U11/'Output-Calculation-sheet'!U10*'Output-Calculation-sheet'!U19</f>
        <v>785.65553209060715</v>
      </c>
      <c r="V33" s="2">
        <f>V11/'Output-Calculation-sheet'!V10*'Output-Calculation-sheet'!V19</f>
        <v>574.98002507510307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92.621638180994395</v>
      </c>
      <c r="Y33" s="2">
        <f>Y11/'Output-Calculation-sheet'!Y10*'Output-Calculation-sheet'!Y19</f>
        <v>322.69522904583079</v>
      </c>
      <c r="AA33" s="2">
        <f t="shared" si="1"/>
        <v>77.791628077584036</v>
      </c>
    </row>
    <row r="34" spans="1:27" x14ac:dyDescent="0.25">
      <c r="A34" s="2">
        <v>2035</v>
      </c>
      <c r="B34" s="2">
        <f>B12/'Output-Calculation-sheet'!B11*'Output-Calculation-sheet'!B20</f>
        <v>20559.354273433979</v>
      </c>
      <c r="C34" s="2">
        <f>C12/'Output-Calculation-sheet'!C11*'Output-Calculation-sheet'!C20</f>
        <v>0</v>
      </c>
      <c r="D34" s="2">
        <f>D12/'Output-Calculation-sheet'!D11*'Output-Calculation-sheet'!D20</f>
        <v>6617.1658827560705</v>
      </c>
      <c r="E34" s="2">
        <f>E12/'Output-Calculation-sheet'!E11*'Output-Calculation-sheet'!E20</f>
        <v>7352.597586517948</v>
      </c>
      <c r="F34" s="2">
        <f>F12/'Output-Calculation-sheet'!F11*'Output-Calculation-sheet'!F20</f>
        <v>4112.5968443542151</v>
      </c>
      <c r="G34" s="2">
        <f>G12/'Output-Calculation-sheet'!G11*'Output-Calculation-sheet'!G20</f>
        <v>2219.9291460525919</v>
      </c>
      <c r="H34" s="2">
        <f>H12/'Output-Calculation-sheet'!H11*'Output-Calculation-sheet'!H20</f>
        <v>0</v>
      </c>
      <c r="I34" s="2">
        <f>I12/'Output-Calculation-sheet'!I11*'Output-Calculation-sheet'!I20</f>
        <v>2468.0356947269847</v>
      </c>
      <c r="J34" s="2">
        <f>J12/'Output-Calculation-sheet'!J11*'Output-Calculation-sheet'!J20</f>
        <v>2287.6259158589369</v>
      </c>
      <c r="K34" s="2">
        <f>K12/'Output-Calculation-sheet'!K11*'Output-Calculation-sheet'!K20</f>
        <v>3042.3119529587048</v>
      </c>
      <c r="L34" s="2">
        <f>L12/'Output-Calculation-sheet'!L11*'Output-Calculation-sheet'!L20</f>
        <v>2427.8924836063229</v>
      </c>
      <c r="M34" s="2">
        <f>M12/'Output-Calculation-sheet'!M11*'Output-Calculation-sheet'!M20</f>
        <v>0</v>
      </c>
      <c r="N34" s="2">
        <f>N12/'Output-Calculation-sheet'!N11*'Output-Calculation-sheet'!N20</f>
        <v>1301.9779931931937</v>
      </c>
      <c r="O34" s="2">
        <f>O12/'Output-Calculation-sheet'!O11*'Output-Calculation-sheet'!O20</f>
        <v>0</v>
      </c>
      <c r="P34" s="2">
        <f>P12/'Output-Calculation-sheet'!P11*'Output-Calculation-sheet'!P20</f>
        <v>2773.1093108075161</v>
      </c>
      <c r="Q34" s="2">
        <f>Q12/'Output-Calculation-sheet'!Q11*'Output-Calculation-sheet'!Q20</f>
        <v>2312.7473061288115</v>
      </c>
      <c r="R34" s="2">
        <f>R12/'Output-Calculation-sheet'!R11*'Output-Calculation-sheet'!R20</f>
        <v>2329.7416329580647</v>
      </c>
      <c r="S34" s="2">
        <f>S12/'Output-Calculation-sheet'!S11*'Output-Calculation-sheet'!S20</f>
        <v>889.95370302728202</v>
      </c>
      <c r="T34" s="2">
        <f>T12/'Output-Calculation-sheet'!T11*'Output-Calculation-sheet'!T20</f>
        <v>706.6351294105998</v>
      </c>
      <c r="U34" s="2">
        <f>U12/'Output-Calculation-sheet'!U11*'Output-Calculation-sheet'!U20</f>
        <v>650.42355354718757</v>
      </c>
      <c r="V34" s="2">
        <f>V12/'Output-Calculation-sheet'!V11*'Output-Calculation-sheet'!V20</f>
        <v>640.38936918991146</v>
      </c>
      <c r="W34" s="2">
        <f>W12/'Output-Calculation-sheet'!W11*'Output-Calculation-sheet'!W20</f>
        <v>347.46169643380762</v>
      </c>
      <c r="X34" s="2">
        <f>X12/'Output-Calculation-sheet'!X11*'Output-Calculation-sheet'!X20</f>
        <v>73.358458568657895</v>
      </c>
      <c r="Y34" s="2">
        <f>Y12/'Output-Calculation-sheet'!Y11*'Output-Calculation-sheet'!Y20</f>
        <v>252.18517607332774</v>
      </c>
      <c r="AA34" s="2">
        <f t="shared" si="1"/>
        <v>63.36549310960411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1.1961032038054387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0.23237067459857272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1.4284738784040114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1.2755901707479631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0.24781285389502855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1.5234030246429917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1.2490420469114758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0.24265526763860507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1.4916973145500809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1.1266483965953771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0.34681746490879084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0.21887747405018498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0.20550030227787733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6.5567152751339106E-2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1.9895906645115506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0.93481667736215845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0.18160973171339759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7.8354563184211354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14374.222712398692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8009.9174371331928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5467.1585684019483</v>
      </c>
      <c r="N52" s="2">
        <f>N8/'Output-Calculation-sheet'!N7*'Output-Calculation-sheet'!N43</f>
        <v>174.74275116160902</v>
      </c>
      <c r="O52" s="2">
        <f>O8/'Output-Calculation-sheet'!O7*'Output-Calculation-sheet'!O43</f>
        <v>672.65195278534202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704.59700520761533</v>
      </c>
      <c r="Y52" s="2">
        <f>Y8/'Output-Calculation-sheet'!Y7*'Output-Calculation-sheet'!Y43</f>
        <v>0</v>
      </c>
      <c r="AA52" s="2">
        <f t="shared" si="3"/>
        <v>29.4032904270884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19245.74643584646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15121.100135418003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10333.69318406923</v>
      </c>
      <c r="N53" s="2">
        <f>N9/'Output-Calculation-sheet'!N8*'Output-Calculation-sheet'!N44</f>
        <v>3680.5165874235031</v>
      </c>
      <c r="O53" s="2">
        <f>O9/'Output-Calculation-sheet'!O8*'Output-Calculation-sheet'!O44</f>
        <v>1434.7059962343758</v>
      </c>
      <c r="P53" s="2">
        <f>P9/'Output-Calculation-sheet'!P8*'Output-Calculation-sheet'!P44</f>
        <v>172.15869142816612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1135.0154573108264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1292.2360403926486</v>
      </c>
      <c r="Y53" s="2">
        <f>Y9/'Output-Calculation-sheet'!Y8*'Output-Calculation-sheet'!Y44</f>
        <v>0</v>
      </c>
      <c r="AA53" s="2">
        <f t="shared" si="3"/>
        <v>52.415172528123215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26624.317315744614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2362.6960270074701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529.23459008216537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113.57807152321561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34787.739965050241</v>
      </c>
      <c r="D55" s="2">
        <f>D11/'Output-Calculation-sheet'!D10*'Output-Calculation-sheet'!D46</f>
        <v>6916.1078461599973</v>
      </c>
      <c r="E55" s="2">
        <f>E11/'Output-Calculation-sheet'!E10*'Output-Calculation-sheet'!E46</f>
        <v>8627.356486724424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22634.402972994772</v>
      </c>
      <c r="I55" s="2">
        <f>I11/'Output-Calculation-sheet'!I10*'Output-Calculation-sheet'!I46</f>
        <v>1666.5425517339538</v>
      </c>
      <c r="J55" s="2">
        <f>J11/'Output-Calculation-sheet'!J10*'Output-Calculation-sheet'!J46</f>
        <v>1230.0087925687519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15993.358453638295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3494.359673432778</v>
      </c>
      <c r="P55" s="2">
        <f>P11/'Output-Calculation-sheet'!P10*'Output-Calculation-sheet'!P46</f>
        <v>4485.6791657003569</v>
      </c>
      <c r="Q55" s="2">
        <f>Q11/'Output-Calculation-sheet'!Q10*'Output-Calculation-sheet'!Q46</f>
        <v>3497.11040718493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5991.337732528722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1069.7798606797433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1609.8325985539291</v>
      </c>
      <c r="Y55" s="2">
        <f>Y11/'Output-Calculation-sheet'!Y10*'Output-Calculation-sheet'!Y46</f>
        <v>423.28387791961927</v>
      </c>
      <c r="AA55" s="2">
        <f t="shared" si="3"/>
        <v>213.33426648848922</v>
      </c>
    </row>
    <row r="56" spans="1:27" x14ac:dyDescent="0.25">
      <c r="A56" s="2">
        <v>2035</v>
      </c>
      <c r="B56" s="2">
        <f>B12/'Output-Calculation-sheet'!B11*'Output-Calculation-sheet'!B47</f>
        <v>64098.42630859607</v>
      </c>
      <c r="C56" s="2">
        <f>C12/'Output-Calculation-sheet'!C11*'Output-Calculation-sheet'!C47</f>
        <v>47806.85288615249</v>
      </c>
      <c r="D56" s="2">
        <f>D12/'Output-Calculation-sheet'!D11*'Output-Calculation-sheet'!D47</f>
        <v>6537.5530149298138</v>
      </c>
      <c r="E56" s="2">
        <f>E12/'Output-Calculation-sheet'!E11*'Output-Calculation-sheet'!E47</f>
        <v>16452.767753506603</v>
      </c>
      <c r="F56" s="2">
        <f>F12/'Output-Calculation-sheet'!F11*'Output-Calculation-sheet'!F47</f>
        <v>907.68970971259523</v>
      </c>
      <c r="G56" s="2">
        <f>G12/'Output-Calculation-sheet'!G11*'Output-Calculation-sheet'!G47</f>
        <v>2423.3327532794688</v>
      </c>
      <c r="H56" s="2">
        <f>H12/'Output-Calculation-sheet'!H11*'Output-Calculation-sheet'!H47</f>
        <v>18957.195716312308</v>
      </c>
      <c r="I56" s="2">
        <f>I12/'Output-Calculation-sheet'!I11*'Output-Calculation-sheet'!I47</f>
        <v>1546.8435102984756</v>
      </c>
      <c r="J56" s="2">
        <f>J12/'Output-Calculation-sheet'!J11*'Output-Calculation-sheet'!J47</f>
        <v>2528.2504089045901</v>
      </c>
      <c r="K56" s="2">
        <f>K12/'Output-Calculation-sheet'!K11*'Output-Calculation-sheet'!K47</f>
        <v>3478.270552090225</v>
      </c>
      <c r="L56" s="2">
        <f>L12/'Output-Calculation-sheet'!L11*'Output-Calculation-sheet'!L47</f>
        <v>3736.515432621346</v>
      </c>
      <c r="M56" s="2">
        <f>M12/'Output-Calculation-sheet'!M11*'Output-Calculation-sheet'!M47</f>
        <v>13322.315829200874</v>
      </c>
      <c r="N56" s="2">
        <f>N12/'Output-Calculation-sheet'!N11*'Output-Calculation-sheet'!N47</f>
        <v>10652.500658902971</v>
      </c>
      <c r="O56" s="2">
        <f>O12/'Output-Calculation-sheet'!O11*'Output-Calculation-sheet'!O47</f>
        <v>5273.0544909767195</v>
      </c>
      <c r="P56" s="2">
        <f>P12/'Output-Calculation-sheet'!P11*'Output-Calculation-sheet'!P47</f>
        <v>4620.8500327949723</v>
      </c>
      <c r="Q56" s="2">
        <f>Q12/'Output-Calculation-sheet'!Q11*'Output-Calculation-sheet'!Q47</f>
        <v>3365.3340568790663</v>
      </c>
      <c r="R56" s="2">
        <f>R12/'Output-Calculation-sheet'!R11*'Output-Calculation-sheet'!R47</f>
        <v>3915.831303008436</v>
      </c>
      <c r="S56" s="2">
        <f>S12/'Output-Calculation-sheet'!S11*'Output-Calculation-sheet'!S47</f>
        <v>4961.4211916786553</v>
      </c>
      <c r="T56" s="2">
        <f>T12/'Output-Calculation-sheet'!T11*'Output-Calculation-sheet'!T47</f>
        <v>1284.0927256510083</v>
      </c>
      <c r="U56" s="2">
        <f>U12/'Output-Calculation-sheet'!U11*'Output-Calculation-sheet'!U47</f>
        <v>897.17543007668178</v>
      </c>
      <c r="V56" s="2">
        <f>V12/'Output-Calculation-sheet'!V11*'Output-Calculation-sheet'!V47</f>
        <v>883.15356497562891</v>
      </c>
      <c r="W56" s="2">
        <f>W12/'Output-Calculation-sheet'!W11*'Output-Calculation-sheet'!W47</f>
        <v>315.45713608219575</v>
      </c>
      <c r="X56" s="2">
        <f>X12/'Output-Calculation-sheet'!X11*'Output-Calculation-sheet'!X47</f>
        <v>1345.2575845988849</v>
      </c>
      <c r="Y56" s="2">
        <f>Y12/'Output-Calculation-sheet'!Y11*'Output-Calculation-sheet'!Y47</f>
        <v>410.05420693532506</v>
      </c>
      <c r="AA56" s="2">
        <f t="shared" si="3"/>
        <v>219.7201962581654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8.5458435329148319</v>
      </c>
      <c r="C63" s="2">
        <f>C8*'Output-Calculation-sheet'!C52/10^9</f>
        <v>5.3568524381087155</v>
      </c>
      <c r="D63" s="2">
        <f>D8*'Output-Calculation-sheet'!D52/10^9</f>
        <v>2.9305330508906375</v>
      </c>
      <c r="E63" s="2">
        <f>E8*'Output-Calculation-sheet'!E52/10^9</f>
        <v>2.9137505784623499</v>
      </c>
      <c r="F63" s="2">
        <f>F8*'Output-Calculation-sheet'!F52/10^9</f>
        <v>1.2339741115873144</v>
      </c>
      <c r="G63" s="2">
        <f>G8*'Output-Calculation-sheet'!G52/10^9</f>
        <v>0.88717056354855406</v>
      </c>
      <c r="H63" s="2">
        <f>H8*'Output-Calculation-sheet'!H52/10^9</f>
        <v>1.5497036503729469</v>
      </c>
      <c r="I63" s="2">
        <f>I8*'Output-Calculation-sheet'!I52/10^9</f>
        <v>0.82527470438515815</v>
      </c>
      <c r="J63" s="2">
        <f>J8*'Output-Calculation-sheet'!J52/10^9</f>
        <v>1.1356350411094265</v>
      </c>
      <c r="K63" s="2">
        <f>K8*'Output-Calculation-sheet'!K52/10^9</f>
        <v>0.99775380613250197</v>
      </c>
      <c r="L63" s="2">
        <f>L8*'Output-Calculation-sheet'!L52/10^9</f>
        <v>1.3420249847432335</v>
      </c>
      <c r="M63" s="2">
        <f>M8*'Output-Calculation-sheet'!M52/10^9</f>
        <v>1.2578735054749679</v>
      </c>
      <c r="N63" s="2">
        <f>N8*'Output-Calculation-sheet'!N52/10^9</f>
        <v>1.0497932936997916</v>
      </c>
      <c r="O63" s="2">
        <f>O8*'Output-Calculation-sheet'!O52/10^9</f>
        <v>1.0998845972596518</v>
      </c>
      <c r="P63" s="2">
        <f>P8*'Output-Calculation-sheet'!P52/10^9</f>
        <v>0.68942223235073474</v>
      </c>
      <c r="Q63" s="2">
        <f>Q8*'Output-Calculation-sheet'!Q52/10^9</f>
        <v>0.78021967947902671</v>
      </c>
      <c r="R63" s="2">
        <f>R8*'Output-Calculation-sheet'!R52/10^9</f>
        <v>0.70048318222535932</v>
      </c>
      <c r="S63" s="2">
        <f>S8*'Output-Calculation-sheet'!S52/10^9</f>
        <v>0.51908594747271319</v>
      </c>
      <c r="T63" s="2">
        <f>T8*'Output-Calculation-sheet'!T52/10^9</f>
        <v>0.26631478652502616</v>
      </c>
      <c r="U63" s="2">
        <f>U8*'Output-Calculation-sheet'!U52/10^9</f>
        <v>0.18290203424291884</v>
      </c>
      <c r="V63" s="2">
        <f>V8*'Output-Calculation-sheet'!V52/10^9</f>
        <v>0.324608136081803</v>
      </c>
      <c r="W63" s="2">
        <f>W8*'Output-Calculation-sheet'!W52/10^9</f>
        <v>0.11749316423849093</v>
      </c>
      <c r="X63" s="2">
        <f>X8*'Output-Calculation-sheet'!X52/10^9</f>
        <v>0.13524162487899971</v>
      </c>
      <c r="Y63" s="2">
        <f>Y8*'Output-Calculation-sheet'!Y52/10^9</f>
        <v>7.6660947243566369E-2</v>
      </c>
      <c r="AA63" s="2">
        <f t="shared" si="4"/>
        <v>34.918499593428727</v>
      </c>
    </row>
    <row r="64" spans="1:27" x14ac:dyDescent="0.25">
      <c r="A64" s="2">
        <v>2032</v>
      </c>
      <c r="B64" s="2">
        <f>B9*'Output-Calculation-sheet'!B53/10^9</f>
        <v>8.6962772135028619</v>
      </c>
      <c r="C64" s="2">
        <f>C9*'Output-Calculation-sheet'!C53/10^9</f>
        <v>5.8022600856328941</v>
      </c>
      <c r="D64" s="2">
        <f>D9*'Output-Calculation-sheet'!D53/10^9</f>
        <v>2.573574318304404</v>
      </c>
      <c r="E64" s="2">
        <f>E9*'Output-Calculation-sheet'!E53/10^9</f>
        <v>2.6354655764154136</v>
      </c>
      <c r="F64" s="2">
        <f>F9*'Output-Calculation-sheet'!F53/10^9</f>
        <v>1.1116237876569761</v>
      </c>
      <c r="G64" s="2">
        <f>G9*'Output-Calculation-sheet'!G53/10^9</f>
        <v>0.79121896576257944</v>
      </c>
      <c r="H64" s="2">
        <f>H9*'Output-Calculation-sheet'!H53/10^9</f>
        <v>1.6257427763977339</v>
      </c>
      <c r="I64" s="2">
        <f>I9*'Output-Calculation-sheet'!I53/10^9</f>
        <v>0.73966054204234055</v>
      </c>
      <c r="J64" s="2">
        <f>J9*'Output-Calculation-sheet'!J53/10^9</f>
        <v>0.97916122604845979</v>
      </c>
      <c r="K64" s="2">
        <f>K9*'Output-Calculation-sheet'!K53/10^9</f>
        <v>0.90852606592562857</v>
      </c>
      <c r="L64" s="2">
        <f>L9*'Output-Calculation-sheet'!L53/10^9</f>
        <v>1.1688112578466325</v>
      </c>
      <c r="M64" s="2">
        <f>M9*'Output-Calculation-sheet'!M53/10^9</f>
        <v>1.2741765886249832</v>
      </c>
      <c r="N64" s="2">
        <f>N9*'Output-Calculation-sheet'!N53/10^9</f>
        <v>1.0726439695582188</v>
      </c>
      <c r="O64" s="2">
        <f>O9*'Output-Calculation-sheet'!O53/10^9</f>
        <v>1.181014802675435</v>
      </c>
      <c r="P64" s="2">
        <f>P9*'Output-Calculation-sheet'!P53/10^9</f>
        <v>0.69267773990216319</v>
      </c>
      <c r="Q64" s="2">
        <f>Q9*'Output-Calculation-sheet'!Q53/10^9</f>
        <v>0.76552514516520775</v>
      </c>
      <c r="R64" s="2">
        <f>R9*'Output-Calculation-sheet'!R53/10^9</f>
        <v>0.65623493529061616</v>
      </c>
      <c r="S64" s="2">
        <f>S9*'Output-Calculation-sheet'!S53/10^9</f>
        <v>0.54219672059967772</v>
      </c>
      <c r="T64" s="2">
        <f>T9*'Output-Calculation-sheet'!T53/10^9</f>
        <v>0.23589937834421132</v>
      </c>
      <c r="U64" s="2">
        <f>U9*'Output-Calculation-sheet'!U53/10^9</f>
        <v>0.17755645842851364</v>
      </c>
      <c r="V64" s="2">
        <f>V9*'Output-Calculation-sheet'!V53/10^9</f>
        <v>0.27999670734070037</v>
      </c>
      <c r="W64" s="2">
        <f>W9*'Output-Calculation-sheet'!W53/10^9</f>
        <v>0.10404172971507175</v>
      </c>
      <c r="X64" s="2">
        <f>X9*'Output-Calculation-sheet'!X53/10^9</f>
        <v>0.14122302682857343</v>
      </c>
      <c r="Y64" s="2">
        <f>Y9*'Output-Calculation-sheet'!Y53/10^9</f>
        <v>7.2895019196206987E-2</v>
      </c>
      <c r="AA64" s="2">
        <f t="shared" si="4"/>
        <v>34.228404037205507</v>
      </c>
    </row>
    <row r="65" spans="1:27" x14ac:dyDescent="0.25">
      <c r="A65" s="2">
        <v>2033</v>
      </c>
      <c r="B65" s="2">
        <f>B10*'Output-Calculation-sheet'!B54/10^9</f>
        <v>8.4708368523456681</v>
      </c>
      <c r="C65" s="2">
        <f>C10*'Output-Calculation-sheet'!C54/10^9</f>
        <v>5.7270346056325003</v>
      </c>
      <c r="D65" s="2">
        <f>D10*'Output-Calculation-sheet'!D54/10^9</f>
        <v>2.00123306633638</v>
      </c>
      <c r="E65" s="2">
        <f>E10*'Output-Calculation-sheet'!E54/10^9</f>
        <v>2.2533655475681629</v>
      </c>
      <c r="F65" s="2">
        <f>F10*'Output-Calculation-sheet'!F54/10^9</f>
        <v>0.91482785042895776</v>
      </c>
      <c r="G65" s="2">
        <f>G10*'Output-Calculation-sheet'!G54/10^9</f>
        <v>0.62811206980673384</v>
      </c>
      <c r="H65" s="2">
        <f>H10*'Output-Calculation-sheet'!H54/10^9</f>
        <v>1.5522629646461108</v>
      </c>
      <c r="I65" s="2">
        <f>I10*'Output-Calculation-sheet'!I54/10^9</f>
        <v>0.61160961635293243</v>
      </c>
      <c r="J65" s="2">
        <f>J10*'Output-Calculation-sheet'!J54/10^9</f>
        <v>0.73100990345965244</v>
      </c>
      <c r="K65" s="2">
        <f>K10*'Output-Calculation-sheet'!K54/10^9</f>
        <v>0.77989073330467407</v>
      </c>
      <c r="L65" s="2">
        <f>L10*'Output-Calculation-sheet'!L54/10^9</f>
        <v>0.92121497669966523</v>
      </c>
      <c r="M65" s="2">
        <f>M10*'Output-Calculation-sheet'!M54/10^9</f>
        <v>1.1720272093813466</v>
      </c>
      <c r="N65" s="2">
        <f>N10*'Output-Calculation-sheet'!N54/10^9</f>
        <v>1.0121259167201577</v>
      </c>
      <c r="O65" s="2">
        <f>O10*'Output-Calculation-sheet'!O54/10^9</f>
        <v>1.1584457414014939</v>
      </c>
      <c r="P65" s="2">
        <f>P10*'Output-Calculation-sheet'!P54/10^9</f>
        <v>0.65987604471693384</v>
      </c>
      <c r="Q65" s="2">
        <f>Q10*'Output-Calculation-sheet'!Q54/10^9</f>
        <v>0.72006691268804413</v>
      </c>
      <c r="R65" s="2">
        <f>R10*'Output-Calculation-sheet'!R54/10^9</f>
        <v>0.58094937464427554</v>
      </c>
      <c r="S65" s="2">
        <f>S10*'Output-Calculation-sheet'!S54/10^9</f>
        <v>0.52769923461630419</v>
      </c>
      <c r="T65" s="2">
        <f>T10*'Output-Calculation-sheet'!T54/10^9</f>
        <v>0.19423698719256247</v>
      </c>
      <c r="U65" s="2">
        <f>U10*'Output-Calculation-sheet'!U54/10^9</f>
        <v>0.16772157783374159</v>
      </c>
      <c r="V65" s="2">
        <f>V10*'Output-Calculation-sheet'!V54/10^9</f>
        <v>0.21495254549035553</v>
      </c>
      <c r="W65" s="2">
        <f>W10*'Output-Calculation-sheet'!W54/10^9</f>
        <v>8.1840518795007186E-2</v>
      </c>
      <c r="X65" s="2">
        <f>X10*'Output-Calculation-sheet'!X54/10^9</f>
        <v>0.1348000542733597</v>
      </c>
      <c r="Y65" s="2">
        <f>Y10*'Output-Calculation-sheet'!Y54/10^9</f>
        <v>6.735913369462089E-2</v>
      </c>
      <c r="AA65" s="2">
        <f t="shared" si="4"/>
        <v>31.283499438029647</v>
      </c>
    </row>
    <row r="66" spans="1:27" x14ac:dyDescent="0.25">
      <c r="A66" s="2">
        <v>2034</v>
      </c>
      <c r="B66" s="2">
        <f>B11*'Output-Calculation-sheet'!B55/10^9</f>
        <v>7.8379485739201211</v>
      </c>
      <c r="C66" s="2">
        <f>C11*'Output-Calculation-sheet'!C55/10^9</f>
        <v>5.1699860944513159</v>
      </c>
      <c r="D66" s="2">
        <f>D11*'Output-Calculation-sheet'!D55/10^9</f>
        <v>1.6394586203794552</v>
      </c>
      <c r="E66" s="2">
        <f>E11*'Output-Calculation-sheet'!E55/10^9</f>
        <v>1.9852755075893092</v>
      </c>
      <c r="F66" s="2">
        <f>F11*'Output-Calculation-sheet'!F55/10^9</f>
        <v>0.76296659188094951</v>
      </c>
      <c r="G66" s="2">
        <f>G11*'Output-Calculation-sheet'!G55/10^9</f>
        <v>0.54535434958561635</v>
      </c>
      <c r="H66" s="2">
        <f>H11*'Output-Calculation-sheet'!H55/10^9</f>
        <v>1.3942296104210385</v>
      </c>
      <c r="I66" s="2">
        <f>I11*'Output-Calculation-sheet'!I55/10^9</f>
        <v>0.53329508470122966</v>
      </c>
      <c r="J66" s="2">
        <f>J11*'Output-Calculation-sheet'!J55/10^9</f>
        <v>0.54841149397069988</v>
      </c>
      <c r="K66" s="2">
        <f>K11*'Output-Calculation-sheet'!K55/10^9</f>
        <v>0.65593077055762172</v>
      </c>
      <c r="L66" s="2">
        <f>L11*'Output-Calculation-sheet'!L55/10^9</f>
        <v>0.69463564553647328</v>
      </c>
      <c r="M66" s="2">
        <f>M11*'Output-Calculation-sheet'!M55/10^9</f>
        <v>1.0100882416498176</v>
      </c>
      <c r="N66" s="2">
        <f>N11*'Output-Calculation-sheet'!N55/10^9</f>
        <v>0.88254776075266295</v>
      </c>
      <c r="O66" s="2">
        <f>O11*'Output-Calculation-sheet'!O55/10^9</f>
        <v>1.0415171437391271</v>
      </c>
      <c r="P66" s="2">
        <f>P11*'Output-Calculation-sheet'!P55/10^9</f>
        <v>0.60666963248556627</v>
      </c>
      <c r="Q66" s="2">
        <f>Q11*'Output-Calculation-sheet'!Q55/10^9</f>
        <v>0.66074571536282722</v>
      </c>
      <c r="R66" s="2">
        <f>R11*'Output-Calculation-sheet'!R55/10^9</f>
        <v>0.4913529725052021</v>
      </c>
      <c r="S66" s="2">
        <f>S11*'Output-Calculation-sheet'!S55/10^9</f>
        <v>0.48347940007750062</v>
      </c>
      <c r="T66" s="2">
        <f>T11*'Output-Calculation-sheet'!T55/10^9</f>
        <v>0.15401771097367678</v>
      </c>
      <c r="U66" s="2">
        <f>U11*'Output-Calculation-sheet'!U55/10^9</f>
        <v>0.15661569980326581</v>
      </c>
      <c r="V66" s="2">
        <f>V11*'Output-Calculation-sheet'!V55/10^9</f>
        <v>0.14611279930034538</v>
      </c>
      <c r="W66" s="2">
        <f>W11*'Output-Calculation-sheet'!W55/10^9</f>
        <v>6.6156586325724992E-2</v>
      </c>
      <c r="X66" s="2">
        <f>X11*'Output-Calculation-sheet'!X55/10^9</f>
        <v>0.12442873808250847</v>
      </c>
      <c r="Y66" s="2">
        <f>Y11*'Output-Calculation-sheet'!Y55/10^9</f>
        <v>6.4919487618955357E-2</v>
      </c>
      <c r="AA66" s="2">
        <f t="shared" si="4"/>
        <v>27.656144231671004</v>
      </c>
    </row>
    <row r="67" spans="1:27" x14ac:dyDescent="0.25">
      <c r="A67" s="2">
        <v>2035</v>
      </c>
      <c r="B67" s="2">
        <f>B12*'Output-Calculation-sheet'!B56/10^9</f>
        <v>6.7567644576548407</v>
      </c>
      <c r="C67" s="2">
        <f>C12*'Output-Calculation-sheet'!C56/10^9</f>
        <v>4.2613237960986083</v>
      </c>
      <c r="D67" s="2">
        <f>D12*'Output-Calculation-sheet'!D56/10^9</f>
        <v>1.4071912071991408</v>
      </c>
      <c r="E67" s="2">
        <f>E12*'Output-Calculation-sheet'!E56/10^9</f>
        <v>1.9093728532502074</v>
      </c>
      <c r="F67" s="2">
        <f>F12*'Output-Calculation-sheet'!F56/10^9</f>
        <v>0.6973415260847462</v>
      </c>
      <c r="G67" s="2">
        <f>G12*'Output-Calculation-sheet'!G56/10^9</f>
        <v>0.48850799106465537</v>
      </c>
      <c r="H67" s="2">
        <f>H12*'Output-Calculation-sheet'!H56/10^9</f>
        <v>1.1790059220248978</v>
      </c>
      <c r="I67" s="2">
        <f>I12*'Output-Calculation-sheet'!I56/10^9</f>
        <v>0.47451043589064712</v>
      </c>
      <c r="J67" s="2">
        <f>J12*'Output-Calculation-sheet'!J56/10^9</f>
        <v>0.47007285992713066</v>
      </c>
      <c r="K67" s="2">
        <f>K12*'Output-Calculation-sheet'!K56/10^9</f>
        <v>0.5661397497932712</v>
      </c>
      <c r="L67" s="2">
        <f>L12*'Output-Calculation-sheet'!L56/10^9</f>
        <v>0.56872801834938458</v>
      </c>
      <c r="M67" s="2">
        <f>M12*'Output-Calculation-sheet'!M56/10^9</f>
        <v>0.86265330680249597</v>
      </c>
      <c r="N67" s="2">
        <f>N12*'Output-Calculation-sheet'!N56/10^9</f>
        <v>0.74075286902309667</v>
      </c>
      <c r="O67" s="2">
        <f>O12*'Output-Calculation-sheet'!O56/10^9</f>
        <v>0.85687986025634555</v>
      </c>
      <c r="P67" s="2">
        <f>P12*'Output-Calculation-sheet'!P56/10^9</f>
        <v>0.54831574417874429</v>
      </c>
      <c r="Q67" s="2">
        <f>Q12*'Output-Calculation-sheet'!Q56/10^9</f>
        <v>0.56387019695179663</v>
      </c>
      <c r="R67" s="2">
        <f>R12*'Output-Calculation-sheet'!R56/10^9</f>
        <v>0.42929170606134259</v>
      </c>
      <c r="S67" s="2">
        <f>S12*'Output-Calculation-sheet'!S56/10^9</f>
        <v>0.40908993247682424</v>
      </c>
      <c r="T67" s="2">
        <f>T12*'Output-Calculation-sheet'!T56/10^9</f>
        <v>0.13018480249969849</v>
      </c>
      <c r="U67" s="2">
        <f>U12*'Output-Calculation-sheet'!U56/10^9</f>
        <v>0.13594711796430517</v>
      </c>
      <c r="V67" s="2">
        <f>V12*'Output-Calculation-sheet'!V56/10^9</f>
        <v>0.10443099432914867</v>
      </c>
      <c r="W67" s="2">
        <f>W12*'Output-Calculation-sheet'!W56/10^9</f>
        <v>6.3007303152778749E-2</v>
      </c>
      <c r="X67" s="2">
        <f>X12*'Output-Calculation-sheet'!X56/10^9</f>
        <v>0.10713098985393926</v>
      </c>
      <c r="Y67" s="2">
        <f>Y12*'Output-Calculation-sheet'!Y56/10^9</f>
        <v>6.086886193962901E-2</v>
      </c>
      <c r="AA67" s="2">
        <f t="shared" si="4"/>
        <v>23.791382502827684</v>
      </c>
    </row>
    <row r="68" spans="1:27" x14ac:dyDescent="0.25">
      <c r="B68" s="2">
        <f>SUM(B60:B67)</f>
        <v>60.152409069863225</v>
      </c>
      <c r="C68" s="2">
        <f t="shared" ref="C68:Y68" si="5">SUM(C60:C67)</f>
        <v>36.819471506284899</v>
      </c>
      <c r="D68" s="2">
        <f t="shared" si="5"/>
        <v>18.337260253800313</v>
      </c>
      <c r="E68" s="2">
        <f t="shared" si="5"/>
        <v>19.372851000772894</v>
      </c>
      <c r="F68" s="2">
        <f t="shared" si="5"/>
        <v>7.9019196477263307</v>
      </c>
      <c r="G68" s="2">
        <f t="shared" si="5"/>
        <v>5.655202872250265</v>
      </c>
      <c r="H68" s="2">
        <f t="shared" si="5"/>
        <v>10.572547357049459</v>
      </c>
      <c r="I68" s="2">
        <f t="shared" si="5"/>
        <v>5.3250486635593521</v>
      </c>
      <c r="J68" s="2">
        <f t="shared" si="5"/>
        <v>6.9441829488307683</v>
      </c>
      <c r="K68" s="2">
        <f t="shared" si="5"/>
        <v>6.5019770501224432</v>
      </c>
      <c r="L68" s="2">
        <f t="shared" si="5"/>
        <v>8.3483022760119976</v>
      </c>
      <c r="M68" s="2">
        <f t="shared" si="5"/>
        <v>8.3816074641266365</v>
      </c>
      <c r="N68" s="2">
        <f t="shared" si="5"/>
        <v>7.1918420412299531</v>
      </c>
      <c r="O68" s="2">
        <f t="shared" si="5"/>
        <v>7.528049816253632</v>
      </c>
      <c r="P68" s="2">
        <f t="shared" si="5"/>
        <v>4.844167660640613</v>
      </c>
      <c r="Q68" s="2">
        <f t="shared" si="5"/>
        <v>5.370762762345743</v>
      </c>
      <c r="R68" s="2">
        <f t="shared" si="5"/>
        <v>4.6612785399215788</v>
      </c>
      <c r="S68" s="2">
        <f t="shared" si="5"/>
        <v>3.6609375166448705</v>
      </c>
      <c r="T68" s="2">
        <f t="shared" si="5"/>
        <v>1.686430436365622</v>
      </c>
      <c r="U68" s="2">
        <f t="shared" si="5"/>
        <v>1.2823815577912625</v>
      </c>
      <c r="V68" s="2">
        <f t="shared" si="5"/>
        <v>1.9631227289544775</v>
      </c>
      <c r="W68" s="2">
        <f t="shared" si="5"/>
        <v>0.74168826408421218</v>
      </c>
      <c r="X68" s="2">
        <f t="shared" si="5"/>
        <v>0.92845673940971429</v>
      </c>
      <c r="Y68" s="2">
        <f t="shared" si="5"/>
        <v>0.5376228693724624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3295.1594051503162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1724.2316225054658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1156.6596247661764</v>
      </c>
      <c r="N74" s="2">
        <f>N8/'Output-Calculation-sheet'!N7*'Output-Calculation-sheet'!N61</f>
        <v>48.032413725547279</v>
      </c>
      <c r="O74" s="2">
        <f>O8/'Output-Calculation-sheet'!O7*'Output-Calculation-sheet'!O61</f>
        <v>186.89532591178187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144.50089931366836</v>
      </c>
      <c r="Y74" s="2">
        <f>Y8/'Output-Calculation-sheet'!Y7*'Output-Calculation-sheet'!Y61</f>
        <v>0</v>
      </c>
      <c r="AA74" s="2">
        <f t="shared" si="6"/>
        <v>6.5554792913729552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4247.3795869668365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2878.9334658735929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1953.0917129202408</v>
      </c>
      <c r="N75" s="2">
        <f>N9/'Output-Calculation-sheet'!N8*'Output-Calculation-sheet'!N62</f>
        <v>754.73884450962976</v>
      </c>
      <c r="O75" s="2">
        <f>O9/'Output-Calculation-sheet'!O8*'Output-Calculation-sheet'!O62</f>
        <v>368.91508275899378</v>
      </c>
      <c r="P75" s="2">
        <f>P9/'Output-Calculation-sheet'!P8*'Output-Calculation-sheet'!P62</f>
        <v>50.528575934166753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249.64998811627308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235.88637885823394</v>
      </c>
      <c r="Y75" s="2">
        <f>Y9/'Output-Calculation-sheet'!Y8*'Output-Calculation-sheet'!Y62</f>
        <v>0</v>
      </c>
      <c r="AA75" s="2">
        <f t="shared" si="6"/>
        <v>10.739123635937965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5603.8161869591531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3871.2479102526822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2636.3424952653086</v>
      </c>
      <c r="N76" s="2">
        <f>N10/'Output-Calculation-sheet'!N9*'Output-Calculation-sheet'!N63</f>
        <v>1508.5126091287643</v>
      </c>
      <c r="O76" s="2">
        <f>O10/'Output-Calculation-sheet'!O9*'Output-Calculation-sheet'!O63</f>
        <v>557.17055137790578</v>
      </c>
      <c r="P76" s="2">
        <f>P10/'Output-Calculation-sheet'!P9*'Output-Calculation-sheet'!P63</f>
        <v>517.12688354401359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398.21300370831131</v>
      </c>
      <c r="S76" s="2">
        <f>S10/'Output-Calculation-sheet'!S9*'Output-Calculation-sheet'!S63</f>
        <v>668.91477916604799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141.51605412389853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310.44402047369681</v>
      </c>
      <c r="Y76" s="2">
        <f>Y10/'Output-Calculation-sheet'!Y9*'Output-Calculation-sheet'!Y63</f>
        <v>5.8891829974712673</v>
      </c>
      <c r="AA76" s="2">
        <f t="shared" si="6"/>
        <v>22.518860233371583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6785.9811845460499</v>
      </c>
      <c r="D77" s="2">
        <f>D11/'Output-Calculation-sheet'!D10*'Output-Calculation-sheet'!D64</f>
        <v>1588.0784345486372</v>
      </c>
      <c r="E77" s="2">
        <f>E11/'Output-Calculation-sheet'!E10*'Output-Calculation-sheet'!E64</f>
        <v>1980.1174646143313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841.6723370963872</v>
      </c>
      <c r="H77" s="2">
        <f>H11/'Output-Calculation-sheet'!H10*'Output-Calculation-sheet'!H64</f>
        <v>4211.3679692858777</v>
      </c>
      <c r="I77" s="2">
        <f>I11/'Output-Calculation-sheet'!I10*'Output-Calculation-sheet'!I64</f>
        <v>494.62418005785196</v>
      </c>
      <c r="J77" s="2">
        <f>J11/'Output-Calculation-sheet'!J10*'Output-Calculation-sheet'!J64</f>
        <v>346.41520357981756</v>
      </c>
      <c r="K77" s="2">
        <f>K11/'Output-Calculation-sheet'!K10*'Output-Calculation-sheet'!K64</f>
        <v>753.28996944838775</v>
      </c>
      <c r="L77" s="2">
        <f>L11/'Output-Calculation-sheet'!L10*'Output-Calculation-sheet'!L64</f>
        <v>310.06391636652307</v>
      </c>
      <c r="M77" s="2">
        <f>M11/'Output-Calculation-sheet'!M10*'Output-Calculation-sheet'!M64</f>
        <v>3008.0492796297131</v>
      </c>
      <c r="N77" s="2">
        <f>N11/'Output-Calculation-sheet'!N10*'Output-Calculation-sheet'!N64</f>
        <v>2117.8549836948109</v>
      </c>
      <c r="O77" s="2">
        <f>O11/'Output-Calculation-sheet'!O10*'Output-Calculation-sheet'!O64</f>
        <v>771.2742991289457</v>
      </c>
      <c r="P77" s="2">
        <f>P11/'Output-Calculation-sheet'!P10*'Output-Calculation-sheet'!P64</f>
        <v>939.02751484008661</v>
      </c>
      <c r="Q77" s="2">
        <f>Q11/'Output-Calculation-sheet'!Q10*'Output-Calculation-sheet'!Q64</f>
        <v>661.18820940791784</v>
      </c>
      <c r="R77" s="2">
        <f>R11/'Output-Calculation-sheet'!R10*'Output-Calculation-sheet'!R64</f>
        <v>799.93671014619133</v>
      </c>
      <c r="S77" s="2">
        <f>S11/'Output-Calculation-sheet'!S10*'Output-Calculation-sheet'!S64</f>
        <v>1064.9956638727238</v>
      </c>
      <c r="T77" s="2">
        <f>T11/'Output-Calculation-sheet'!T10*'Output-Calculation-sheet'!T64</f>
        <v>220.47989561027239</v>
      </c>
      <c r="U77" s="2">
        <f>U11/'Output-Calculation-sheet'!U10*'Output-Calculation-sheet'!U64</f>
        <v>234.00571726675287</v>
      </c>
      <c r="V77" s="2">
        <f>V11/'Output-Calculation-sheet'!V10*'Output-Calculation-sheet'!V64</f>
        <v>116.61652905829504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301.11218329499661</v>
      </c>
      <c r="Y77" s="2">
        <f>Y11/'Output-Calculation-sheet'!Y10*'Output-Calculation-sheet'!Y64</f>
        <v>73.228110880094135</v>
      </c>
      <c r="AA77" s="2">
        <f t="shared" si="6"/>
        <v>40.747513091491939</v>
      </c>
    </row>
    <row r="78" spans="1:27" x14ac:dyDescent="0.25">
      <c r="A78" s="2">
        <v>2035</v>
      </c>
      <c r="B78" s="2">
        <f>B12/'Output-Calculation-sheet'!B11*'Output-Calculation-sheet'!B65</f>
        <v>11102.331198356829</v>
      </c>
      <c r="C78" s="2">
        <f>C12/'Output-Calculation-sheet'!C11*'Output-Calculation-sheet'!C65</f>
        <v>8604.0034975635499</v>
      </c>
      <c r="D78" s="2">
        <f>D12/'Output-Calculation-sheet'!D11*'Output-Calculation-sheet'!D65</f>
        <v>1483.0802211758003</v>
      </c>
      <c r="E78" s="2">
        <f>E12/'Output-Calculation-sheet'!E11*'Output-Calculation-sheet'!E65</f>
        <v>2569.9223230977318</v>
      </c>
      <c r="F78" s="2">
        <f>F12/'Output-Calculation-sheet'!F11*'Output-Calculation-sheet'!F65</f>
        <v>328.8741356230675</v>
      </c>
      <c r="G78" s="2">
        <f>G12/'Output-Calculation-sheet'!G11*'Output-Calculation-sheet'!G65</f>
        <v>651.2771917792154</v>
      </c>
      <c r="H78" s="2">
        <f>H12/'Output-Calculation-sheet'!H11*'Output-Calculation-sheet'!H65</f>
        <v>3531.5917761469909</v>
      </c>
      <c r="I78" s="2">
        <f>I12/'Output-Calculation-sheet'!I11*'Output-Calculation-sheet'!I65</f>
        <v>431.33496914444163</v>
      </c>
      <c r="J78" s="2">
        <f>J12/'Output-Calculation-sheet'!J11*'Output-Calculation-sheet'!J65</f>
        <v>624.31548629427471</v>
      </c>
      <c r="K78" s="2">
        <f>K12/'Output-Calculation-sheet'!K11*'Output-Calculation-sheet'!K65</f>
        <v>782.42659498575279</v>
      </c>
      <c r="L78" s="2">
        <f>L12/'Output-Calculation-sheet'!L11*'Output-Calculation-sheet'!L65</f>
        <v>663.72602809754767</v>
      </c>
      <c r="M78" s="2">
        <f>M12/'Output-Calculation-sheet'!M11*'Output-Calculation-sheet'!M65</f>
        <v>2573.3260196135552</v>
      </c>
      <c r="N78" s="2">
        <f>N12/'Output-Calculation-sheet'!N11*'Output-Calculation-sheet'!N65</f>
        <v>1825.2650167466436</v>
      </c>
      <c r="O78" s="2">
        <f>O12/'Output-Calculation-sheet'!O11*'Output-Calculation-sheet'!O65</f>
        <v>1024.6930844972946</v>
      </c>
      <c r="P78" s="2">
        <f>P12/'Output-Calculation-sheet'!P11*'Output-Calculation-sheet'!P65</f>
        <v>896.22411489308081</v>
      </c>
      <c r="Q78" s="2">
        <f>Q12/'Output-Calculation-sheet'!Q11*'Output-Calculation-sheet'!Q65</f>
        <v>616.96295338757614</v>
      </c>
      <c r="R78" s="2">
        <f>R12/'Output-Calculation-sheet'!R11*'Output-Calculation-sheet'!R65</f>
        <v>835.16968692118553</v>
      </c>
      <c r="S78" s="2">
        <f>S12/'Output-Calculation-sheet'!S11*'Output-Calculation-sheet'!S65</f>
        <v>870.284163391633</v>
      </c>
      <c r="T78" s="2">
        <f>T12/'Output-Calculation-sheet'!T11*'Output-Calculation-sheet'!T65</f>
        <v>288.09223933312944</v>
      </c>
      <c r="U78" s="2">
        <f>U12/'Output-Calculation-sheet'!U11*'Output-Calculation-sheet'!U65</f>
        <v>197.0970342425374</v>
      </c>
      <c r="V78" s="2">
        <f>V12/'Output-Calculation-sheet'!V11*'Output-Calculation-sheet'!V65</f>
        <v>161.76429465136937</v>
      </c>
      <c r="W78" s="2">
        <f>W12/'Output-Calculation-sheet'!W11*'Output-Calculation-sheet'!W65</f>
        <v>77.901980433712339</v>
      </c>
      <c r="X78" s="2">
        <f>X12/'Output-Calculation-sheet'!X11*'Output-Calculation-sheet'!X65</f>
        <v>251.9194900881501</v>
      </c>
      <c r="Y78" s="2">
        <f>Y12/'Output-Calculation-sheet'!Y11*'Output-Calculation-sheet'!Y65</f>
        <v>68.925882927191594</v>
      </c>
      <c r="AA78" s="2">
        <f t="shared" si="6"/>
        <v>40.460509383392264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314.76400100143121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81.533570034586916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0.39629757103601809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559.46937313507158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108.68984819957392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0.66815922133464556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657.39055100603991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127.71329875716054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0.78510384976320047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592.9728403133563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30.422584641122004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115.19867055272894</v>
      </c>
      <c r="P88" s="2">
        <f>P11/'Output-Calculation-sheet'!P10*'Output-Calculation-sheet'!P73</f>
        <v>0</v>
      </c>
      <c r="Q88" s="2">
        <f>Q11/'Output-Calculation-sheet'!Q10*'Output-Calculation-sheet'!Q73</f>
        <v>18.026342305076959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5.7515046273104478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2.2964801691211543</v>
      </c>
      <c r="Y88" s="2">
        <f>Y11/'Output-Calculation-sheet'!Y10*'Output-Calculation-sheet'!Y73</f>
        <v>0</v>
      </c>
      <c r="AA88" s="2">
        <f t="shared" si="7"/>
        <v>0.76466842260871581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410.00731463252566</v>
      </c>
      <c r="D89" s="2">
        <f>D12/'Output-Calculation-sheet'!D11*'Output-Calculation-sheet'!D74</f>
        <v>72.639477943664602</v>
      </c>
      <c r="E89" s="2">
        <f>E12/'Output-Calculation-sheet'!E11*'Output-Calculation-sheet'!E74</f>
        <v>115.45801932285336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26.057341433112565</v>
      </c>
      <c r="H89" s="2">
        <f>H12/'Output-Calculation-sheet'!H11*'Output-Calculation-sheet'!H74</f>
        <v>50.485208299100691</v>
      </c>
      <c r="I89" s="2">
        <f>I12/'Output-Calculation-sheet'!I11*'Output-Calculation-sheet'!I74</f>
        <v>23.437022883310238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23.034904318478311</v>
      </c>
      <c r="L89" s="2">
        <f>L12/'Output-Calculation-sheet'!L11*'Output-Calculation-sheet'!L74</f>
        <v>18.316252120692873</v>
      </c>
      <c r="M89" s="2">
        <f>M12/'Output-Calculation-sheet'!M11*'Output-Calculation-sheet'!M74</f>
        <v>34.73876357027607</v>
      </c>
      <c r="N89" s="2">
        <f>N12/'Output-Calculation-sheet'!N11*'Output-Calculation-sheet'!N74</f>
        <v>17.071315158498351</v>
      </c>
      <c r="O89" s="2">
        <f>O12/'Output-Calculation-sheet'!O11*'Output-Calculation-sheet'!O74</f>
        <v>79.653391102367365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14.957040252795851</v>
      </c>
      <c r="R89" s="2">
        <f>R12/'Output-Calculation-sheet'!R11*'Output-Calculation-sheet'!R74</f>
        <v>14.832694329577409</v>
      </c>
      <c r="S89" s="2">
        <f>S12/'Output-Calculation-sheet'!S11*'Output-Calculation-sheet'!S74</f>
        <v>19.5716812295016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4.7722097344504348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7.6218560033931153</v>
      </c>
      <c r="Y89" s="2">
        <f>Y12/'Output-Calculation-sheet'!Y11*'Output-Calculation-sheet'!Y74</f>
        <v>3.6776162056979826</v>
      </c>
      <c r="AA89" s="2">
        <f t="shared" si="7"/>
        <v>1.3852741883824395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9755311093.0021706</v>
      </c>
      <c r="C96" s="2">
        <f>C8/'Output-Calculation-sheet'!C7*'Output-Calculation-sheet'!C79</f>
        <v>2355744145.7348714</v>
      </c>
      <c r="D96" s="2">
        <f>D8/'Output-Calculation-sheet'!D7*'Output-Calculation-sheet'!D79</f>
        <v>1912513774.799968</v>
      </c>
      <c r="E96" s="2">
        <f>E8/'Output-Calculation-sheet'!E7*'Output-Calculation-sheet'!E79</f>
        <v>7165493370.6194925</v>
      </c>
      <c r="F96" s="2">
        <f>F8/'Output-Calculation-sheet'!F7*'Output-Calculation-sheet'!F79</f>
        <v>2090284062.1869545</v>
      </c>
      <c r="G96" s="2">
        <f>G8/'Output-Calculation-sheet'!G7*'Output-Calculation-sheet'!G79</f>
        <v>1341661337.0371237</v>
      </c>
      <c r="H96" s="2">
        <f>H8/'Output-Calculation-sheet'!H7*'Output-Calculation-sheet'!H79</f>
        <v>1652880053.1287837</v>
      </c>
      <c r="I96" s="2">
        <f>I8/'Output-Calculation-sheet'!I7*'Output-Calculation-sheet'!I79</f>
        <v>964784984.03939986</v>
      </c>
      <c r="J96" s="2">
        <f>J8/'Output-Calculation-sheet'!J7*'Output-Calculation-sheet'!J79</f>
        <v>731117998.34745681</v>
      </c>
      <c r="K96" s="2">
        <f>K8/'Output-Calculation-sheet'!K7*'Output-Calculation-sheet'!K79</f>
        <v>916916698.70390618</v>
      </c>
      <c r="L96" s="2">
        <f>L8/'Output-Calculation-sheet'!L7*'Output-Calculation-sheet'!L79</f>
        <v>832402137.74783599</v>
      </c>
      <c r="M96" s="2">
        <f>M8/'Output-Calculation-sheet'!M7*'Output-Calculation-sheet'!M79</f>
        <v>1275355193.1616743</v>
      </c>
      <c r="N96" s="2">
        <f>N8/'Output-Calculation-sheet'!N7*'Output-Calculation-sheet'!N79</f>
        <v>829066982.88625395</v>
      </c>
      <c r="O96" s="2">
        <f>O8/'Output-Calculation-sheet'!O7*'Output-Calculation-sheet'!O79</f>
        <v>311083794.6117382</v>
      </c>
      <c r="P96" s="2">
        <f>P8/'Output-Calculation-sheet'!P7*'Output-Calculation-sheet'!P79</f>
        <v>1578965709.6761785</v>
      </c>
      <c r="Q96" s="2">
        <f>Q8/'Output-Calculation-sheet'!Q7*'Output-Calculation-sheet'!Q79</f>
        <v>670378675.40159369</v>
      </c>
      <c r="R96" s="2">
        <f>R8/'Output-Calculation-sheet'!R7*'Output-Calculation-sheet'!R79</f>
        <v>889780200.81717122</v>
      </c>
      <c r="S96" s="2">
        <f>S8/'Output-Calculation-sheet'!S7*'Output-Calculation-sheet'!S79</f>
        <v>501801139.68103075</v>
      </c>
      <c r="T96" s="2">
        <f>T8/'Output-Calculation-sheet'!T7*'Output-Calculation-sheet'!T79</f>
        <v>302727466.12097198</v>
      </c>
      <c r="U96" s="2">
        <f>U8/'Output-Calculation-sheet'!U7*'Output-Calculation-sheet'!U79</f>
        <v>238284039.55726692</v>
      </c>
      <c r="V96" s="2">
        <f>V8/'Output-Calculation-sheet'!V7*'Output-Calculation-sheet'!V79</f>
        <v>109364550.76305974</v>
      </c>
      <c r="W96" s="2">
        <f>W8/'Output-Calculation-sheet'!W7*'Output-Calculation-sheet'!W79</f>
        <v>336720877.45215476</v>
      </c>
      <c r="X96" s="2">
        <f>X8/'Output-Calculation-sheet'!X7*'Output-Calculation-sheet'!X79</f>
        <v>151868570.3167381</v>
      </c>
      <c r="Y96" s="2">
        <f>Y8/'Output-Calculation-sheet'!Y7*'Output-Calculation-sheet'!Y79</f>
        <v>208998967.06893119</v>
      </c>
      <c r="AA96" s="2">
        <f t="shared" si="8"/>
        <v>37.123505822862725</v>
      </c>
    </row>
    <row r="97" spans="1:27" x14ac:dyDescent="0.25">
      <c r="A97" s="2">
        <v>2032</v>
      </c>
      <c r="B97" s="2">
        <f>B9/'Output-Calculation-sheet'!B8*'Output-Calculation-sheet'!B80</f>
        <v>11925004346.495251</v>
      </c>
      <c r="C97" s="2">
        <f>C9/'Output-Calculation-sheet'!C8*'Output-Calculation-sheet'!C80</f>
        <v>2816469528.8491144</v>
      </c>
      <c r="D97" s="2">
        <f>D9/'Output-Calculation-sheet'!D8*'Output-Calculation-sheet'!D80</f>
        <v>2151477581.8121886</v>
      </c>
      <c r="E97" s="2">
        <f>E9/'Output-Calculation-sheet'!E8*'Output-Calculation-sheet'!E80</f>
        <v>9057404589.9739799</v>
      </c>
      <c r="F97" s="2">
        <f>F9/'Output-Calculation-sheet'!F8*'Output-Calculation-sheet'!F80</f>
        <v>2483853098.2240906</v>
      </c>
      <c r="G97" s="2">
        <f>G9/'Output-Calculation-sheet'!G8*'Output-Calculation-sheet'!G80</f>
        <v>1521968858.5412774</v>
      </c>
      <c r="H97" s="2">
        <f>H9/'Output-Calculation-sheet'!H8*'Output-Calculation-sheet'!H80</f>
        <v>1992800831.2976835</v>
      </c>
      <c r="I97" s="2">
        <f>I9/'Output-Calculation-sheet'!I8*'Output-Calculation-sheet'!I80</f>
        <v>1147852983.7930281</v>
      </c>
      <c r="J97" s="2">
        <f>J9/'Output-Calculation-sheet'!J8*'Output-Calculation-sheet'!J80</f>
        <v>857765203.07243562</v>
      </c>
      <c r="K97" s="2">
        <f>K9/'Output-Calculation-sheet'!K8*'Output-Calculation-sheet'!K80</f>
        <v>1057914712.2645334</v>
      </c>
      <c r="L97" s="2">
        <f>L9/'Output-Calculation-sheet'!L8*'Output-Calculation-sheet'!L80</f>
        <v>1020429600.2453278</v>
      </c>
      <c r="M97" s="2">
        <f>M9/'Output-Calculation-sheet'!M8*'Output-Calculation-sheet'!M80</f>
        <v>1572186093.8839715</v>
      </c>
      <c r="N97" s="2">
        <f>N9/'Output-Calculation-sheet'!N8*'Output-Calculation-sheet'!N80</f>
        <v>987814079.84268177</v>
      </c>
      <c r="O97" s="2">
        <f>O9/'Output-Calculation-sheet'!O8*'Output-Calculation-sheet'!O80</f>
        <v>367188435.83049536</v>
      </c>
      <c r="P97" s="2">
        <f>P9/'Output-Calculation-sheet'!P8*'Output-Calculation-sheet'!P80</f>
        <v>1851903081.3533044</v>
      </c>
      <c r="Q97" s="2">
        <f>Q9/'Output-Calculation-sheet'!Q8*'Output-Calculation-sheet'!Q80</f>
        <v>801013893.89879215</v>
      </c>
      <c r="R97" s="2">
        <f>R9/'Output-Calculation-sheet'!R8*'Output-Calculation-sheet'!R80</f>
        <v>1073362174.6828299</v>
      </c>
      <c r="S97" s="2">
        <f>S9/'Output-Calculation-sheet'!S8*'Output-Calculation-sheet'!S80</f>
        <v>597393620.3650192</v>
      </c>
      <c r="T97" s="2">
        <f>T9/'Output-Calculation-sheet'!T8*'Output-Calculation-sheet'!T80</f>
        <v>348337688.46421754</v>
      </c>
      <c r="U97" s="2">
        <f>U9/'Output-Calculation-sheet'!U8*'Output-Calculation-sheet'!U80</f>
        <v>277179857.90117496</v>
      </c>
      <c r="V97" s="2">
        <f>V9/'Output-Calculation-sheet'!V8*'Output-Calculation-sheet'!V80</f>
        <v>127851991.814574</v>
      </c>
      <c r="W97" s="2">
        <f>W9/'Output-Calculation-sheet'!W8*'Output-Calculation-sheet'!W80</f>
        <v>395633480.92486739</v>
      </c>
      <c r="X97" s="2">
        <f>X9/'Output-Calculation-sheet'!X8*'Output-Calculation-sheet'!X80</f>
        <v>191618350.2253311</v>
      </c>
      <c r="Y97" s="2">
        <f>Y9/'Output-Calculation-sheet'!Y8*'Output-Calculation-sheet'!Y80</f>
        <v>251538347.14193958</v>
      </c>
      <c r="AA97" s="2">
        <f t="shared" si="8"/>
        <v>44.87596243089812</v>
      </c>
    </row>
    <row r="98" spans="1:27" x14ac:dyDescent="0.25">
      <c r="A98" s="2">
        <v>2033</v>
      </c>
      <c r="B98" s="2">
        <f>B10/'Output-Calculation-sheet'!B9*'Output-Calculation-sheet'!B81</f>
        <v>12782034918.634363</v>
      </c>
      <c r="C98" s="2">
        <f>C10/'Output-Calculation-sheet'!C9*'Output-Calculation-sheet'!C81</f>
        <v>2959817686.4349003</v>
      </c>
      <c r="D98" s="2">
        <f>D10/'Output-Calculation-sheet'!D9*'Output-Calculation-sheet'!D81</f>
        <v>2129284126.6817284</v>
      </c>
      <c r="E98" s="2">
        <f>E10/'Output-Calculation-sheet'!E9*'Output-Calculation-sheet'!E81</f>
        <v>10051035198.208269</v>
      </c>
      <c r="F98" s="2">
        <f>F10/'Output-Calculation-sheet'!F9*'Output-Calculation-sheet'!F81</f>
        <v>2589654788.2631745</v>
      </c>
      <c r="G98" s="2">
        <f>G10/'Output-Calculation-sheet'!G9*'Output-Calculation-sheet'!G81</f>
        <v>1512929411.3722589</v>
      </c>
      <c r="H98" s="2">
        <f>H10/'Output-Calculation-sheet'!H9*'Output-Calculation-sheet'!H81</f>
        <v>2106230032.6599336</v>
      </c>
      <c r="I98" s="2">
        <f>I10/'Output-Calculation-sheet'!I9*'Output-Calculation-sheet'!I81</f>
        <v>1200325432.7414765</v>
      </c>
      <c r="J98" s="2">
        <f>J10/'Output-Calculation-sheet'!J9*'Output-Calculation-sheet'!J81</f>
        <v>885472561.88051891</v>
      </c>
      <c r="K98" s="2">
        <f>K10/'Output-Calculation-sheet'!K9*'Output-Calculation-sheet'!K81</f>
        <v>1072262713.4155873</v>
      </c>
      <c r="L98" s="2">
        <f>L10/'Output-Calculation-sheet'!L9*'Output-Calculation-sheet'!L81</f>
        <v>1098961801.9116058</v>
      </c>
      <c r="M98" s="2">
        <f>M10/'Output-Calculation-sheet'!M9*'Output-Calculation-sheet'!M81</f>
        <v>1702998530.9034753</v>
      </c>
      <c r="N98" s="2">
        <f>N10/'Output-Calculation-sheet'!N9*'Output-Calculation-sheet'!N81</f>
        <v>1034938187.3155935</v>
      </c>
      <c r="O98" s="2">
        <f>O10/'Output-Calculation-sheet'!O9*'Output-Calculation-sheet'!O81</f>
        <v>381716318.70133519</v>
      </c>
      <c r="P98" s="2">
        <f>P10/'Output-Calculation-sheet'!P9*'Output-Calculation-sheet'!P81</f>
        <v>1893698376.3160608</v>
      </c>
      <c r="Q98" s="2">
        <f>Q10/'Output-Calculation-sheet'!Q9*'Output-Calculation-sheet'!Q81</f>
        <v>841433365.75364542</v>
      </c>
      <c r="R98" s="2">
        <f>R10/'Output-Calculation-sheet'!R9*'Output-Calculation-sheet'!R81</f>
        <v>1135745184.6878741</v>
      </c>
      <c r="S98" s="2">
        <f>S10/'Output-Calculation-sheet'!S9*'Output-Calculation-sheet'!S81</f>
        <v>623751427.32154298</v>
      </c>
      <c r="T98" s="2">
        <f>T10/'Output-Calculation-sheet'!T9*'Output-Calculation-sheet'!T81</f>
        <v>351431322.47533518</v>
      </c>
      <c r="U98" s="2">
        <f>U10/'Output-Calculation-sheet'!U9*'Output-Calculation-sheet'!U81</f>
        <v>282385358.07343519</v>
      </c>
      <c r="V98" s="2">
        <f>V10/'Output-Calculation-sheet'!V9*'Output-Calculation-sheet'!V81</f>
        <v>131153344.00040923</v>
      </c>
      <c r="W98" s="2">
        <f>W10/'Output-Calculation-sheet'!W9*'Output-Calculation-sheet'!W81</f>
        <v>405588923.17213821</v>
      </c>
      <c r="X98" s="2">
        <f>X10/'Output-Calculation-sheet'!X9*'Output-Calculation-sheet'!X81</f>
        <v>212624773.66104358</v>
      </c>
      <c r="Y98" s="2">
        <f>Y10/'Output-Calculation-sheet'!Y9*'Output-Calculation-sheet'!Y81</f>
        <v>264713002.02751243</v>
      </c>
      <c r="AA98" s="2">
        <f t="shared" si="8"/>
        <v>47.650186786613205</v>
      </c>
    </row>
    <row r="99" spans="1:27" x14ac:dyDescent="0.25">
      <c r="A99" s="2">
        <v>2034</v>
      </c>
      <c r="B99" s="2">
        <f>B11/'Output-Calculation-sheet'!B10*'Output-Calculation-sheet'!B82</f>
        <v>12205606567.75206</v>
      </c>
      <c r="C99" s="2">
        <f>C11/'Output-Calculation-sheet'!C10*'Output-Calculation-sheet'!C82</f>
        <v>2778396973.9137764</v>
      </c>
      <c r="D99" s="2">
        <f>D11/'Output-Calculation-sheet'!D10*'Output-Calculation-sheet'!D82</f>
        <v>1884667402.6926596</v>
      </c>
      <c r="E99" s="2">
        <f>E11/'Output-Calculation-sheet'!E10*'Output-Calculation-sheet'!E82</f>
        <v>9946952406.6422462</v>
      </c>
      <c r="F99" s="2">
        <f>F11/'Output-Calculation-sheet'!F10*'Output-Calculation-sheet'!F82</f>
        <v>2407721355.5877261</v>
      </c>
      <c r="G99" s="2">
        <f>G11/'Output-Calculation-sheet'!G10*'Output-Calculation-sheet'!G82</f>
        <v>1340042164.1978869</v>
      </c>
      <c r="H99" s="2">
        <f>H11/'Output-Calculation-sheet'!H10*'Output-Calculation-sheet'!H82</f>
        <v>1982913035.8719983</v>
      </c>
      <c r="I99" s="2">
        <f>I11/'Output-Calculation-sheet'!I10*'Output-Calculation-sheet'!I82</f>
        <v>1121252088.5253184</v>
      </c>
      <c r="J99" s="2">
        <f>J11/'Output-Calculation-sheet'!J10*'Output-Calculation-sheet'!J82</f>
        <v>817387247.53910983</v>
      </c>
      <c r="K99" s="2">
        <f>K11/'Output-Calculation-sheet'!K10*'Output-Calculation-sheet'!K82</f>
        <v>970528924.52433991</v>
      </c>
      <c r="L99" s="2">
        <f>L11/'Output-Calculation-sheet'!L10*'Output-Calculation-sheet'!L82</f>
        <v>1056504936.5811822</v>
      </c>
      <c r="M99" s="2">
        <f>M11/'Output-Calculation-sheet'!M10*'Output-Calculation-sheet'!M82</f>
        <v>1646932205.7241485</v>
      </c>
      <c r="N99" s="2">
        <f>N11/'Output-Calculation-sheet'!N10*'Output-Calculation-sheet'!N82</f>
        <v>969007331.06217325</v>
      </c>
      <c r="O99" s="2">
        <f>O11/'Output-Calculation-sheet'!O10*'Output-Calculation-sheet'!O82</f>
        <v>355139645.52012765</v>
      </c>
      <c r="P99" s="2">
        <f>P11/'Output-Calculation-sheet'!P10*'Output-Calculation-sheet'!P82</f>
        <v>1716610494.6566889</v>
      </c>
      <c r="Q99" s="2">
        <f>Q11/'Output-Calculation-sheet'!Q10*'Output-Calculation-sheet'!Q82</f>
        <v>789622112.79970706</v>
      </c>
      <c r="R99" s="2">
        <f>R11/'Output-Calculation-sheet'!R10*'Output-Calculation-sheet'!R82</f>
        <v>1071101811.7730742</v>
      </c>
      <c r="S99" s="2">
        <f>S11/'Output-Calculation-sheet'!S10*'Output-Calculation-sheet'!S82</f>
        <v>580447050.33249724</v>
      </c>
      <c r="T99" s="2">
        <f>T11/'Output-Calculation-sheet'!T10*'Output-Calculation-sheet'!T82</f>
        <v>316077840.8089478</v>
      </c>
      <c r="U99" s="2">
        <f>U11/'Output-Calculation-sheet'!U10*'Output-Calculation-sheet'!U82</f>
        <v>256160283.03096762</v>
      </c>
      <c r="V99" s="2">
        <f>V11/'Output-Calculation-sheet'!V10*'Output-Calculation-sheet'!V82</f>
        <v>119991290.33560668</v>
      </c>
      <c r="W99" s="2">
        <f>W11/'Output-Calculation-sheet'!W10*'Output-Calculation-sheet'!W82</f>
        <v>368850114.35084486</v>
      </c>
      <c r="X99" s="2">
        <f>X11/'Output-Calculation-sheet'!X10*'Output-Calculation-sheet'!X82</f>
        <v>210813319.98105982</v>
      </c>
      <c r="Y99" s="2">
        <f>Y11/'Output-Calculation-sheet'!Y10*'Output-Calculation-sheet'!Y82</f>
        <v>247574307.90326992</v>
      </c>
      <c r="AA99" s="2">
        <f t="shared" si="8"/>
        <v>45.160300912107409</v>
      </c>
    </row>
    <row r="100" spans="1:27" x14ac:dyDescent="0.25">
      <c r="A100" s="2">
        <v>2035</v>
      </c>
      <c r="B100" s="2">
        <f>B12/'Output-Calculation-sheet'!B11*'Output-Calculation-sheet'!B83</f>
        <v>10447020677.832838</v>
      </c>
      <c r="C100" s="2">
        <f>C12/'Output-Calculation-sheet'!C11*'Output-Calculation-sheet'!C83</f>
        <v>2344343103.664372</v>
      </c>
      <c r="D100" s="2">
        <f>D12/'Output-Calculation-sheet'!D11*'Output-Calculation-sheet'!D83</f>
        <v>1501747114.2177632</v>
      </c>
      <c r="E100" s="2">
        <f>E12/'Output-Calculation-sheet'!E11*'Output-Calculation-sheet'!E83</f>
        <v>8831124117.4615765</v>
      </c>
      <c r="F100" s="2">
        <f>F12/'Output-Calculation-sheet'!F11*'Output-Calculation-sheet'!F83</f>
        <v>2009186784.7118366</v>
      </c>
      <c r="G100" s="2">
        <f>G12/'Output-Calculation-sheet'!G11*'Output-Calculation-sheet'!G83</f>
        <v>1064803291.7214969</v>
      </c>
      <c r="H100" s="2">
        <f>H12/'Output-Calculation-sheet'!H11*'Output-Calculation-sheet'!H83</f>
        <v>1673236307.1779242</v>
      </c>
      <c r="I100" s="2">
        <f>I12/'Output-Calculation-sheet'!I11*'Output-Calculation-sheet'!I83</f>
        <v>941614268.68811011</v>
      </c>
      <c r="J100" s="2">
        <f>J12/'Output-Calculation-sheet'!J11*'Output-Calculation-sheet'!J83</f>
        <v>679017083.26066053</v>
      </c>
      <c r="K100" s="2">
        <f>K12/'Output-Calculation-sheet'!K11*'Output-Calculation-sheet'!K83</f>
        <v>789632604.10370243</v>
      </c>
      <c r="L100" s="2">
        <f>L12/'Output-Calculation-sheet'!L11*'Output-Calculation-sheet'!L83</f>
        <v>912299182.55285239</v>
      </c>
      <c r="M100" s="2">
        <f>M12/'Output-Calculation-sheet'!M11*'Output-Calculation-sheet'!M83</f>
        <v>1430693744.8331349</v>
      </c>
      <c r="N100" s="2">
        <f>N12/'Output-Calculation-sheet'!N11*'Output-Calculation-sheet'!N83</f>
        <v>815958845.62280679</v>
      </c>
      <c r="O100" s="2">
        <f>O12/'Output-Calculation-sheet'!O11*'Output-Calculation-sheet'!O83</f>
        <v>297554960.17660779</v>
      </c>
      <c r="P100" s="2">
        <f>P12/'Output-Calculation-sheet'!P11*'Output-Calculation-sheet'!P83</f>
        <v>1389141858.2975466</v>
      </c>
      <c r="Q100" s="2">
        <f>Q12/'Output-Calculation-sheet'!Q11*'Output-Calculation-sheet'!Q83</f>
        <v>666094587.0619725</v>
      </c>
      <c r="R100" s="2">
        <f>R12/'Output-Calculation-sheet'!R11*'Output-Calculation-sheet'!R83</f>
        <v>905936619.89454269</v>
      </c>
      <c r="S100" s="2">
        <f>S12/'Output-Calculation-sheet'!S11*'Output-Calculation-sheet'!S83</f>
        <v>484449213.93411213</v>
      </c>
      <c r="T100" s="2">
        <f>T12/'Output-Calculation-sheet'!T11*'Output-Calculation-sheet'!T83</f>
        <v>255161022.87471926</v>
      </c>
      <c r="U100" s="2">
        <f>U12/'Output-Calculation-sheet'!U11*'Output-Calculation-sheet'!U83</f>
        <v>208302516.75370845</v>
      </c>
      <c r="V100" s="2">
        <f>V12/'Output-Calculation-sheet'!V11*'Output-Calculation-sheet'!V83</f>
        <v>98541649.212872148</v>
      </c>
      <c r="W100" s="2">
        <f>W12/'Output-Calculation-sheet'!W11*'Output-Calculation-sheet'!W83</f>
        <v>299632818.34124023</v>
      </c>
      <c r="X100" s="2">
        <f>X12/'Output-Calculation-sheet'!X11*'Output-Calculation-sheet'!X83</f>
        <v>187903731.11669141</v>
      </c>
      <c r="Y100" s="2">
        <f>Y12/'Output-Calculation-sheet'!Y11*'Output-Calculation-sheet'!Y83</f>
        <v>207127022.32111609</v>
      </c>
      <c r="AA100" s="2">
        <f t="shared" si="8"/>
        <v>38.440523125834211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1619681865.9379578</v>
      </c>
      <c r="C107" s="2">
        <f>C8/'Output-Calculation-sheet'!C7*'Output-Calculation-sheet'!C88</f>
        <v>20886291192.050369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8322543222.7823343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5741858839.8201408</v>
      </c>
      <c r="N107" s="2">
        <f>N8/'Output-Calculation-sheet'!N7*'Output-Calculation-sheet'!N88</f>
        <v>1916813523.7408402</v>
      </c>
      <c r="O107" s="2">
        <f>O8/'Output-Calculation-sheet'!O7*'Output-Calculation-sheet'!O88</f>
        <v>3290696924.9351788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575881736.87958384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621844646.90049815</v>
      </c>
      <c r="Y107" s="2">
        <f>Y8/'Output-Calculation-sheet'!Y7*'Output-Calculation-sheet'!Y88</f>
        <v>0</v>
      </c>
      <c r="AA107" s="2">
        <f t="shared" si="9"/>
        <v>42975.611953046908</v>
      </c>
    </row>
    <row r="108" spans="1:27" x14ac:dyDescent="0.25">
      <c r="A108" s="2">
        <v>2032</v>
      </c>
      <c r="B108" s="2">
        <f>B9/'Output-Calculation-sheet'!B8*'Output-Calculation-sheet'!B89</f>
        <v>7093757146.1919355</v>
      </c>
      <c r="C108" s="2">
        <f>C9/'Output-Calculation-sheet'!C8*'Output-Calculation-sheet'!C89</f>
        <v>24097151536.824848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11094616391.385899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7654320598.792594</v>
      </c>
      <c r="N108" s="2">
        <f>N9/'Output-Calculation-sheet'!N8*'Output-Calculation-sheet'!N89</f>
        <v>3601963182.1316705</v>
      </c>
      <c r="O108" s="2">
        <f>O9/'Output-Calculation-sheet'!O8*'Output-Calculation-sheet'!O89</f>
        <v>3856331030.6996307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1071893241.7928631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828985800.36873412</v>
      </c>
      <c r="Y108" s="2">
        <f>Y9/'Output-Calculation-sheet'!Y8*'Output-Calculation-sheet'!Y89</f>
        <v>0</v>
      </c>
      <c r="AA108" s="2">
        <f t="shared" si="9"/>
        <v>59299.018928188169</v>
      </c>
    </row>
    <row r="109" spans="1:27" x14ac:dyDescent="0.25">
      <c r="A109" s="2">
        <v>2033</v>
      </c>
      <c r="B109" s="2">
        <f>B10/'Output-Calculation-sheet'!B9*'Output-Calculation-sheet'!B90</f>
        <v>17814889980.430996</v>
      </c>
      <c r="C109" s="2">
        <f>C10/'Output-Calculation-sheet'!C9*'Output-Calculation-sheet'!C90</f>
        <v>26277642408.671581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13036843872.988415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8994289360.6988106</v>
      </c>
      <c r="N109" s="2">
        <f>N10/'Output-Calculation-sheet'!N9*'Output-Calculation-sheet'!N90</f>
        <v>5298374828.5772152</v>
      </c>
      <c r="O109" s="2">
        <f>O10/'Output-Calculation-sheet'!O9*'Output-Calculation-sheet'!O90</f>
        <v>4105088561.9514117</v>
      </c>
      <c r="P109" s="2">
        <f>P10/'Output-Calculation-sheet'!P9*'Output-Calculation-sheet'!P90</f>
        <v>0</v>
      </c>
      <c r="Q109" s="2">
        <f>Q10/'Output-Calculation-sheet'!Q9*'Output-Calculation-sheet'!Q90</f>
        <v>172444414.81405631</v>
      </c>
      <c r="R109" s="2">
        <f>R10/'Output-Calculation-sheet'!R9*'Output-Calculation-sheet'!R90</f>
        <v>-3.5530596379249513E-7</v>
      </c>
      <c r="S109" s="2">
        <f>S10/'Output-Calculation-sheet'!S9*'Output-Calculation-sheet'!S90</f>
        <v>2129755933.5495558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974108750.36606944</v>
      </c>
      <c r="Y109" s="2">
        <f>Y10/'Output-Calculation-sheet'!Y9*'Output-Calculation-sheet'!Y90</f>
        <v>0</v>
      </c>
      <c r="AA109" s="2">
        <f t="shared" si="9"/>
        <v>78803.438112048112</v>
      </c>
    </row>
    <row r="110" spans="1:27" x14ac:dyDescent="0.25">
      <c r="A110" s="2">
        <v>2034</v>
      </c>
      <c r="B110" s="2">
        <f>B11/'Output-Calculation-sheet'!B10*'Output-Calculation-sheet'!B91</f>
        <v>36688022658.127548</v>
      </c>
      <c r="C110" s="2">
        <f>C11/'Output-Calculation-sheet'!C10*'Output-Calculation-sheet'!C91</f>
        <v>27044433778.460289</v>
      </c>
      <c r="D110" s="2">
        <f>D11/'Output-Calculation-sheet'!D10*'Output-Calculation-sheet'!D91</f>
        <v>0</v>
      </c>
      <c r="E110" s="2">
        <f>E11/'Output-Calculation-sheet'!E10*'Output-Calculation-sheet'!E91</f>
        <v>776509395.11496401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13373895983.092726</v>
      </c>
      <c r="I110" s="2">
        <f>I11/'Output-Calculation-sheet'!I10*'Output-Calculation-sheet'!I91</f>
        <v>-1.2875848987116165E-6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624123167.22138286</v>
      </c>
      <c r="M110" s="2">
        <f>M11/'Output-Calculation-sheet'!M10*'Output-Calculation-sheet'!M91</f>
        <v>9465296580.6543121</v>
      </c>
      <c r="N110" s="2">
        <f>N11/'Output-Calculation-sheet'!N10*'Output-Calculation-sheet'!N91</f>
        <v>6550629406.856245</v>
      </c>
      <c r="O110" s="2">
        <f>O11/'Output-Calculation-sheet'!O10*'Output-Calculation-sheet'!O91</f>
        <v>4153503426.6013823</v>
      </c>
      <c r="P110" s="2">
        <f>P11/'Output-Calculation-sheet'!P10*'Output-Calculation-sheet'!P91</f>
        <v>0</v>
      </c>
      <c r="Q110" s="2">
        <f>Q11/'Output-Calculation-sheet'!Q10*'Output-Calculation-sheet'!Q91</f>
        <v>1048647131.9669341</v>
      </c>
      <c r="R110" s="2">
        <f>R11/'Output-Calculation-sheet'!R10*'Output-Calculation-sheet'!R91</f>
        <v>0</v>
      </c>
      <c r="S110" s="2">
        <f>S11/'Output-Calculation-sheet'!S10*'Output-Calculation-sheet'!S91</f>
        <v>3206812807.2567668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924020487.47223032</v>
      </c>
      <c r="Y110" s="2">
        <f>Y11/'Output-Calculation-sheet'!Y10*'Output-Calculation-sheet'!Y91</f>
        <v>41089650.847449094</v>
      </c>
      <c r="AA110" s="2">
        <f t="shared" si="9"/>
        <v>103896.98447367223</v>
      </c>
    </row>
    <row r="111" spans="1:27" x14ac:dyDescent="0.25">
      <c r="A111" s="2">
        <v>2035</v>
      </c>
      <c r="B111" s="2">
        <f>B12/'Output-Calculation-sheet'!B11*'Output-Calculation-sheet'!B92</f>
        <v>31379427792.382847</v>
      </c>
      <c r="C111" s="2">
        <f>C12/'Output-Calculation-sheet'!C11*'Output-Calculation-sheet'!C92</f>
        <v>27511917219.449688</v>
      </c>
      <c r="D111" s="2">
        <f>D12/'Output-Calculation-sheet'!D11*'Output-Calculation-sheet'!D92</f>
        <v>-8.2132004921342696E-7</v>
      </c>
      <c r="E111" s="2">
        <f>E12/'Output-Calculation-sheet'!E11*'Output-Calculation-sheet'!E92</f>
        <v>2545130022.6085353</v>
      </c>
      <c r="F111" s="2">
        <f>F12/'Output-Calculation-sheet'!F11*'Output-Calculation-sheet'!F92</f>
        <v>-1.804298343449019E-7</v>
      </c>
      <c r="G111" s="2">
        <f>G12/'Output-Calculation-sheet'!G11*'Output-Calculation-sheet'!G92</f>
        <v>0</v>
      </c>
      <c r="H111" s="2">
        <f>H12/'Output-Calculation-sheet'!H11*'Output-Calculation-sheet'!H92</f>
        <v>11435868995.745649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1238398621.5468078</v>
      </c>
      <c r="M111" s="2">
        <f>M12/'Output-Calculation-sheet'!M11*'Output-Calculation-sheet'!M92</f>
        <v>8149222380.0822468</v>
      </c>
      <c r="N111" s="2">
        <f>N12/'Output-Calculation-sheet'!N11*'Output-Calculation-sheet'!N92</f>
        <v>5737505140.1457739</v>
      </c>
      <c r="O111" s="2">
        <f>O12/'Output-Calculation-sheet'!O11*'Output-Calculation-sheet'!O92</f>
        <v>4157237927.0583167</v>
      </c>
      <c r="P111" s="2">
        <f>P12/'Output-Calculation-sheet'!P11*'Output-Calculation-sheet'!P92</f>
        <v>246540643.39991224</v>
      </c>
      <c r="Q111" s="2">
        <f>Q12/'Output-Calculation-sheet'!Q11*'Output-Calculation-sheet'!Q92</f>
        <v>1090377956.5049818</v>
      </c>
      <c r="R111" s="2">
        <f>R12/'Output-Calculation-sheet'!R11*'Output-Calculation-sheet'!R92</f>
        <v>0</v>
      </c>
      <c r="S111" s="2">
        <f>S12/'Output-Calculation-sheet'!S11*'Output-Calculation-sheet'!S92</f>
        <v>2740947412.4755187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796579606.64742315</v>
      </c>
      <c r="Y111" s="2">
        <f>Y12/'Output-Calculation-sheet'!Y11*'Output-Calculation-sheet'!Y92</f>
        <v>53942152.832235269</v>
      </c>
      <c r="AA111" s="2">
        <f t="shared" si="9"/>
        <v>97083.095870879944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54996732006.191078</v>
      </c>
      <c r="C118" s="2">
        <f>C8/'Output-Calculation-sheet'!C7*'Output-Calculation-sheet'!C97</f>
        <v>0</v>
      </c>
      <c r="D118" s="2">
        <f>D8/'Output-Calculation-sheet'!D7*'Output-Calculation-sheet'!D97</f>
        <v>23779546212.864231</v>
      </c>
      <c r="E118" s="2">
        <f>E8/'Output-Calculation-sheet'!E7*'Output-Calculation-sheet'!E97</f>
        <v>18866656847.689079</v>
      </c>
      <c r="F118" s="2">
        <f>F8/'Output-Calculation-sheet'!F7*'Output-Calculation-sheet'!F97</f>
        <v>12145144036.284389</v>
      </c>
      <c r="G118" s="2">
        <f>G8/'Output-Calculation-sheet'!G7*'Output-Calculation-sheet'!G97</f>
        <v>8533511514.3749352</v>
      </c>
      <c r="H118" s="2">
        <f>H8/'Output-Calculation-sheet'!H7*'Output-Calculation-sheet'!H97</f>
        <v>0</v>
      </c>
      <c r="I118" s="2">
        <f>I8/'Output-Calculation-sheet'!I7*'Output-Calculation-sheet'!I97</f>
        <v>7774700723.73808</v>
      </c>
      <c r="J118" s="2">
        <f>J8/'Output-Calculation-sheet'!J7*'Output-Calculation-sheet'!J97</f>
        <v>7567358195.7272987</v>
      </c>
      <c r="K118" s="2">
        <f>K8/'Output-Calculation-sheet'!K7*'Output-Calculation-sheet'!K97</f>
        <v>7494810024.0190315</v>
      </c>
      <c r="L118" s="2">
        <f>L8/'Output-Calculation-sheet'!L7*'Output-Calculation-sheet'!L97</f>
        <v>6012434054.5700712</v>
      </c>
      <c r="M118" s="2">
        <f>M8/'Output-Calculation-sheet'!M7*'Output-Calculation-sheet'!M97</f>
        <v>0</v>
      </c>
      <c r="N118" s="2">
        <f>N8/'Output-Calculation-sheet'!N7*'Output-Calculation-sheet'!N97</f>
        <v>3719794813.9493513</v>
      </c>
      <c r="O118" s="2">
        <f>O8/'Output-Calculation-sheet'!O7*'Output-Calculation-sheet'!O97</f>
        <v>0</v>
      </c>
      <c r="P118" s="2">
        <f>P8/'Output-Calculation-sheet'!P7*'Output-Calculation-sheet'!P97</f>
        <v>5131302477.6671371</v>
      </c>
      <c r="Q118" s="2">
        <f>Q8/'Output-Calculation-sheet'!Q7*'Output-Calculation-sheet'!Q97</f>
        <v>5048371379.7330685</v>
      </c>
      <c r="R118" s="2">
        <f>R8/'Output-Calculation-sheet'!R7*'Output-Calculation-sheet'!R97</f>
        <v>4856765443.2917547</v>
      </c>
      <c r="S118" s="2">
        <f>S8/'Output-Calculation-sheet'!S7*'Output-Calculation-sheet'!S97</f>
        <v>2652173753.1956964</v>
      </c>
      <c r="T118" s="2">
        <f>T8/'Output-Calculation-sheet'!T7*'Output-Calculation-sheet'!T97</f>
        <v>1785305563.8187428</v>
      </c>
      <c r="U118" s="2">
        <f>U8/'Output-Calculation-sheet'!U7*'Output-Calculation-sheet'!U97</f>
        <v>1554939839.4441566</v>
      </c>
      <c r="V118" s="2">
        <f>V8/'Output-Calculation-sheet'!V7*'Output-Calculation-sheet'!V97</f>
        <v>1197335245.6752205</v>
      </c>
      <c r="W118" s="2">
        <f>W8/'Output-Calculation-sheet'!W7*'Output-Calculation-sheet'!W97</f>
        <v>1036626559.3119558</v>
      </c>
      <c r="X118" s="2">
        <f>X8/'Output-Calculation-sheet'!X7*'Output-Calculation-sheet'!X97</f>
        <v>0</v>
      </c>
      <c r="Y118" s="2">
        <f>Y8/'Output-Calculation-sheet'!Y7*'Output-Calculation-sheet'!Y97</f>
        <v>604865614.18450975</v>
      </c>
      <c r="AA118" s="2">
        <f t="shared" si="10"/>
        <v>174758.37430572978</v>
      </c>
    </row>
    <row r="119" spans="1:27" x14ac:dyDescent="0.25">
      <c r="A119" s="2">
        <v>2032</v>
      </c>
      <c r="B119" s="2">
        <f>B9/'Output-Calculation-sheet'!B8*'Output-Calculation-sheet'!B98</f>
        <v>68379810890.994133</v>
      </c>
      <c r="C119" s="2">
        <f>C9/'Output-Calculation-sheet'!C8*'Output-Calculation-sheet'!C98</f>
        <v>0</v>
      </c>
      <c r="D119" s="2">
        <f>D9/'Output-Calculation-sheet'!D8*'Output-Calculation-sheet'!D98</f>
        <v>31699770647.513123</v>
      </c>
      <c r="E119" s="2">
        <f>E9/'Output-Calculation-sheet'!E8*'Output-Calculation-sheet'!E98</f>
        <v>25150545312.877163</v>
      </c>
      <c r="F119" s="2">
        <f>F9/'Output-Calculation-sheet'!F8*'Output-Calculation-sheet'!F98</f>
        <v>16190313549.088242</v>
      </c>
      <c r="G119" s="2">
        <f>G9/'Output-Calculation-sheet'!G8*'Output-Calculation-sheet'!G98</f>
        <v>11375758668.046755</v>
      </c>
      <c r="H119" s="2">
        <f>H9/'Output-Calculation-sheet'!H8*'Output-Calculation-sheet'!H98</f>
        <v>2.3883719108379683E-7</v>
      </c>
      <c r="I119" s="2">
        <f>I9/'Output-Calculation-sheet'!I8*'Output-Calculation-sheet'!I98</f>
        <v>10364212393.299192</v>
      </c>
      <c r="J119" s="2">
        <f>J9/'Output-Calculation-sheet'!J8*'Output-Calculation-sheet'!J98</f>
        <v>10087806583.082998</v>
      </c>
      <c r="K119" s="2">
        <f>K9/'Output-Calculation-sheet'!K8*'Output-Calculation-sheet'!K98</f>
        <v>9991096470.4441643</v>
      </c>
      <c r="L119" s="2">
        <f>L9/'Output-Calculation-sheet'!L8*'Output-Calculation-sheet'!L98</f>
        <v>8014989375.0221901</v>
      </c>
      <c r="M119" s="2">
        <f>M9/'Output-Calculation-sheet'!M8*'Output-Calculation-sheet'!M98</f>
        <v>0</v>
      </c>
      <c r="N119" s="2">
        <f>N9/'Output-Calculation-sheet'!N8*'Output-Calculation-sheet'!N98</f>
        <v>3911394461.176228</v>
      </c>
      <c r="O119" s="2">
        <f>O9/'Output-Calculation-sheet'!O8*'Output-Calculation-sheet'!O98</f>
        <v>0</v>
      </c>
      <c r="P119" s="2">
        <f>P9/'Output-Calculation-sheet'!P8*'Output-Calculation-sheet'!P98</f>
        <v>6840333942.8751822</v>
      </c>
      <c r="Q119" s="2">
        <f>Q9/'Output-Calculation-sheet'!Q8*'Output-Calculation-sheet'!Q98</f>
        <v>6729826257.9056835</v>
      </c>
      <c r="R119" s="2">
        <f>R9/'Output-Calculation-sheet'!R8*'Output-Calculation-sheet'!R98</f>
        <v>6474402887.7831316</v>
      </c>
      <c r="S119" s="2">
        <f>S9/'Output-Calculation-sheet'!S8*'Output-Calculation-sheet'!S98</f>
        <v>3231099244.1942329</v>
      </c>
      <c r="T119" s="2">
        <f>T9/'Output-Calculation-sheet'!T8*'Output-Calculation-sheet'!T98</f>
        <v>2379934735.7896366</v>
      </c>
      <c r="U119" s="2">
        <f>U9/'Output-Calculation-sheet'!U8*'Output-Calculation-sheet'!U98</f>
        <v>2072842243.1445241</v>
      </c>
      <c r="V119" s="2">
        <f>V9/'Output-Calculation-sheet'!V8*'Output-Calculation-sheet'!V98</f>
        <v>1596129984.3276048</v>
      </c>
      <c r="W119" s="2">
        <f>W9/'Output-Calculation-sheet'!W8*'Output-Calculation-sheet'!W98</f>
        <v>1381894611.61678</v>
      </c>
      <c r="X119" s="2">
        <f>X9/'Output-Calculation-sheet'!X8*'Output-Calculation-sheet'!X98</f>
        <v>0</v>
      </c>
      <c r="Y119" s="2">
        <f>Y9/'Output-Calculation-sheet'!Y8*'Output-Calculation-sheet'!Y98</f>
        <v>806327214.85966671</v>
      </c>
      <c r="AA119" s="2">
        <f t="shared" si="10"/>
        <v>226678.48947404069</v>
      </c>
    </row>
    <row r="120" spans="1:27" x14ac:dyDescent="0.25">
      <c r="A120" s="2">
        <v>2033</v>
      </c>
      <c r="B120" s="2">
        <f>B10/'Output-Calculation-sheet'!B9*'Output-Calculation-sheet'!B99</f>
        <v>70863052653.426422</v>
      </c>
      <c r="C120" s="2">
        <f>C10/'Output-Calculation-sheet'!C9*'Output-Calculation-sheet'!C99</f>
        <v>0</v>
      </c>
      <c r="D120" s="2">
        <f>D10/'Output-Calculation-sheet'!D9*'Output-Calculation-sheet'!D99</f>
        <v>37248027826.720932</v>
      </c>
      <c r="E120" s="2">
        <f>E10/'Output-Calculation-sheet'!E9*'Output-Calculation-sheet'!E99</f>
        <v>29552526419.677364</v>
      </c>
      <c r="F120" s="2">
        <f>F10/'Output-Calculation-sheet'!F9*'Output-Calculation-sheet'!F99</f>
        <v>19024021738.490696</v>
      </c>
      <c r="G120" s="2">
        <f>G10/'Output-Calculation-sheet'!G9*'Output-Calculation-sheet'!G99</f>
        <v>13366799773.648077</v>
      </c>
      <c r="H120" s="2">
        <f>H10/'Output-Calculation-sheet'!H9*'Output-Calculation-sheet'!H99</f>
        <v>0</v>
      </c>
      <c r="I120" s="2">
        <f>I10/'Output-Calculation-sheet'!I9*'Output-Calculation-sheet'!I99</f>
        <v>12178208356.612389</v>
      </c>
      <c r="J120" s="2">
        <f>J10/'Output-Calculation-sheet'!J9*'Output-Calculation-sheet'!J99</f>
        <v>11853424607.283861</v>
      </c>
      <c r="K120" s="2">
        <f>K10/'Output-Calculation-sheet'!K9*'Output-Calculation-sheet'!K99</f>
        <v>11739789038.0571</v>
      </c>
      <c r="L120" s="2">
        <f>L10/'Output-Calculation-sheet'!L9*'Output-Calculation-sheet'!L99</f>
        <v>9417812639.7734814</v>
      </c>
      <c r="M120" s="2">
        <f>M10/'Output-Calculation-sheet'!M9*'Output-Calculation-sheet'!M99</f>
        <v>0</v>
      </c>
      <c r="N120" s="2">
        <f>N10/'Output-Calculation-sheet'!N9*'Output-Calculation-sheet'!N99</f>
        <v>3529492965.9224224</v>
      </c>
      <c r="O120" s="2">
        <f>O10/'Output-Calculation-sheet'!O9*'Output-Calculation-sheet'!O99</f>
        <v>0</v>
      </c>
      <c r="P120" s="2">
        <f>P10/'Output-Calculation-sheet'!P9*'Output-Calculation-sheet'!P99</f>
        <v>8037145523.7407379</v>
      </c>
      <c r="Q120" s="2">
        <f>Q10/'Output-Calculation-sheet'!Q9*'Output-Calculation-sheet'!Q99</f>
        <v>7735193732.1055346</v>
      </c>
      <c r="R120" s="2">
        <f>R10/'Output-Calculation-sheet'!R9*'Output-Calculation-sheet'!R99</f>
        <v>7607223955.8311663</v>
      </c>
      <c r="S120" s="2">
        <f>S10/'Output-Calculation-sheet'!S9*'Output-Calculation-sheet'!S99</f>
        <v>2926025894.2483377</v>
      </c>
      <c r="T120" s="2">
        <f>T10/'Output-Calculation-sheet'!T9*'Output-Calculation-sheet'!T99</f>
        <v>2796458686.4552736</v>
      </c>
      <c r="U120" s="2">
        <f>U10/'Output-Calculation-sheet'!U9*'Output-Calculation-sheet'!U99</f>
        <v>2436170752.170115</v>
      </c>
      <c r="V120" s="2">
        <f>V10/'Output-Calculation-sheet'!V9*'Output-Calculation-sheet'!V99</f>
        <v>1875492681.5376556</v>
      </c>
      <c r="W120" s="2">
        <f>W10/'Output-Calculation-sheet'!W9*'Output-Calculation-sheet'!W99</f>
        <v>1623761011.8857872</v>
      </c>
      <c r="X120" s="2">
        <f>X10/'Output-Calculation-sheet'!X9*'Output-Calculation-sheet'!X99</f>
        <v>0</v>
      </c>
      <c r="Y120" s="2">
        <f>Y10/'Output-Calculation-sheet'!Y9*'Output-Calculation-sheet'!Y99</f>
        <v>947456035.63460255</v>
      </c>
      <c r="AA120" s="2">
        <f t="shared" si="10"/>
        <v>254758.08429322191</v>
      </c>
    </row>
    <row r="121" spans="1:27" x14ac:dyDescent="0.25">
      <c r="A121" s="2">
        <v>2034</v>
      </c>
      <c r="B121" s="2">
        <f>B11/'Output-Calculation-sheet'!B10*'Output-Calculation-sheet'!B100</f>
        <v>56625641281.735291</v>
      </c>
      <c r="C121" s="2">
        <f>C11/'Output-Calculation-sheet'!C10*'Output-Calculation-sheet'!C100</f>
        <v>0</v>
      </c>
      <c r="D121" s="2">
        <f>D11/'Output-Calculation-sheet'!D10*'Output-Calculation-sheet'!D100</f>
        <v>39197767847.163971</v>
      </c>
      <c r="E121" s="2">
        <f>E11/'Output-Calculation-sheet'!E10*'Output-Calculation-sheet'!E100</f>
        <v>30328080219.968948</v>
      </c>
      <c r="F121" s="2">
        <f>F11/'Output-Calculation-sheet'!F10*'Output-Calculation-sheet'!F100</f>
        <v>20019984764.287491</v>
      </c>
      <c r="G121" s="2">
        <f>G11/'Output-Calculation-sheet'!G10*'Output-Calculation-sheet'!G100</f>
        <v>14065719956.479059</v>
      </c>
      <c r="H121" s="2">
        <f>H11/'Output-Calculation-sheet'!H10*'Output-Calculation-sheet'!H100</f>
        <v>0</v>
      </c>
      <c r="I121" s="2">
        <f>I11/'Output-Calculation-sheet'!I10*'Output-Calculation-sheet'!I100</f>
        <v>12815226383.310549</v>
      </c>
      <c r="J121" s="2">
        <f>J11/'Output-Calculation-sheet'!J10*'Output-Calculation-sheet'!J100</f>
        <v>12473577870.404812</v>
      </c>
      <c r="K121" s="2">
        <f>K11/'Output-Calculation-sheet'!K10*'Output-Calculation-sheet'!K100</f>
        <v>12354310850.601269</v>
      </c>
      <c r="L121" s="2">
        <f>L11/'Output-Calculation-sheet'!L10*'Output-Calculation-sheet'!L100</f>
        <v>9286383390.3302269</v>
      </c>
      <c r="M121" s="2">
        <f>M11/'Output-Calculation-sheet'!M10*'Output-Calculation-sheet'!M100</f>
        <v>6.6347463660301555E-7</v>
      </c>
      <c r="N121" s="2">
        <f>N11/'Output-Calculation-sheet'!N10*'Output-Calculation-sheet'!N100</f>
        <v>2739531505.046175</v>
      </c>
      <c r="O121" s="2">
        <f>O11/'Output-Calculation-sheet'!O10*'Output-Calculation-sheet'!O100</f>
        <v>0</v>
      </c>
      <c r="P121" s="2">
        <f>P11/'Output-Calculation-sheet'!P10*'Output-Calculation-sheet'!P100</f>
        <v>8457491470.874053</v>
      </c>
      <c r="Q121" s="2">
        <f>Q11/'Output-Calculation-sheet'!Q10*'Output-Calculation-sheet'!Q100</f>
        <v>7008771677.8785181</v>
      </c>
      <c r="R121" s="2">
        <f>R11/'Output-Calculation-sheet'!R10*'Output-Calculation-sheet'!R100</f>
        <v>8005076849.0533304</v>
      </c>
      <c r="S121" s="2">
        <f>S11/'Output-Calculation-sheet'!S10*'Output-Calculation-sheet'!S100</f>
        <v>2113570580.6489911</v>
      </c>
      <c r="T121" s="2">
        <f>T11/'Output-Calculation-sheet'!T10*'Output-Calculation-sheet'!T100</f>
        <v>2942664222.010951</v>
      </c>
      <c r="U121" s="2">
        <f>U11/'Output-Calculation-sheet'!U10*'Output-Calculation-sheet'!U100</f>
        <v>2479888903.4676256</v>
      </c>
      <c r="V121" s="2">
        <f>V11/'Output-Calculation-sheet'!V10*'Output-Calculation-sheet'!V100</f>
        <v>1974224038.1514745</v>
      </c>
      <c r="W121" s="2">
        <f>W11/'Output-Calculation-sheet'!W10*'Output-Calculation-sheet'!W100</f>
        <v>1708807187.6759963</v>
      </c>
      <c r="X121" s="2">
        <f>X11/'Output-Calculation-sheet'!X10*'Output-Calculation-sheet'!X100</f>
        <v>65808624.67038653</v>
      </c>
      <c r="Y121" s="2">
        <f>Y11/'Output-Calculation-sheet'!Y10*'Output-Calculation-sheet'!Y100</f>
        <v>955942758.59149778</v>
      </c>
      <c r="AA121" s="2">
        <f t="shared" si="10"/>
        <v>245618.47038235061</v>
      </c>
    </row>
    <row r="122" spans="1:27" x14ac:dyDescent="0.25">
      <c r="A122" s="2">
        <v>2035</v>
      </c>
      <c r="B122" s="2">
        <f>B12/'Output-Calculation-sheet'!B11*'Output-Calculation-sheet'!B101</f>
        <v>47010010458.374496</v>
      </c>
      <c r="C122" s="2">
        <f>C12/'Output-Calculation-sheet'!C11*'Output-Calculation-sheet'!C101</f>
        <v>0</v>
      </c>
      <c r="D122" s="2">
        <f>D12/'Output-Calculation-sheet'!D11*'Output-Calculation-sheet'!D101</f>
        <v>32896857811.909908</v>
      </c>
      <c r="E122" s="2">
        <f>E12/'Output-Calculation-sheet'!E11*'Output-Calculation-sheet'!E101</f>
        <v>25547395935.567764</v>
      </c>
      <c r="F122" s="2">
        <f>F12/'Output-Calculation-sheet'!F11*'Output-Calculation-sheet'!F101</f>
        <v>17404249447.283115</v>
      </c>
      <c r="G122" s="2">
        <f>G12/'Output-Calculation-sheet'!G11*'Output-Calculation-sheet'!G101</f>
        <v>11792734532.105747</v>
      </c>
      <c r="H122" s="2">
        <f>H12/'Output-Calculation-sheet'!H11*'Output-Calculation-sheet'!H101</f>
        <v>0</v>
      </c>
      <c r="I122" s="2">
        <f>I12/'Output-Calculation-sheet'!I11*'Output-Calculation-sheet'!I101</f>
        <v>10820758623.812208</v>
      </c>
      <c r="J122" s="2">
        <f>J12/'Output-Calculation-sheet'!J11*'Output-Calculation-sheet'!J101</f>
        <v>10832571855.437851</v>
      </c>
      <c r="K122" s="2">
        <f>K12/'Output-Calculation-sheet'!K11*'Output-Calculation-sheet'!K101</f>
        <v>10635130094.695457</v>
      </c>
      <c r="L122" s="2">
        <f>L12/'Output-Calculation-sheet'!L11*'Output-Calculation-sheet'!L101</f>
        <v>7704460374.0380707</v>
      </c>
      <c r="M122" s="2">
        <f>M12/'Output-Calculation-sheet'!M11*'Output-Calculation-sheet'!M101</f>
        <v>0</v>
      </c>
      <c r="N122" s="2">
        <f>N12/'Output-Calculation-sheet'!N11*'Output-Calculation-sheet'!N101</f>
        <v>2243312503.7424989</v>
      </c>
      <c r="O122" s="2">
        <f>O12/'Output-Calculation-sheet'!O11*'Output-Calculation-sheet'!O101</f>
        <v>0</v>
      </c>
      <c r="P122" s="2">
        <f>P12/'Output-Calculation-sheet'!P11*'Output-Calculation-sheet'!P101</f>
        <v>7151695904.0844679</v>
      </c>
      <c r="Q122" s="2">
        <f>Q12/'Output-Calculation-sheet'!Q11*'Output-Calculation-sheet'!Q101</f>
        <v>5781778523.0805111</v>
      </c>
      <c r="R122" s="2">
        <f>R12/'Output-Calculation-sheet'!R11*'Output-Calculation-sheet'!R101</f>
        <v>7083775908.8780842</v>
      </c>
      <c r="S122" s="2">
        <f>S12/'Output-Calculation-sheet'!S11*'Output-Calculation-sheet'!S101</f>
        <v>1694424173.9484699</v>
      </c>
      <c r="T122" s="2">
        <f>T12/'Output-Calculation-sheet'!T11*'Output-Calculation-sheet'!T101</f>
        <v>2643425053.66154</v>
      </c>
      <c r="U122" s="2">
        <f>U12/'Output-Calculation-sheet'!U11*'Output-Calculation-sheet'!U101</f>
        <v>2087754904.6048982</v>
      </c>
      <c r="V122" s="2">
        <f>V12/'Output-Calculation-sheet'!V11*'Output-Calculation-sheet'!V101</f>
        <v>1817949902.6438599</v>
      </c>
      <c r="W122" s="2">
        <f>W12/'Output-Calculation-sheet'!W11*'Output-Calculation-sheet'!W101</f>
        <v>1532119865.9697316</v>
      </c>
      <c r="X122" s="2">
        <f>X12/'Output-Calculation-sheet'!X11*'Output-Calculation-sheet'!X101</f>
        <v>54020666.609649047</v>
      </c>
      <c r="Y122" s="2">
        <f>Y12/'Output-Calculation-sheet'!Y11*'Output-Calculation-sheet'!Y101</f>
        <v>809332630.62633443</v>
      </c>
      <c r="AA122" s="2">
        <f t="shared" si="10"/>
        <v>207543.75917107461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56616414903.165916</v>
      </c>
      <c r="C129" s="2">
        <f>C8/'Output-Calculation-sheet'!C7*'Output-Calculation-sheet'!C106</f>
        <v>33183921360.642319</v>
      </c>
      <c r="D129" s="2">
        <f>D8/'Output-Calculation-sheet'!D7*'Output-Calculation-sheet'!D106</f>
        <v>23779546212.864231</v>
      </c>
      <c r="E129" s="2">
        <f>E8/'Output-Calculation-sheet'!E7*'Output-Calculation-sheet'!E106</f>
        <v>18866656847.689079</v>
      </c>
      <c r="F129" s="2">
        <f>F8/'Output-Calculation-sheet'!F7*'Output-Calculation-sheet'!F106</f>
        <v>12145144036.284389</v>
      </c>
      <c r="G129" s="2">
        <f>G8/'Output-Calculation-sheet'!G7*'Output-Calculation-sheet'!G106</f>
        <v>8533511514.3749352</v>
      </c>
      <c r="H129" s="2">
        <f>H8/'Output-Calculation-sheet'!H7*'Output-Calculation-sheet'!H106</f>
        <v>8324112908.215579</v>
      </c>
      <c r="I129" s="2">
        <f>I8/'Output-Calculation-sheet'!I7*'Output-Calculation-sheet'!I106</f>
        <v>7774700723.73808</v>
      </c>
      <c r="J129" s="2">
        <f>J8/'Output-Calculation-sheet'!J7*'Output-Calculation-sheet'!J106</f>
        <v>7567358195.7272987</v>
      </c>
      <c r="K129" s="2">
        <f>K8/'Output-Calculation-sheet'!K7*'Output-Calculation-sheet'!K106</f>
        <v>7494810024.0190315</v>
      </c>
      <c r="L129" s="2">
        <f>L8/'Output-Calculation-sheet'!L7*'Output-Calculation-sheet'!L106</f>
        <v>6012434054.5700712</v>
      </c>
      <c r="M129" s="2">
        <f>M8/'Output-Calculation-sheet'!M7*'Output-Calculation-sheet'!M106</f>
        <v>5742912267.9345407</v>
      </c>
      <c r="N129" s="2">
        <f>N8/'Output-Calculation-sheet'!N7*'Output-Calculation-sheet'!N106</f>
        <v>5636652897.0917377</v>
      </c>
      <c r="O129" s="2">
        <f>O8/'Output-Calculation-sheet'!O7*'Output-Calculation-sheet'!O106</f>
        <v>7229461392.9510212</v>
      </c>
      <c r="P129" s="2">
        <f>P8/'Output-Calculation-sheet'!P7*'Output-Calculation-sheet'!P106</f>
        <v>5131302477.6671371</v>
      </c>
      <c r="Q129" s="2">
        <f>Q8/'Output-Calculation-sheet'!Q7*'Output-Calculation-sheet'!Q106</f>
        <v>5048371379.7330685</v>
      </c>
      <c r="R129" s="2">
        <f>R8/'Output-Calculation-sheet'!R7*'Output-Calculation-sheet'!R106</f>
        <v>4856765443.2917547</v>
      </c>
      <c r="S129" s="2">
        <f>S8/'Output-Calculation-sheet'!S7*'Output-Calculation-sheet'!S106</f>
        <v>3228055114.4441347</v>
      </c>
      <c r="T129" s="2">
        <f>T8/'Output-Calculation-sheet'!T7*'Output-Calculation-sheet'!T106</f>
        <v>1785305563.8187428</v>
      </c>
      <c r="U129" s="2">
        <f>U8/'Output-Calculation-sheet'!U7*'Output-Calculation-sheet'!U106</f>
        <v>1554939839.4441566</v>
      </c>
      <c r="V129" s="2">
        <f>V8/'Output-Calculation-sheet'!V7*'Output-Calculation-sheet'!V106</f>
        <v>1197335245.6752205</v>
      </c>
      <c r="W129" s="2">
        <f>W8/'Output-Calculation-sheet'!W7*'Output-Calculation-sheet'!W106</f>
        <v>1036626559.3119558</v>
      </c>
      <c r="X129" s="2">
        <f>X8/'Output-Calculation-sheet'!X7*'Output-Calculation-sheet'!X106</f>
        <v>621976057.89904726</v>
      </c>
      <c r="Y129" s="2">
        <f>Y8/'Output-Calculation-sheet'!Y7*'Output-Calculation-sheet'!Y106</f>
        <v>604865614.18450975</v>
      </c>
      <c r="AA129" s="2">
        <f t="shared" si="11"/>
        <v>233973.18063473795</v>
      </c>
    </row>
    <row r="130" spans="1:27" x14ac:dyDescent="0.25">
      <c r="A130" s="2">
        <v>2032</v>
      </c>
      <c r="B130" s="2">
        <f>B9/'Output-Calculation-sheet'!B8*'Output-Calculation-sheet'!B107</f>
        <v>45284147423.409958</v>
      </c>
      <c r="C130" s="2">
        <f>C9/'Output-Calculation-sheet'!C8*'Output-Calculation-sheet'!C107</f>
        <v>34054900742.731808</v>
      </c>
      <c r="D130" s="2">
        <f>D9/'Output-Calculation-sheet'!D8*'Output-Calculation-sheet'!D107</f>
        <v>19019858423.743172</v>
      </c>
      <c r="E130" s="2">
        <f>E9/'Output-Calculation-sheet'!E8*'Output-Calculation-sheet'!E107</f>
        <v>15090325612.261095</v>
      </c>
      <c r="F130" s="2">
        <f>F9/'Output-Calculation-sheet'!F8*'Output-Calculation-sheet'!F107</f>
        <v>9714189120.3125229</v>
      </c>
      <c r="G130" s="2">
        <f>G9/'Output-Calculation-sheet'!G8*'Output-Calculation-sheet'!G107</f>
        <v>6825455911.9511938</v>
      </c>
      <c r="H130" s="2">
        <f>H9/'Output-Calculation-sheet'!H8*'Output-Calculation-sheet'!H107</f>
        <v>6657968500.6281509</v>
      </c>
      <c r="I130" s="2">
        <f>I9/'Output-Calculation-sheet'!I8*'Output-Calculation-sheet'!I107</f>
        <v>6218526796.3667068</v>
      </c>
      <c r="J130" s="2">
        <f>J9/'Output-Calculation-sheet'!J8*'Output-Calculation-sheet'!J107</f>
        <v>6052683316.8431139</v>
      </c>
      <c r="K130" s="2">
        <f>K9/'Output-Calculation-sheet'!K8*'Output-Calculation-sheet'!K107</f>
        <v>5994657882.2664986</v>
      </c>
      <c r="L130" s="2">
        <f>L9/'Output-Calculation-sheet'!L8*'Output-Calculation-sheet'!L107</f>
        <v>4808993125.1499348</v>
      </c>
      <c r="M130" s="2">
        <f>M9/'Output-Calculation-sheet'!M8*'Output-Calculation-sheet'!M107</f>
        <v>4593419054.7302818</v>
      </c>
      <c r="N130" s="2">
        <f>N9/'Output-Calculation-sheet'!N8*'Output-Calculation-sheet'!N107</f>
        <v>4508425499.3556385</v>
      </c>
      <c r="O130" s="2">
        <f>O9/'Output-Calculation-sheet'!O8*'Output-Calculation-sheet'!O107</f>
        <v>7415899647.4690723</v>
      </c>
      <c r="P130" s="2">
        <f>P9/'Output-Calculation-sheet'!P8*'Output-Calculation-sheet'!P107</f>
        <v>4104226619.9255519</v>
      </c>
      <c r="Q130" s="2">
        <f>Q9/'Output-Calculation-sheet'!Q8*'Output-Calculation-sheet'!Q107</f>
        <v>4037896979.3077974</v>
      </c>
      <c r="R130" s="2">
        <f>R9/'Output-Calculation-sheet'!R8*'Output-Calculation-sheet'!R107</f>
        <v>3884642137.4645205</v>
      </c>
      <c r="S130" s="2">
        <f>S9/'Output-Calculation-sheet'!S8*'Output-Calculation-sheet'!S107</f>
        <v>2581931826.9783649</v>
      </c>
      <c r="T130" s="2">
        <f>T9/'Output-Calculation-sheet'!T8*'Output-Calculation-sheet'!T107</f>
        <v>1427961140.9933717</v>
      </c>
      <c r="U130" s="2">
        <f>U9/'Output-Calculation-sheet'!U8*'Output-Calculation-sheet'!U107</f>
        <v>1243704955.1758525</v>
      </c>
      <c r="V130" s="2">
        <f>V9/'Output-Calculation-sheet'!V8*'Output-Calculation-sheet'!V107</f>
        <v>957677689.32305276</v>
      </c>
      <c r="W130" s="2">
        <f>W9/'Output-Calculation-sheet'!W8*'Output-Calculation-sheet'!W107</f>
        <v>829136853.93013585</v>
      </c>
      <c r="X130" s="2">
        <f>X9/'Output-Calculation-sheet'!X8*'Output-Calculation-sheet'!X107</f>
        <v>497482014.74624348</v>
      </c>
      <c r="Y130" s="2">
        <f>Y9/'Output-Calculation-sheet'!Y8*'Output-Calculation-sheet'!Y107</f>
        <v>483796379.09816414</v>
      </c>
      <c r="AA130" s="2">
        <f t="shared" si="11"/>
        <v>196287.90765416223</v>
      </c>
    </row>
    <row r="131" spans="1:27" x14ac:dyDescent="0.25">
      <c r="A131" s="2">
        <v>2033</v>
      </c>
      <c r="B131" s="2">
        <f>B10/'Output-Calculation-sheet'!B9*'Output-Calculation-sheet'!B108</f>
        <v>29561124051.05447</v>
      </c>
      <c r="C131" s="2">
        <f>C10/'Output-Calculation-sheet'!C9*'Output-Calculation-sheet'!C108</f>
        <v>30933567160.135124</v>
      </c>
      <c r="D131" s="2">
        <f>D10/'Output-Calculation-sheet'!D9*'Output-Calculation-sheet'!D108</f>
        <v>12416012510.78059</v>
      </c>
      <c r="E131" s="2">
        <f>E10/'Output-Calculation-sheet'!E9*'Output-Calculation-sheet'!E108</f>
        <v>9850842139.8924541</v>
      </c>
      <c r="F131" s="2">
        <f>F10/'Output-Calculation-sheet'!F9*'Output-Calculation-sheet'!F108</f>
        <v>6341340579.4968987</v>
      </c>
      <c r="G131" s="2">
        <f>G10/'Output-Calculation-sheet'!G9*'Output-Calculation-sheet'!G108</f>
        <v>4455599924.5493584</v>
      </c>
      <c r="H131" s="2">
        <f>H10/'Output-Calculation-sheet'!H9*'Output-Calculation-sheet'!H108</f>
        <v>4346266690.2491865</v>
      </c>
      <c r="I131" s="2">
        <f>I10/'Output-Calculation-sheet'!I9*'Output-Calculation-sheet'!I108</f>
        <v>4059403829.3723221</v>
      </c>
      <c r="J131" s="2">
        <f>J10/'Output-Calculation-sheet'!J9*'Output-Calculation-sheet'!J108</f>
        <v>3951142568.8150887</v>
      </c>
      <c r="K131" s="2">
        <f>K10/'Output-Calculation-sheet'!K9*'Output-Calculation-sheet'!K108</f>
        <v>3913263012.6856999</v>
      </c>
      <c r="L131" s="2">
        <f>L10/'Output-Calculation-sheet'!L9*'Output-Calculation-sheet'!L108</f>
        <v>3139271695.6911778</v>
      </c>
      <c r="M131" s="2">
        <f>M10/'Output-Calculation-sheet'!M9*'Output-Calculation-sheet'!M108</f>
        <v>2998545138.7273378</v>
      </c>
      <c r="N131" s="2">
        <f>N10/'Output-Calculation-sheet'!N9*'Output-Calculation-sheet'!N108</f>
        <v>2943062823.3628292</v>
      </c>
      <c r="O131" s="2">
        <f>O10/'Output-Calculation-sheet'!O9*'Output-Calculation-sheet'!O108</f>
        <v>6969944765.4521198</v>
      </c>
      <c r="P131" s="2">
        <f>P10/'Output-Calculation-sheet'!P9*'Output-Calculation-sheet'!P108</f>
        <v>2679206547.5870476</v>
      </c>
      <c r="Q131" s="2">
        <f>Q10/'Output-Calculation-sheet'!Q9*'Output-Calculation-sheet'!Q108</f>
        <v>2635905702.7932086</v>
      </c>
      <c r="R131" s="2">
        <f>R10/'Output-Calculation-sheet'!R9*'Output-Calculation-sheet'!R108</f>
        <v>2535861550.8084593</v>
      </c>
      <c r="S131" s="2">
        <f>S10/'Output-Calculation-sheet'!S9*'Output-Calculation-sheet'!S108</f>
        <v>1685464146.7353382</v>
      </c>
      <c r="T131" s="2">
        <f>T10/'Output-Calculation-sheet'!T9*'Output-Calculation-sheet'!T108</f>
        <v>932160716.44137967</v>
      </c>
      <c r="U131" s="2">
        <f>U10/'Output-Calculation-sheet'!U9*'Output-Calculation-sheet'!U108</f>
        <v>811880293.31599879</v>
      </c>
      <c r="V131" s="2">
        <f>V10/'Output-Calculation-sheet'!V9*'Output-Calculation-sheet'!V108</f>
        <v>625164063.28850853</v>
      </c>
      <c r="W131" s="2">
        <f>W10/'Output-Calculation-sheet'!W9*'Output-Calculation-sheet'!W108</f>
        <v>541253528.71156573</v>
      </c>
      <c r="X131" s="2">
        <f>X10/'Output-Calculation-sheet'!X9*'Output-Calculation-sheet'!X108</f>
        <v>324752053.79166794</v>
      </c>
      <c r="Y131" s="2">
        <f>Y10/'Output-Calculation-sheet'!Y9*'Output-Calculation-sheet'!Y108</f>
        <v>315818187.16539335</v>
      </c>
      <c r="AA131" s="2">
        <f t="shared" si="11"/>
        <v>138966.85368090327</v>
      </c>
    </row>
    <row r="132" spans="1:27" x14ac:dyDescent="0.25">
      <c r="A132" s="2">
        <v>2034</v>
      </c>
      <c r="B132" s="2">
        <f>B11/'Output-Calculation-sheet'!B10*'Output-Calculation-sheet'!B109</f>
        <v>13332210349.803377</v>
      </c>
      <c r="C132" s="2">
        <f>C11/'Output-Calculation-sheet'!C10*'Output-Calculation-sheet'!C109</f>
        <v>24651136097.671551</v>
      </c>
      <c r="D132" s="2">
        <f>D11/'Output-Calculation-sheet'!D10*'Output-Calculation-sheet'!D109</f>
        <v>5599681871.4148731</v>
      </c>
      <c r="E132" s="2">
        <f>E11/'Output-Calculation-sheet'!E10*'Output-Calculation-sheet'!E109</f>
        <v>4442778979.8859329</v>
      </c>
      <c r="F132" s="2">
        <f>F11/'Output-Calculation-sheet'!F10*'Output-Calculation-sheet'!F109</f>
        <v>2859976256.9329</v>
      </c>
      <c r="G132" s="2">
        <f>G11/'Output-Calculation-sheet'!G10*'Output-Calculation-sheet'!G109</f>
        <v>2009498122.0960152</v>
      </c>
      <c r="H132" s="2">
        <f>H11/'Output-Calculation-sheet'!H10*'Output-Calculation-sheet'!H109</f>
        <v>2381328725.4613643</v>
      </c>
      <c r="I132" s="2">
        <f>I11/'Output-Calculation-sheet'!I10*'Output-Calculation-sheet'!I109</f>
        <v>1830810826.409977</v>
      </c>
      <c r="J132" s="2">
        <f>J11/'Output-Calculation-sheet'!J10*'Output-Calculation-sheet'!J109</f>
        <v>1781984742.8473763</v>
      </c>
      <c r="K132" s="2">
        <f>K11/'Output-Calculation-sheet'!K10*'Output-Calculation-sheet'!K109</f>
        <v>1764901431.1065493</v>
      </c>
      <c r="L132" s="2">
        <f>L11/'Output-Calculation-sheet'!L10*'Output-Calculation-sheet'!L109</f>
        <v>1415826985.0578735</v>
      </c>
      <c r="M132" s="2">
        <f>M11/'Output-Calculation-sheet'!M10*'Output-Calculation-sheet'!M109</f>
        <v>1352358826.117825</v>
      </c>
      <c r="N132" s="2">
        <f>N11/'Output-Calculation-sheet'!N10*'Output-Calculation-sheet'!N109</f>
        <v>1327336436.4138064</v>
      </c>
      <c r="O132" s="2">
        <f>O11/'Output-Calculation-sheet'!O10*'Output-Calculation-sheet'!O109</f>
        <v>5850483522.6465769</v>
      </c>
      <c r="P132" s="2">
        <f>P11/'Output-Calculation-sheet'!P10*'Output-Calculation-sheet'!P109</f>
        <v>1208335147.2527642</v>
      </c>
      <c r="Q132" s="2">
        <f>Q11/'Output-Calculation-sheet'!Q10*'Output-Calculation-sheet'!Q109</f>
        <v>1488141615.2774777</v>
      </c>
      <c r="R132" s="2">
        <f>R11/'Output-Calculation-sheet'!R10*'Output-Calculation-sheet'!R109</f>
        <v>1143686397.0433652</v>
      </c>
      <c r="S132" s="2">
        <f>S11/'Output-Calculation-sheet'!S10*'Output-Calculation-sheet'!S109</f>
        <v>760152625.97064972</v>
      </c>
      <c r="T132" s="2">
        <f>T11/'Output-Calculation-sheet'!T10*'Output-Calculation-sheet'!T109</f>
        <v>420409268.67706788</v>
      </c>
      <c r="U132" s="2">
        <f>U11/'Output-Calculation-sheet'!U10*'Output-Calculation-sheet'!U109</f>
        <v>462408491.27071875</v>
      </c>
      <c r="V132" s="2">
        <f>V11/'Output-Calculation-sheet'!V10*'Output-Calculation-sheet'!V109</f>
        <v>281952157.67275584</v>
      </c>
      <c r="W132" s="2">
        <f>W11/'Output-Calculation-sheet'!W10*'Output-Calculation-sheet'!W109</f>
        <v>244108081.75621441</v>
      </c>
      <c r="X132" s="2">
        <f>X11/'Output-Calculation-sheet'!X10*'Output-Calculation-sheet'!X109</f>
        <v>193832341.84251881</v>
      </c>
      <c r="Y132" s="2">
        <f>Y11/'Output-Calculation-sheet'!Y10*'Output-Calculation-sheet'!Y109</f>
        <v>142435623.27936044</v>
      </c>
      <c r="AA132" s="2">
        <f t="shared" si="11"/>
        <v>76945.774923908903</v>
      </c>
    </row>
    <row r="133" spans="1:27" x14ac:dyDescent="0.25">
      <c r="A133" s="2">
        <v>2035</v>
      </c>
      <c r="B133" s="2">
        <f>B12/'Output-Calculation-sheet'!B11*'Output-Calculation-sheet'!B110</f>
        <v>11829900168.570965</v>
      </c>
      <c r="C133" s="2">
        <f>C12/'Output-Calculation-sheet'!C11*'Output-Calculation-sheet'!C110</f>
        <v>15250222067.75679</v>
      </c>
      <c r="D133" s="2">
        <f>D12/'Output-Calculation-sheet'!D11*'Output-Calculation-sheet'!D110</f>
        <v>4498465532.1507044</v>
      </c>
      <c r="E133" s="2">
        <f>E12/'Output-Calculation-sheet'!E11*'Output-Calculation-sheet'!E110</f>
        <v>2220359314.6354742</v>
      </c>
      <c r="F133" s="2">
        <f>F12/'Output-Calculation-sheet'!F11*'Output-Calculation-sheet'!F110</f>
        <v>1818593367.1493409</v>
      </c>
      <c r="G133" s="2">
        <f>G12/'Output-Calculation-sheet'!G11*'Output-Calculation-sheet'!G110</f>
        <v>1716304055.4902084</v>
      </c>
      <c r="H133" s="2">
        <f>H12/'Output-Calculation-sheet'!H11*'Output-Calculation-sheet'!H110</f>
        <v>1872722297.1207831</v>
      </c>
      <c r="I133" s="2">
        <f>I12/'Output-Calculation-sheet'!I11*'Output-Calculation-sheet'!I110</f>
        <v>1473080402.5480623</v>
      </c>
      <c r="J133" s="2">
        <f>J12/'Output-Calculation-sheet'!J11*'Output-Calculation-sheet'!J110</f>
        <v>1071857559.5945709</v>
      </c>
      <c r="K133" s="2">
        <f>K12/'Output-Calculation-sheet'!K11*'Output-Calculation-sheet'!K110</f>
        <v>1182361367.9516914</v>
      </c>
      <c r="L133" s="2">
        <f>L12/'Output-Calculation-sheet'!L11*'Output-Calculation-sheet'!L110</f>
        <v>517213777.89656174</v>
      </c>
      <c r="M133" s="2">
        <f>M12/'Output-Calculation-sheet'!M11*'Output-Calculation-sheet'!M110</f>
        <v>1030097960.8265073</v>
      </c>
      <c r="N133" s="2">
        <f>N12/'Output-Calculation-sheet'!N11*'Output-Calculation-sheet'!N110</f>
        <v>936390145.53994918</v>
      </c>
      <c r="O133" s="2">
        <f>O12/'Output-Calculation-sheet'!O11*'Output-Calculation-sheet'!O110</f>
        <v>4133281373.1503687</v>
      </c>
      <c r="P133" s="2">
        <f>P12/'Output-Calculation-sheet'!P11*'Output-Calculation-sheet'!P110</f>
        <v>791794954.35841358</v>
      </c>
      <c r="Q133" s="2">
        <f>Q12/'Output-Calculation-sheet'!Q11*'Output-Calculation-sheet'!Q110</f>
        <v>1137967220.1885099</v>
      </c>
      <c r="R133" s="2">
        <f>R12/'Output-Calculation-sheet'!R11*'Output-Calculation-sheet'!R110</f>
        <v>595186927.22771049</v>
      </c>
      <c r="S133" s="2">
        <f>S12/'Output-Calculation-sheet'!S11*'Output-Calculation-sheet'!S110</f>
        <v>692244004.29107201</v>
      </c>
      <c r="T133" s="2">
        <f>T12/'Output-Calculation-sheet'!T11*'Output-Calculation-sheet'!T110</f>
        <v>165724952.29676163</v>
      </c>
      <c r="U133" s="2">
        <f>U12/'Output-Calculation-sheet'!U11*'Output-Calculation-sheet'!U110</f>
        <v>383547745.78848934</v>
      </c>
      <c r="V133" s="2">
        <f>V12/'Output-Calculation-sheet'!V11*'Output-Calculation-sheet'!V110</f>
        <v>57354347.58569061</v>
      </c>
      <c r="W133" s="2">
        <f>W12/'Output-Calculation-sheet'!W11*'Output-Calculation-sheet'!W110</f>
        <v>114896148.61178632</v>
      </c>
      <c r="X133" s="2">
        <f>X12/'Output-Calculation-sheet'!X11*'Output-Calculation-sheet'!X110</f>
        <v>159793544.93593726</v>
      </c>
      <c r="Y133" s="2">
        <f>Y12/'Output-Calculation-sheet'!Y11*'Output-Calculation-sheet'!Y110</f>
        <v>112832023.40296838</v>
      </c>
      <c r="AA133" s="2">
        <f t="shared" si="11"/>
        <v>53762.19125906931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1283.4625279092991</v>
      </c>
      <c r="C19" s="2">
        <f>C8/'Output-Calculation-sheet'!C7*'Output-Calculation-sheet'!C25</f>
        <v>14686.905018813874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5758.3131041730894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4000.3238235361464</v>
      </c>
      <c r="N19" s="2">
        <f>N8/'Output-Calculation-sheet'!N7*'Output-Calculation-sheet'!N25</f>
        <v>1369.8661544279473</v>
      </c>
      <c r="O19" s="2">
        <f>O8/'Output-Calculation-sheet'!O7*'Output-Calculation-sheet'!O25</f>
        <v>2257.8962699453668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488.78986884835086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447.46515835420485</v>
      </c>
      <c r="Y19" s="2">
        <f>Y8/'Output-Calculation-sheet'!Y7*'Output-Calculation-sheet'!Y25</f>
        <v>0</v>
      </c>
      <c r="AA19" s="2">
        <f t="shared" si="0"/>
        <v>30.293021926008272</v>
      </c>
    </row>
    <row r="20" spans="1:27" x14ac:dyDescent="0.25">
      <c r="A20" s="2">
        <v>2032</v>
      </c>
      <c r="B20" s="2">
        <f>B9/'Output-Calculation-sheet'!B8*'Output-Calculation-sheet'!B26</f>
        <v>7446.7596928291268</v>
      </c>
      <c r="C20" s="2">
        <f>C9/'Output-Calculation-sheet'!C8*'Output-Calculation-sheet'!C26</f>
        <v>17611.202428902641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8091.0502514187938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5629.4994154932128</v>
      </c>
      <c r="N20" s="2">
        <f>N9/'Output-Calculation-sheet'!N8*'Output-Calculation-sheet'!N26</f>
        <v>2540.492113496518</v>
      </c>
      <c r="O20" s="2">
        <f>O9/'Output-Calculation-sheet'!O8*'Output-Calculation-sheet'!O26</f>
        <v>2790.2449113864623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918.56703095988814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629.80272033764447</v>
      </c>
      <c r="Y20" s="2">
        <f>Y9/'Output-Calculation-sheet'!Y8*'Output-Calculation-sheet'!Y26</f>
        <v>0</v>
      </c>
      <c r="AA20" s="2">
        <f t="shared" si="0"/>
        <v>45.65761856482429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20926.766870891726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10427.798749115209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7242.2080828213584</v>
      </c>
      <c r="N21" s="2">
        <f>N10/'Output-Calculation-sheet'!N9*'Output-Calculation-sheet'!N27</f>
        <v>3961.4001107737395</v>
      </c>
      <c r="O21" s="2">
        <f>O10/'Output-Calculation-sheet'!O9*'Output-Calculation-sheet'!O27</f>
        <v>3212.5157337774754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1724.6229082102391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851.68328971020196</v>
      </c>
      <c r="Y21" s="2">
        <f>Y10/'Output-Calculation-sheet'!Y9*'Output-Calculation-sheet'!Y27</f>
        <v>0</v>
      </c>
      <c r="AA21" s="2">
        <f t="shared" si="0"/>
        <v>66.653540033782249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24866.494801407192</v>
      </c>
      <c r="D22" s="2">
        <f>D11/'Output-Calculation-sheet'!D10*'Output-Calculation-sheet'!D28</f>
        <v>0</v>
      </c>
      <c r="E22" s="2">
        <f>E11/'Output-Calculation-sheet'!E10*'Output-Calculation-sheet'!E28</f>
        <v>1837.3114975443111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13097.519284589227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1077.1978380381804</v>
      </c>
      <c r="M22" s="2">
        <f>M11/'Output-Calculation-sheet'!M10*'Output-Calculation-sheet'!M28</f>
        <v>9791.6598528877057</v>
      </c>
      <c r="N22" s="2">
        <f>N11/'Output-Calculation-sheet'!N10*'Output-Calculation-sheet'!N28</f>
        <v>5635.1547880504586</v>
      </c>
      <c r="O22" s="2">
        <f>O11/'Output-Calculation-sheet'!O10*'Output-Calculation-sheet'!O28</f>
        <v>3744.1233024326566</v>
      </c>
      <c r="P22" s="2">
        <f>P11/'Output-Calculation-sheet'!P10*'Output-Calculation-sheet'!P28</f>
        <v>0</v>
      </c>
      <c r="Q22" s="2">
        <f>Q11/'Output-Calculation-sheet'!Q10*'Output-Calculation-sheet'!Q28</f>
        <v>1627.5619634117456</v>
      </c>
      <c r="R22" s="2">
        <f>R11/'Output-Calculation-sheet'!R10*'Output-Calculation-sheet'!R28</f>
        <v>0</v>
      </c>
      <c r="S22" s="2">
        <f>S11/'Output-Calculation-sheet'!S10*'Output-Calculation-sheet'!S28</f>
        <v>2857.8241279007402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943.0449160586212</v>
      </c>
      <c r="Y22" s="2">
        <f>Y11/'Output-Calculation-sheet'!Y10*'Output-Calculation-sheet'!Y28</f>
        <v>98.406742963391508</v>
      </c>
      <c r="AA22" s="2">
        <f t="shared" si="0"/>
        <v>100.95182317176975</v>
      </c>
    </row>
    <row r="23" spans="1:27" x14ac:dyDescent="0.25">
      <c r="A23" s="2">
        <v>2035</v>
      </c>
      <c r="B23" s="2">
        <f>B12/'Output-Calculation-sheet'!B11*'Output-Calculation-sheet'!B29</f>
        <v>36367.049215749372</v>
      </c>
      <c r="C23" s="2">
        <f>C12/'Output-Calculation-sheet'!C11*'Output-Calculation-sheet'!C29</f>
        <v>30898.878232147756</v>
      </c>
      <c r="D23" s="2">
        <f>D12/'Output-Calculation-sheet'!D11*'Output-Calculation-sheet'!D29</f>
        <v>0</v>
      </c>
      <c r="E23" s="2">
        <f>E12/'Output-Calculation-sheet'!E11*'Output-Calculation-sheet'!E29</f>
        <v>6117.4386688479299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13412.099270983579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2213.7338306248103</v>
      </c>
      <c r="M23" s="2">
        <f>M12/'Output-Calculation-sheet'!M11*'Output-Calculation-sheet'!M29</f>
        <v>10166.870947661684</v>
      </c>
      <c r="N23" s="2">
        <f>N12/'Output-Calculation-sheet'!N11*'Output-Calculation-sheet'!N29</f>
        <v>5986.9840623212567</v>
      </c>
      <c r="O23" s="2">
        <f>O12/'Output-Calculation-sheet'!O11*'Output-Calculation-sheet'!O29</f>
        <v>4629.5242319240679</v>
      </c>
      <c r="P23" s="2">
        <f>P12/'Output-Calculation-sheet'!P11*'Output-Calculation-sheet'!P29</f>
        <v>706.53800244680565</v>
      </c>
      <c r="Q23" s="2">
        <f>Q12/'Output-Calculation-sheet'!Q11*'Output-Calculation-sheet'!Q29</f>
        <v>1889.4820979008502</v>
      </c>
      <c r="R23" s="2">
        <f>R12/'Output-Calculation-sheet'!R11*'Output-Calculation-sheet'!R29</f>
        <v>0</v>
      </c>
      <c r="S23" s="2">
        <f>S12/'Output-Calculation-sheet'!S11*'Output-Calculation-sheet'!S29</f>
        <v>2878.593570426659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953.06280972838135</v>
      </c>
      <c r="Y23" s="2">
        <f>Y12/'Output-Calculation-sheet'!Y11*'Output-Calculation-sheet'!Y29</f>
        <v>134.51593498194001</v>
      </c>
      <c r="AA23" s="2">
        <f t="shared" si="0"/>
        <v>116.35477087574507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22370.334933333248</v>
      </c>
      <c r="C30" s="2">
        <f>C8/'Output-Calculation-sheet'!C7*'Output-Calculation-sheet'!C16</f>
        <v>0</v>
      </c>
      <c r="D30" s="2">
        <f>D8/'Output-Calculation-sheet'!D7*'Output-Calculation-sheet'!D16</f>
        <v>3766.8686746618896</v>
      </c>
      <c r="E30" s="2">
        <f>E8/'Output-Calculation-sheet'!E7*'Output-Calculation-sheet'!E16</f>
        <v>4052.9378739247604</v>
      </c>
      <c r="F30" s="2">
        <f>F8/'Output-Calculation-sheet'!F7*'Output-Calculation-sheet'!F16</f>
        <v>2044.7287241806114</v>
      </c>
      <c r="G30" s="2">
        <f>G8/'Output-Calculation-sheet'!G7*'Output-Calculation-sheet'!G16</f>
        <v>1339.0544586045387</v>
      </c>
      <c r="H30" s="2">
        <f>H8/'Output-Calculation-sheet'!H7*'Output-Calculation-sheet'!H16</f>
        <v>0</v>
      </c>
      <c r="I30" s="2">
        <f>I8/'Output-Calculation-sheet'!I7*'Output-Calculation-sheet'!I16</f>
        <v>1305.3775987630415</v>
      </c>
      <c r="J30" s="2">
        <f>J8/'Output-Calculation-sheet'!J7*'Output-Calculation-sheet'!J16</f>
        <v>1162.0370658771112</v>
      </c>
      <c r="K30" s="2">
        <f>K8/'Output-Calculation-sheet'!K7*'Output-Calculation-sheet'!K16</f>
        <v>1551.5415944879833</v>
      </c>
      <c r="L30" s="2">
        <f>L8/'Output-Calculation-sheet'!L7*'Output-Calculation-sheet'!L16</f>
        <v>1310.5482209307145</v>
      </c>
      <c r="M30" s="2">
        <f>M8/'Output-Calculation-sheet'!M7*'Output-Calculation-sheet'!M16</f>
        <v>0</v>
      </c>
      <c r="N30" s="2">
        <f>N8/'Output-Calculation-sheet'!N7*'Output-Calculation-sheet'!N16</f>
        <v>1861.5233357536727</v>
      </c>
      <c r="O30" s="2">
        <f>O8/'Output-Calculation-sheet'!O7*'Output-Calculation-sheet'!O16</f>
        <v>0</v>
      </c>
      <c r="P30" s="2">
        <f>P8/'Output-Calculation-sheet'!P7*'Output-Calculation-sheet'!P16</f>
        <v>1673.0760927169249</v>
      </c>
      <c r="Q30" s="2">
        <f>Q8/'Output-Calculation-sheet'!Q7*'Output-Calculation-sheet'!Q16</f>
        <v>1839.8311521544861</v>
      </c>
      <c r="R30" s="2">
        <f>R8/'Output-Calculation-sheet'!R7*'Output-Calculation-sheet'!R16</f>
        <v>1167.3808626549608</v>
      </c>
      <c r="S30" s="2">
        <f>S8/'Output-Calculation-sheet'!S7*'Output-Calculation-sheet'!S16</f>
        <v>1174.0428336813711</v>
      </c>
      <c r="T30" s="2">
        <f>T8/'Output-Calculation-sheet'!T7*'Output-Calculation-sheet'!T16</f>
        <v>350.43095475551758</v>
      </c>
      <c r="U30" s="2">
        <f>U8/'Output-Calculation-sheet'!U7*'Output-Calculation-sheet'!U16</f>
        <v>349.80456831001715</v>
      </c>
      <c r="V30" s="2">
        <f>V8/'Output-Calculation-sheet'!V7*'Output-Calculation-sheet'!V16</f>
        <v>272.24624626534234</v>
      </c>
      <c r="W30" s="2">
        <f>W8/'Output-Calculation-sheet'!W7*'Output-Calculation-sheet'!W16</f>
        <v>165.13107298359415</v>
      </c>
      <c r="X30" s="2">
        <f>X8/'Output-Calculation-sheet'!X7*'Output-Calculation-sheet'!X16</f>
        <v>0</v>
      </c>
      <c r="Y30" s="2">
        <f>Y8/'Output-Calculation-sheet'!Y7*'Output-Calculation-sheet'!Y16</f>
        <v>139.76467996700717</v>
      </c>
      <c r="AA30" s="2">
        <f t="shared" si="1"/>
        <v>47.89666094400679</v>
      </c>
    </row>
    <row r="31" spans="1:27" x14ac:dyDescent="0.25">
      <c r="A31" s="2">
        <v>2032</v>
      </c>
      <c r="B31" s="2">
        <f>B9/'Output-Calculation-sheet'!B8*'Output-Calculation-sheet'!B17</f>
        <v>31532.040855693256</v>
      </c>
      <c r="C31" s="2">
        <f>C9/'Output-Calculation-sheet'!C8*'Output-Calculation-sheet'!C17</f>
        <v>0</v>
      </c>
      <c r="D31" s="2">
        <f>D9/'Output-Calculation-sheet'!D8*'Output-Calculation-sheet'!D17</f>
        <v>5288.3372558293795</v>
      </c>
      <c r="E31" s="2">
        <f>E9/'Output-Calculation-sheet'!E8*'Output-Calculation-sheet'!E17</f>
        <v>6215.7179081581935</v>
      </c>
      <c r="F31" s="2">
        <f>F9/'Output-Calculation-sheet'!F8*'Output-Calculation-sheet'!F17</f>
        <v>2870.6810373644221</v>
      </c>
      <c r="G31" s="2">
        <f>G9/'Output-Calculation-sheet'!G8*'Output-Calculation-sheet'!G17</f>
        <v>1879.9377067361395</v>
      </c>
      <c r="H31" s="2">
        <f>H9/'Output-Calculation-sheet'!H8*'Output-Calculation-sheet'!H17</f>
        <v>0</v>
      </c>
      <c r="I31" s="2">
        <f>I9/'Output-Calculation-sheet'!I8*'Output-Calculation-sheet'!I17</f>
        <v>1832.666362613021</v>
      </c>
      <c r="J31" s="2">
        <f>J9/'Output-Calculation-sheet'!J8*'Output-Calculation-sheet'!J17</f>
        <v>1631.4263087349484</v>
      </c>
      <c r="K31" s="2">
        <f>K9/'Output-Calculation-sheet'!K8*'Output-Calculation-sheet'!K17</f>
        <v>2322.7178963827596</v>
      </c>
      <c r="L31" s="2">
        <f>L9/'Output-Calculation-sheet'!L8*'Output-Calculation-sheet'!L17</f>
        <v>1980.8700421320898</v>
      </c>
      <c r="M31" s="2">
        <f>M9/'Output-Calculation-sheet'!M8*'Output-Calculation-sheet'!M17</f>
        <v>0</v>
      </c>
      <c r="N31" s="2">
        <f>N9/'Output-Calculation-sheet'!N8*'Output-Calculation-sheet'!N17</f>
        <v>2153.4083311756845</v>
      </c>
      <c r="O31" s="2">
        <f>O9/'Output-Calculation-sheet'!O8*'Output-Calculation-sheet'!O17</f>
        <v>0</v>
      </c>
      <c r="P31" s="2">
        <f>P9/'Output-Calculation-sheet'!P8*'Output-Calculation-sheet'!P17</f>
        <v>2672.7139717922396</v>
      </c>
      <c r="Q31" s="2">
        <f>Q9/'Output-Calculation-sheet'!Q8*'Output-Calculation-sheet'!Q17</f>
        <v>2849.3586547372952</v>
      </c>
      <c r="R31" s="2">
        <f>R9/'Output-Calculation-sheet'!R8*'Output-Calculation-sheet'!R17</f>
        <v>1864.2010187881606</v>
      </c>
      <c r="S31" s="2">
        <f>S9/'Output-Calculation-sheet'!S8*'Output-Calculation-sheet'!S17</f>
        <v>1609.7682561107074</v>
      </c>
      <c r="T31" s="2">
        <f>T9/'Output-Calculation-sheet'!T8*'Output-Calculation-sheet'!T17</f>
        <v>505.86456643697943</v>
      </c>
      <c r="U31" s="2">
        <f>U9/'Output-Calculation-sheet'!U8*'Output-Calculation-sheet'!U17</f>
        <v>581.39965724987655</v>
      </c>
      <c r="V31" s="2">
        <f>V9/'Output-Calculation-sheet'!V8*'Output-Calculation-sheet'!V17</f>
        <v>416.42898770499204</v>
      </c>
      <c r="W31" s="2">
        <f>W9/'Output-Calculation-sheet'!W8*'Output-Calculation-sheet'!W17</f>
        <v>231.8358427964175</v>
      </c>
      <c r="X31" s="2">
        <f>X9/'Output-Calculation-sheet'!X8*'Output-Calculation-sheet'!X17</f>
        <v>0</v>
      </c>
      <c r="Y31" s="2">
        <f>Y9/'Output-Calculation-sheet'!Y8*'Output-Calculation-sheet'!Y17</f>
        <v>224.00365196908407</v>
      </c>
      <c r="AA31" s="2">
        <f t="shared" si="1"/>
        <v>68.663378312405655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2229.4581730067835</v>
      </c>
      <c r="O32" s="2">
        <f>O10/'Output-Calculation-sheet'!O9*'Output-Calculation-sheet'!O18</f>
        <v>0</v>
      </c>
      <c r="P32" s="2">
        <f>P10/'Output-Calculation-sheet'!P9*'Output-Calculation-sheet'!P18</f>
        <v>3588.4059889680425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2576.3546358159961</v>
      </c>
      <c r="S32" s="2">
        <f>S10/'Output-Calculation-sheet'!S9*'Output-Calculation-sheet'!S18</f>
        <v>1686.2168343040614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831.68815256569019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87.882965457317155</v>
      </c>
    </row>
    <row r="33" spans="1:27" x14ac:dyDescent="0.25">
      <c r="A33" s="2">
        <v>2034</v>
      </c>
      <c r="B33" s="2">
        <f>B11/'Output-Calculation-sheet'!B10*'Output-Calculation-sheet'!B19</f>
        <v>35681.272589094711</v>
      </c>
      <c r="C33" s="2">
        <f>C11/'Output-Calculation-sheet'!C10*'Output-Calculation-sheet'!C19</f>
        <v>0</v>
      </c>
      <c r="D33" s="2">
        <f>D11/'Output-Calculation-sheet'!D10*'Output-Calculation-sheet'!D19</f>
        <v>10661.577114775657</v>
      </c>
      <c r="E33" s="2">
        <f>E11/'Output-Calculation-sheet'!E10*'Output-Calculation-sheet'!E19</f>
        <v>13165.610859923216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3623.1146016268076</v>
      </c>
      <c r="H33" s="2">
        <f>H11/'Output-Calculation-sheet'!H10*'Output-Calculation-sheet'!H19</f>
        <v>0</v>
      </c>
      <c r="I33" s="2">
        <f>I11/'Output-Calculation-sheet'!I10*'Output-Calculation-sheet'!I19</f>
        <v>3958.8239059245557</v>
      </c>
      <c r="J33" s="2">
        <f>J11/'Output-Calculation-sheet'!J10*'Output-Calculation-sheet'!J19</f>
        <v>3343.2363417452657</v>
      </c>
      <c r="K33" s="2">
        <f>K11/'Output-Calculation-sheet'!K10*'Output-Calculation-sheet'!K19</f>
        <v>4638.465048756736</v>
      </c>
      <c r="L33" s="2">
        <f>L11/'Output-Calculation-sheet'!L10*'Output-Calculation-sheet'!L19</f>
        <v>3776.0831275488435</v>
      </c>
      <c r="M33" s="2">
        <f>M11/'Output-Calculation-sheet'!M10*'Output-Calculation-sheet'!M19</f>
        <v>0</v>
      </c>
      <c r="N33" s="2">
        <f>N11/'Output-Calculation-sheet'!N10*'Output-Calculation-sheet'!N19</f>
        <v>2132.9440228356475</v>
      </c>
      <c r="O33" s="2">
        <f>O11/'Output-Calculation-sheet'!O10*'Output-Calculation-sheet'!O19</f>
        <v>0</v>
      </c>
      <c r="P33" s="2">
        <f>P11/'Output-Calculation-sheet'!P10*'Output-Calculation-sheet'!P19</f>
        <v>4696.6229295312769</v>
      </c>
      <c r="Q33" s="2">
        <f>Q11/'Output-Calculation-sheet'!Q10*'Output-Calculation-sheet'!Q19</f>
        <v>3825.9103497496553</v>
      </c>
      <c r="R33" s="2">
        <f>R11/'Output-Calculation-sheet'!R10*'Output-Calculation-sheet'!R19</f>
        <v>3350.6770160074207</v>
      </c>
      <c r="S33" s="2">
        <f>S11/'Output-Calculation-sheet'!S10*'Output-Calculation-sheet'!S19</f>
        <v>1566.1643574849193</v>
      </c>
      <c r="T33" s="2">
        <f>T11/'Output-Calculation-sheet'!T10*'Output-Calculation-sheet'!T19</f>
        <v>983.24907400299071</v>
      </c>
      <c r="U33" s="2">
        <f>U11/'Output-Calculation-sheet'!U10*'Output-Calculation-sheet'!U19</f>
        <v>1053.5302893610628</v>
      </c>
      <c r="V33" s="2">
        <f>V11/'Output-Calculation-sheet'!V10*'Output-Calculation-sheet'!V19</f>
        <v>771.02349242332377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124.20163454365539</v>
      </c>
      <c r="Y33" s="2">
        <f>Y11/'Output-Calculation-sheet'!Y10*'Output-Calculation-sheet'!Y19</f>
        <v>432.72042790488615</v>
      </c>
      <c r="AA33" s="2">
        <f t="shared" si="1"/>
        <v>104.31522860962124</v>
      </c>
    </row>
    <row r="34" spans="1:27" x14ac:dyDescent="0.25">
      <c r="A34" s="2">
        <v>2035</v>
      </c>
      <c r="B34" s="2">
        <f>B12/'Output-Calculation-sheet'!B11*'Output-Calculation-sheet'!B20</f>
        <v>33264.689308017434</v>
      </c>
      <c r="C34" s="2">
        <f>C12/'Output-Calculation-sheet'!C11*'Output-Calculation-sheet'!C20</f>
        <v>0</v>
      </c>
      <c r="D34" s="2">
        <f>D12/'Output-Calculation-sheet'!D11*'Output-Calculation-sheet'!D20</f>
        <v>10706.463066007949</v>
      </c>
      <c r="E34" s="2">
        <f>E12/'Output-Calculation-sheet'!E11*'Output-Calculation-sheet'!E20</f>
        <v>11896.379189225698</v>
      </c>
      <c r="F34" s="2">
        <f>F12/'Output-Calculation-sheet'!F11*'Output-Calculation-sheet'!F20</f>
        <v>6654.1125006707616</v>
      </c>
      <c r="G34" s="2">
        <f>G12/'Output-Calculation-sheet'!G11*'Output-Calculation-sheet'!G20</f>
        <v>3591.8080085166862</v>
      </c>
      <c r="H34" s="2">
        <f>H12/'Output-Calculation-sheet'!H11*'Output-Calculation-sheet'!H20</f>
        <v>0</v>
      </c>
      <c r="I34" s="2">
        <f>I12/'Output-Calculation-sheet'!I11*'Output-Calculation-sheet'!I20</f>
        <v>3993.2402299363366</v>
      </c>
      <c r="J34" s="2">
        <f>J12/'Output-Calculation-sheet'!J11*'Output-Calculation-sheet'!J20</f>
        <v>3701.3402430807978</v>
      </c>
      <c r="K34" s="2">
        <f>K12/'Output-Calculation-sheet'!K11*'Output-Calculation-sheet'!K20</f>
        <v>4922.4095536895284</v>
      </c>
      <c r="L34" s="2">
        <f>L12/'Output-Calculation-sheet'!L11*'Output-Calculation-sheet'!L20</f>
        <v>3928.2891897433847</v>
      </c>
      <c r="M34" s="2">
        <f>M12/'Output-Calculation-sheet'!M11*'Output-Calculation-sheet'!M20</f>
        <v>0</v>
      </c>
      <c r="N34" s="2">
        <f>N12/'Output-Calculation-sheet'!N11*'Output-Calculation-sheet'!N20</f>
        <v>2106.5784875068293</v>
      </c>
      <c r="O34" s="2">
        <f>O12/'Output-Calculation-sheet'!O11*'Output-Calculation-sheet'!O20</f>
        <v>0</v>
      </c>
      <c r="P34" s="2">
        <f>P12/'Output-Calculation-sheet'!P11*'Output-Calculation-sheet'!P20</f>
        <v>4486.8442079613351</v>
      </c>
      <c r="Q34" s="2">
        <f>Q12/'Output-Calculation-sheet'!Q11*'Output-Calculation-sheet'!Q20</f>
        <v>3741.9862298758517</v>
      </c>
      <c r="R34" s="2">
        <f>R12/'Output-Calculation-sheet'!R11*'Output-Calculation-sheet'!R20</f>
        <v>3769.48276475995</v>
      </c>
      <c r="S34" s="2">
        <f>S12/'Output-Calculation-sheet'!S11*'Output-Calculation-sheet'!S20</f>
        <v>1439.9301182321356</v>
      </c>
      <c r="T34" s="2">
        <f>T12/'Output-Calculation-sheet'!T11*'Output-Calculation-sheet'!T20</f>
        <v>1143.3237504131082</v>
      </c>
      <c r="U34" s="2">
        <f>U12/'Output-Calculation-sheet'!U11*'Output-Calculation-sheet'!U20</f>
        <v>1052.3743664129197</v>
      </c>
      <c r="V34" s="2">
        <f>V12/'Output-Calculation-sheet'!V11*'Output-Calculation-sheet'!V20</f>
        <v>1036.1392249456867</v>
      </c>
      <c r="W34" s="2">
        <f>W12/'Output-Calculation-sheet'!W11*'Output-Calculation-sheet'!W20</f>
        <v>562.18717886691377</v>
      </c>
      <c r="X34" s="2">
        <f>X12/'Output-Calculation-sheet'!X11*'Output-Calculation-sheet'!X20</f>
        <v>118.69275172492496</v>
      </c>
      <c r="Y34" s="2">
        <f>Y12/'Output-Calculation-sheet'!Y11*'Output-Calculation-sheet'!Y20</f>
        <v>408.03137192916068</v>
      </c>
      <c r="AA34" s="2">
        <f t="shared" si="1"/>
        <v>102.52430174151736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1.2193895228537379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0.2368945799346302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1.4562841027883682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1.369549283664339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0.26606658182051046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1.6356158654848496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1.4651898535097572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0.28464697159228369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1.7498368251020409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1.5107870597115798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0.46506730906426086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0.29350528208858367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0.27556706989193541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8.7922732787087246E-2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2.6679555388800948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1.512517655896759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0.29384149037038437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12.677636493458143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14654.06707289141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8165.858406439349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5573.5958710581153</v>
      </c>
      <c r="N52" s="2">
        <f>N8/'Output-Calculation-sheet'!N7*'Output-Calculation-sheet'!N43</f>
        <v>178.14472804954042</v>
      </c>
      <c r="O52" s="2">
        <f>O8/'Output-Calculation-sheet'!O7*'Output-Calculation-sheet'!O43</f>
        <v>685.7474682318242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718.31444247518561</v>
      </c>
      <c r="Y52" s="2">
        <f>Y8/'Output-Calculation-sheet'!Y7*'Output-Calculation-sheet'!Y43</f>
        <v>0</v>
      </c>
      <c r="AA52" s="2">
        <f t="shared" si="3"/>
        <v>29.975727989145422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20663.375157040904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16234.910187913534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11094.866064662858</v>
      </c>
      <c r="N53" s="2">
        <f>N9/'Output-Calculation-sheet'!N8*'Output-Calculation-sheet'!N44</f>
        <v>3951.620960566755</v>
      </c>
      <c r="O53" s="2">
        <f>O9/'Output-Calculation-sheet'!O8*'Output-Calculation-sheet'!O44</f>
        <v>1540.3854736976921</v>
      </c>
      <c r="P53" s="2">
        <f>P9/'Output-Calculation-sheet'!P8*'Output-Calculation-sheet'!P44</f>
        <v>184.83978469650765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1218.6199315070858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1387.421276856699</v>
      </c>
      <c r="Y53" s="2">
        <f>Y9/'Output-Calculation-sheet'!Y8*'Output-Calculation-sheet'!Y44</f>
        <v>0</v>
      </c>
      <c r="AA53" s="2">
        <f t="shared" si="3"/>
        <v>56.276038836942035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31231.67845639219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2771.5626181353937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620.81909366638149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133.2328550416008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46648.863598111937</v>
      </c>
      <c r="D55" s="2">
        <f>D11/'Output-Calculation-sheet'!D10*'Output-Calculation-sheet'!D46</f>
        <v>9274.2032644109859</v>
      </c>
      <c r="E55" s="2">
        <f>E11/'Output-Calculation-sheet'!E10*'Output-Calculation-sheet'!E46</f>
        <v>11568.914116462427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30351.761223141235</v>
      </c>
      <c r="I55" s="2">
        <f>I11/'Output-Calculation-sheet'!I10*'Output-Calculation-sheet'!I46</f>
        <v>2234.7619090631074</v>
      </c>
      <c r="J55" s="2">
        <f>J11/'Output-Calculation-sheet'!J10*'Output-Calculation-sheet'!J46</f>
        <v>1649.3889067431173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21446.406053656545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4685.7860824668624</v>
      </c>
      <c r="P55" s="2">
        <f>P11/'Output-Calculation-sheet'!P10*'Output-Calculation-sheet'!P46</f>
        <v>6015.1028999260934</v>
      </c>
      <c r="Q55" s="2">
        <f>Q11/'Output-Calculation-sheet'!Q10*'Output-Calculation-sheet'!Q46</f>
        <v>4689.4746981610051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8034.1263024198879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1434.5287981051076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2158.71630008684</v>
      </c>
      <c r="Y55" s="2">
        <f>Y11/'Output-Calculation-sheet'!Y10*'Output-Calculation-sheet'!Y46</f>
        <v>567.6054812468376</v>
      </c>
      <c r="AA55" s="2">
        <f t="shared" si="3"/>
        <v>286.07207907794373</v>
      </c>
    </row>
    <row r="56" spans="1:27" x14ac:dyDescent="0.25">
      <c r="A56" s="2">
        <v>2035</v>
      </c>
      <c r="B56" s="2">
        <f>B12/'Output-Calculation-sheet'!B11*'Output-Calculation-sheet'!B47</f>
        <v>103710.17532605417</v>
      </c>
      <c r="C56" s="2">
        <f>C12/'Output-Calculation-sheet'!C11*'Output-Calculation-sheet'!C47</f>
        <v>77350.683630509695</v>
      </c>
      <c r="D56" s="2">
        <f>D12/'Output-Calculation-sheet'!D11*'Output-Calculation-sheet'!D47</f>
        <v>10577.650785333224</v>
      </c>
      <c r="E56" s="2">
        <f>E12/'Output-Calculation-sheet'!E11*'Output-Calculation-sheet'!E47</f>
        <v>26620.301411146978</v>
      </c>
      <c r="F56" s="2">
        <f>F12/'Output-Calculation-sheet'!F11*'Output-Calculation-sheet'!F47</f>
        <v>1468.6266786447461</v>
      </c>
      <c r="G56" s="2">
        <f>G12/'Output-Calculation-sheet'!G11*'Output-Calculation-sheet'!G47</f>
        <v>3920.9116227909458</v>
      </c>
      <c r="H56" s="2">
        <f>H12/'Output-Calculation-sheet'!H11*'Output-Calculation-sheet'!H47</f>
        <v>30672.423718543152</v>
      </c>
      <c r="I56" s="2">
        <f>I12/'Output-Calculation-sheet'!I11*'Output-Calculation-sheet'!I47</f>
        <v>2502.7667743772681</v>
      </c>
      <c r="J56" s="2">
        <f>J12/'Output-Calculation-sheet'!J11*'Output-Calculation-sheet'!J47</f>
        <v>4090.6666243770096</v>
      </c>
      <c r="K56" s="2">
        <f>K12/'Output-Calculation-sheet'!K11*'Output-Calculation-sheet'!K47</f>
        <v>5627.783232181343</v>
      </c>
      <c r="L56" s="2">
        <f>L12/'Output-Calculation-sheet'!L11*'Output-Calculation-sheet'!L47</f>
        <v>6045.6191039700834</v>
      </c>
      <c r="M56" s="2">
        <f>M12/'Output-Calculation-sheet'!M11*'Output-Calculation-sheet'!M47</f>
        <v>21555.282866752666</v>
      </c>
      <c r="N56" s="2">
        <f>N12/'Output-Calculation-sheet'!N11*'Output-Calculation-sheet'!N47</f>
        <v>17235.566840235773</v>
      </c>
      <c r="O56" s="2">
        <f>O12/'Output-Calculation-sheet'!O11*'Output-Calculation-sheet'!O47</f>
        <v>8531.7134484734415</v>
      </c>
      <c r="P56" s="2">
        <f>P12/'Output-Calculation-sheet'!P11*'Output-Calculation-sheet'!P47</f>
        <v>7476.4576083251131</v>
      </c>
      <c r="Q56" s="2">
        <f>Q12/'Output-Calculation-sheet'!Q11*'Output-Calculation-sheet'!Q47</f>
        <v>5445.0538830602009</v>
      </c>
      <c r="R56" s="2">
        <f>R12/'Output-Calculation-sheet'!R11*'Output-Calculation-sheet'!R47</f>
        <v>6335.7491653081897</v>
      </c>
      <c r="S56" s="2">
        <f>S12/'Output-Calculation-sheet'!S11*'Output-Calculation-sheet'!S47</f>
        <v>8027.4960133676341</v>
      </c>
      <c r="T56" s="2">
        <f>T12/'Output-Calculation-sheet'!T11*'Output-Calculation-sheet'!T47</f>
        <v>2077.6404255390798</v>
      </c>
      <c r="U56" s="2">
        <f>U12/'Output-Calculation-sheet'!U11*'Output-Calculation-sheet'!U47</f>
        <v>1451.6147510941705</v>
      </c>
      <c r="V56" s="2">
        <f>V12/'Output-Calculation-sheet'!V11*'Output-Calculation-sheet'!V47</f>
        <v>1428.9276092753169</v>
      </c>
      <c r="W56" s="2">
        <f>W12/'Output-Calculation-sheet'!W11*'Output-Calculation-sheet'!W47</f>
        <v>510.40433868735983</v>
      </c>
      <c r="X56" s="2">
        <f>X12/'Output-Calculation-sheet'!X11*'Output-Calculation-sheet'!X47</f>
        <v>2176.6041382320846</v>
      </c>
      <c r="Y56" s="2">
        <f>Y12/'Output-Calculation-sheet'!Y11*'Output-Calculation-sheet'!Y47</f>
        <v>663.46080775380142</v>
      </c>
      <c r="AA56" s="2">
        <f t="shared" si="3"/>
        <v>355.50358080403333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8.7122181721693455</v>
      </c>
      <c r="C63" s="2">
        <f>C8*'Output-Calculation-sheet'!C52/10^9</f>
        <v>5.4611422473589455</v>
      </c>
      <c r="D63" s="2">
        <f>D8*'Output-Calculation-sheet'!D52/10^9</f>
        <v>2.9875860939620997</v>
      </c>
      <c r="E63" s="2">
        <f>E8*'Output-Calculation-sheet'!E52/10^9</f>
        <v>2.970476892196293</v>
      </c>
      <c r="F63" s="2">
        <f>F8*'Output-Calculation-sheet'!F52/10^9</f>
        <v>1.2579977198916343</v>
      </c>
      <c r="G63" s="2">
        <f>G8*'Output-Calculation-sheet'!G52/10^9</f>
        <v>0.90444243166772986</v>
      </c>
      <c r="H63" s="2">
        <f>H8*'Output-Calculation-sheet'!H52/10^9</f>
        <v>1.5798740349334823</v>
      </c>
      <c r="I63" s="2">
        <f>I8*'Output-Calculation-sheet'!I52/10^9</f>
        <v>0.8413415538072333</v>
      </c>
      <c r="J63" s="2">
        <f>J8*'Output-Calculation-sheet'!J52/10^9</f>
        <v>1.1577441365499934</v>
      </c>
      <c r="K63" s="2">
        <f>K8*'Output-Calculation-sheet'!K52/10^9</f>
        <v>1.0171785626144985</v>
      </c>
      <c r="L63" s="2">
        <f>L8*'Output-Calculation-sheet'!L52/10^9</f>
        <v>1.3681521800104097</v>
      </c>
      <c r="M63" s="2">
        <f>M8*'Output-Calculation-sheet'!M52/10^9</f>
        <v>1.2823623988059962</v>
      </c>
      <c r="N63" s="2">
        <f>N8*'Output-Calculation-sheet'!N52/10^9</f>
        <v>1.0702311802417581</v>
      </c>
      <c r="O63" s="2">
        <f>O8*'Output-Calculation-sheet'!O52/10^9</f>
        <v>1.1212976856675854</v>
      </c>
      <c r="P63" s="2">
        <f>P8*'Output-Calculation-sheet'!P52/10^9</f>
        <v>0.70284423975815025</v>
      </c>
      <c r="Q63" s="2">
        <f>Q8*'Output-Calculation-sheet'!Q52/10^9</f>
        <v>0.7954093757579993</v>
      </c>
      <c r="R63" s="2">
        <f>R8*'Output-Calculation-sheet'!R52/10^9</f>
        <v>0.71412052958583094</v>
      </c>
      <c r="S63" s="2">
        <f>S8*'Output-Calculation-sheet'!S52/10^9</f>
        <v>0.52919176522145028</v>
      </c>
      <c r="T63" s="2">
        <f>T8*'Output-Calculation-sheet'!T52/10^9</f>
        <v>0.27149953234509522</v>
      </c>
      <c r="U63" s="2">
        <f>U8*'Output-Calculation-sheet'!U52/10^9</f>
        <v>0.18646286002318019</v>
      </c>
      <c r="V63" s="2">
        <f>V8*'Output-Calculation-sheet'!V52/10^9</f>
        <v>0.33092776518941314</v>
      </c>
      <c r="W63" s="2">
        <f>W8*'Output-Calculation-sheet'!W52/10^9</f>
        <v>0.11978057831759978</v>
      </c>
      <c r="X63" s="2">
        <f>X8*'Output-Calculation-sheet'!X52/10^9</f>
        <v>0.1378745746240746</v>
      </c>
      <c r="Y63" s="2">
        <f>Y8*'Output-Calculation-sheet'!Y52/10^9</f>
        <v>7.8153419858286416E-2</v>
      </c>
      <c r="AA63" s="2">
        <f t="shared" si="4"/>
        <v>35.598309930558095</v>
      </c>
    </row>
    <row r="64" spans="1:27" x14ac:dyDescent="0.25">
      <c r="A64" s="2">
        <v>2032</v>
      </c>
      <c r="B64" s="2">
        <f>B9*'Output-Calculation-sheet'!B53/10^9</f>
        <v>9.3368391364412506</v>
      </c>
      <c r="C64" s="2">
        <f>C9*'Output-Calculation-sheet'!C53/10^9</f>
        <v>6.2296506559416081</v>
      </c>
      <c r="D64" s="2">
        <f>D9*'Output-Calculation-sheet'!D53/10^9</f>
        <v>2.7631420693873863</v>
      </c>
      <c r="E64" s="2">
        <f>E9*'Output-Calculation-sheet'!E53/10^9</f>
        <v>2.8295921958894708</v>
      </c>
      <c r="F64" s="2">
        <f>F9*'Output-Calculation-sheet'!F53/10^9</f>
        <v>1.1935052472199226</v>
      </c>
      <c r="G64" s="2">
        <f>G9*'Output-Calculation-sheet'!G53/10^9</f>
        <v>0.84949962192510886</v>
      </c>
      <c r="H64" s="2">
        <f>H9*'Output-Calculation-sheet'!H53/10^9</f>
        <v>1.7454938944319596</v>
      </c>
      <c r="I64" s="2">
        <f>I9*'Output-Calculation-sheet'!I53/10^9</f>
        <v>0.79414343943625254</v>
      </c>
      <c r="J64" s="2">
        <f>J9*'Output-Calculation-sheet'!J53/10^9</f>
        <v>1.0512855825317633</v>
      </c>
      <c r="K64" s="2">
        <f>K9*'Output-Calculation-sheet'!K53/10^9</f>
        <v>0.975447484084348</v>
      </c>
      <c r="L64" s="2">
        <f>L9*'Output-Calculation-sheet'!L53/10^9</f>
        <v>1.2549051079501874</v>
      </c>
      <c r="M64" s="2">
        <f>M9*'Output-Calculation-sheet'!M53/10^9</f>
        <v>1.3680315780341732</v>
      </c>
      <c r="N64" s="2">
        <f>N9*'Output-Calculation-sheet'!N53/10^9</f>
        <v>1.1516542019714193</v>
      </c>
      <c r="O64" s="2">
        <f>O9*'Output-Calculation-sheet'!O53/10^9</f>
        <v>1.2680075576724614</v>
      </c>
      <c r="P64" s="2">
        <f>P9*'Output-Calculation-sheet'!P53/10^9</f>
        <v>0.74369991573154015</v>
      </c>
      <c r="Q64" s="2">
        <f>Q9*'Output-Calculation-sheet'!Q53/10^9</f>
        <v>0.82191321180633481</v>
      </c>
      <c r="R64" s="2">
        <f>R9*'Output-Calculation-sheet'!R53/10^9</f>
        <v>0.70457275867513369</v>
      </c>
      <c r="S64" s="2">
        <f>S9*'Output-Calculation-sheet'!S53/10^9</f>
        <v>0.58213456589041235</v>
      </c>
      <c r="T64" s="2">
        <f>T9*'Output-Calculation-sheet'!T53/10^9</f>
        <v>0.25327556768388765</v>
      </c>
      <c r="U64" s="2">
        <f>U9*'Output-Calculation-sheet'!U53/10^9</f>
        <v>0.19063514757891228</v>
      </c>
      <c r="V64" s="2">
        <f>V9*'Output-Calculation-sheet'!V53/10^9</f>
        <v>0.30062107623640316</v>
      </c>
      <c r="W64" s="2">
        <f>W9*'Output-Calculation-sheet'!W53/10^9</f>
        <v>0.11170537345778056</v>
      </c>
      <c r="X64" s="2">
        <f>X9*'Output-Calculation-sheet'!X53/10^9</f>
        <v>0.15162541987648923</v>
      </c>
      <c r="Y64" s="2">
        <f>Y9*'Output-Calculation-sheet'!Y53/10^9</f>
        <v>7.8264417218207802E-2</v>
      </c>
      <c r="AA64" s="2">
        <f t="shared" si="4"/>
        <v>36.749645227072399</v>
      </c>
    </row>
    <row r="65" spans="1:27" x14ac:dyDescent="0.25">
      <c r="A65" s="2">
        <v>2033</v>
      </c>
      <c r="B65" s="2">
        <f>B10*'Output-Calculation-sheet'!B54/10^9</f>
        <v>9.9367224966390939</v>
      </c>
      <c r="C65" s="2">
        <f>C10*'Output-Calculation-sheet'!C54/10^9</f>
        <v>6.7181028978335977</v>
      </c>
      <c r="D65" s="2">
        <f>D10*'Output-Calculation-sheet'!D54/10^9</f>
        <v>2.3475481794666107</v>
      </c>
      <c r="E65" s="2">
        <f>E10*'Output-Calculation-sheet'!E54/10^9</f>
        <v>2.6433124046618488</v>
      </c>
      <c r="F65" s="2">
        <f>F10*'Output-Calculation-sheet'!F54/10^9</f>
        <v>1.0731396012416621</v>
      </c>
      <c r="G65" s="2">
        <f>G10*'Output-Calculation-sheet'!G54/10^9</f>
        <v>0.73680740678305146</v>
      </c>
      <c r="H65" s="2">
        <f>H10*'Output-Calculation-sheet'!H54/10^9</f>
        <v>1.8208834133344822</v>
      </c>
      <c r="I65" s="2">
        <f>I10*'Output-Calculation-sheet'!I54/10^9</f>
        <v>0.7174491894849907</v>
      </c>
      <c r="J65" s="2">
        <f>J10*'Output-Calculation-sheet'!J54/10^9</f>
        <v>0.85751179955284607</v>
      </c>
      <c r="K65" s="2">
        <f>K10*'Output-Calculation-sheet'!K54/10^9</f>
        <v>0.91485149928285703</v>
      </c>
      <c r="L65" s="2">
        <f>L10*'Output-Calculation-sheet'!L54/10^9</f>
        <v>1.0806320252381696</v>
      </c>
      <c r="M65" s="2">
        <f>M10*'Output-Calculation-sheet'!M54/10^9</f>
        <v>1.3748475317297402</v>
      </c>
      <c r="N65" s="2">
        <f>N10*'Output-Calculation-sheet'!N54/10^9</f>
        <v>1.1872751820641783</v>
      </c>
      <c r="O65" s="2">
        <f>O10*'Output-Calculation-sheet'!O54/10^9</f>
        <v>1.3589157789684514</v>
      </c>
      <c r="P65" s="2">
        <f>P10*'Output-Calculation-sheet'!P54/10^9</f>
        <v>0.77406816502625386</v>
      </c>
      <c r="Q65" s="2">
        <f>Q10*'Output-Calculation-sheet'!Q54/10^9</f>
        <v>0.84467511476288404</v>
      </c>
      <c r="R65" s="2">
        <f>R10*'Output-Calculation-sheet'!R54/10^9</f>
        <v>0.68148316642855111</v>
      </c>
      <c r="S65" s="2">
        <f>S10*'Output-Calculation-sheet'!S54/10^9</f>
        <v>0.61901804360912105</v>
      </c>
      <c r="T65" s="2">
        <f>T10*'Output-Calculation-sheet'!T54/10^9</f>
        <v>0.22784986583483482</v>
      </c>
      <c r="U65" s="2">
        <f>U10*'Output-Calculation-sheet'!U54/10^9</f>
        <v>0.19674594195151379</v>
      </c>
      <c r="V65" s="2">
        <f>V10*'Output-Calculation-sheet'!V54/10^9</f>
        <v>0.25215026941433688</v>
      </c>
      <c r="W65" s="2">
        <f>W10*'Output-Calculation-sheet'!W54/10^9</f>
        <v>9.6003091361837642E-2</v>
      </c>
      <c r="X65" s="2">
        <f>X10*'Output-Calculation-sheet'!X54/10^9</f>
        <v>0.15812732026297371</v>
      </c>
      <c r="Y65" s="2">
        <f>Y10*'Output-Calculation-sheet'!Y54/10^9</f>
        <v>7.9015690043908154E-2</v>
      </c>
      <c r="AA65" s="2">
        <f t="shared" si="4"/>
        <v>36.697136074977799</v>
      </c>
    </row>
    <row r="66" spans="1:27" x14ac:dyDescent="0.25">
      <c r="A66" s="2">
        <v>2034</v>
      </c>
      <c r="B66" s="2">
        <f>B11*'Output-Calculation-sheet'!B55/10^9</f>
        <v>10.510352045897491</v>
      </c>
      <c r="C66" s="2">
        <f>C11*'Output-Calculation-sheet'!C55/10^9</f>
        <v>6.9327290696806436</v>
      </c>
      <c r="D66" s="2">
        <f>D11*'Output-Calculation-sheet'!D55/10^9</f>
        <v>2.198443521587349</v>
      </c>
      <c r="E66" s="2">
        <f>E11*'Output-Calculation-sheet'!E55/10^9</f>
        <v>2.6621690989770617</v>
      </c>
      <c r="F66" s="2">
        <f>F11*'Output-Calculation-sheet'!F55/10^9</f>
        <v>1.0231053960483791</v>
      </c>
      <c r="G66" s="2">
        <f>G11*'Output-Calculation-sheet'!G55/10^9</f>
        <v>0.73129673534455286</v>
      </c>
      <c r="H66" s="2">
        <f>H11*'Output-Calculation-sheet'!H55/10^9</f>
        <v>1.8696019628271892</v>
      </c>
      <c r="I66" s="2">
        <f>I11*'Output-Calculation-sheet'!I55/10^9</f>
        <v>0.71512577962134627</v>
      </c>
      <c r="J66" s="2">
        <f>J11*'Output-Calculation-sheet'!J55/10^9</f>
        <v>0.73539623452336633</v>
      </c>
      <c r="K66" s="2">
        <f>K11*'Output-Calculation-sheet'!K55/10^9</f>
        <v>0.87957496164705995</v>
      </c>
      <c r="L66" s="2">
        <f>L11*'Output-Calculation-sheet'!L55/10^9</f>
        <v>0.93147653488189408</v>
      </c>
      <c r="M66" s="2">
        <f>M11*'Output-Calculation-sheet'!M55/10^9</f>
        <v>1.3544849034205151</v>
      </c>
      <c r="N66" s="2">
        <f>N11*'Output-Calculation-sheet'!N55/10^9</f>
        <v>1.1834586021262579</v>
      </c>
      <c r="O66" s="2">
        <f>O11*'Output-Calculation-sheet'!O55/10^9</f>
        <v>1.3966297098401208</v>
      </c>
      <c r="P66" s="2">
        <f>P11*'Output-Calculation-sheet'!P55/10^9</f>
        <v>0.8135178934695998</v>
      </c>
      <c r="Q66" s="2">
        <f>Q11*'Output-Calculation-sheet'!Q55/10^9</f>
        <v>0.88603159561282274</v>
      </c>
      <c r="R66" s="2">
        <f>R11*'Output-Calculation-sheet'!R55/10^9</f>
        <v>0.65888321046293397</v>
      </c>
      <c r="S66" s="2">
        <f>S11*'Output-Calculation-sheet'!S55/10^9</f>
        <v>0.64832508836075942</v>
      </c>
      <c r="T66" s="2">
        <f>T11*'Output-Calculation-sheet'!T55/10^9</f>
        <v>0.20653112844130406</v>
      </c>
      <c r="U66" s="2">
        <f>U11*'Output-Calculation-sheet'!U55/10^9</f>
        <v>0.21001491976154144</v>
      </c>
      <c r="V66" s="2">
        <f>V11*'Output-Calculation-sheet'!V55/10^9</f>
        <v>0.19593098175816709</v>
      </c>
      <c r="W66" s="2">
        <f>W11*'Output-Calculation-sheet'!W55/10^9</f>
        <v>8.8713137867707598E-2</v>
      </c>
      <c r="X66" s="2">
        <f>X11*'Output-Calculation-sheet'!X55/10^9</f>
        <v>0.16685358796885422</v>
      </c>
      <c r="Y66" s="2">
        <f>Y11*'Output-Calculation-sheet'!Y55/10^9</f>
        <v>8.7054241690851172E-2</v>
      </c>
      <c r="AA66" s="2">
        <f t="shared" si="4"/>
        <v>37.08570034181777</v>
      </c>
    </row>
    <row r="67" spans="1:27" x14ac:dyDescent="0.25">
      <c r="A67" s="2">
        <v>2035</v>
      </c>
      <c r="B67" s="2">
        <f>B12*'Output-Calculation-sheet'!B56/10^9</f>
        <v>10.932331211480301</v>
      </c>
      <c r="C67" s="2">
        <f>C12*'Output-Calculation-sheet'!C56/10^9</f>
        <v>6.8947502062964956</v>
      </c>
      <c r="D67" s="2">
        <f>D12*'Output-Calculation-sheet'!D56/10^9</f>
        <v>2.2768116975803676</v>
      </c>
      <c r="E67" s="2">
        <f>E12*'Output-Calculation-sheet'!E56/10^9</f>
        <v>3.0893331518005023</v>
      </c>
      <c r="F67" s="2">
        <f>F12*'Output-Calculation-sheet'!F56/10^9</f>
        <v>1.1282868565946111</v>
      </c>
      <c r="G67" s="2">
        <f>G12*'Output-Calculation-sheet'!G56/10^9</f>
        <v>0.79039771050821561</v>
      </c>
      <c r="H67" s="2">
        <f>H12*'Output-Calculation-sheet'!H56/10^9</f>
        <v>1.9076117453332913</v>
      </c>
      <c r="I67" s="2">
        <f>I12*'Output-Calculation-sheet'!I56/10^9</f>
        <v>0.76774990174231117</v>
      </c>
      <c r="J67" s="2">
        <f>J12*'Output-Calculation-sheet'!J56/10^9</f>
        <v>0.76056997849453456</v>
      </c>
      <c r="K67" s="2">
        <f>K12*'Output-Calculation-sheet'!K56/10^9</f>
        <v>0.91600458999466183</v>
      </c>
      <c r="L67" s="2">
        <f>L12*'Output-Calculation-sheet'!L56/10^9</f>
        <v>0.92019236497143131</v>
      </c>
      <c r="M67" s="2">
        <f>M12*'Output-Calculation-sheet'!M56/10^9</f>
        <v>1.3957585364633081</v>
      </c>
      <c r="N67" s="2">
        <f>N12*'Output-Calculation-sheet'!N56/10^9</f>
        <v>1.1985256790830194</v>
      </c>
      <c r="O67" s="2">
        <f>O12*'Output-Calculation-sheet'!O56/10^9</f>
        <v>1.3864171970885446</v>
      </c>
      <c r="P67" s="2">
        <f>P12*'Output-Calculation-sheet'!P56/10^9</f>
        <v>0.88716564879514526</v>
      </c>
      <c r="Q67" s="2">
        <f>Q12*'Output-Calculation-sheet'!Q56/10^9</f>
        <v>0.91233249168185981</v>
      </c>
      <c r="R67" s="2">
        <f>R12*'Output-Calculation-sheet'!R56/10^9</f>
        <v>0.69458675767320732</v>
      </c>
      <c r="S67" s="2">
        <f>S12*'Output-Calculation-sheet'!S56/10^9</f>
        <v>0.66190062790364257</v>
      </c>
      <c r="T67" s="2">
        <f>T12*'Output-Calculation-sheet'!T56/10^9</f>
        <v>0.2106368201152049</v>
      </c>
      <c r="U67" s="2">
        <f>U12*'Output-Calculation-sheet'!U56/10^9</f>
        <v>0.21996014958730842</v>
      </c>
      <c r="V67" s="2">
        <f>V12*'Output-Calculation-sheet'!V56/10^9</f>
        <v>0.16896759179714399</v>
      </c>
      <c r="W67" s="2">
        <f>W12*'Output-Calculation-sheet'!W56/10^9</f>
        <v>0.10194475641783741</v>
      </c>
      <c r="X67" s="2">
        <f>X12*'Output-Calculation-sheet'!X56/10^9</f>
        <v>0.17333613912945259</v>
      </c>
      <c r="Y67" s="2">
        <f>Y12*'Output-Calculation-sheet'!Y56/10^9</f>
        <v>9.8484794513741883E-2</v>
      </c>
      <c r="AA67" s="2">
        <f t="shared" si="4"/>
        <v>38.49405660504614</v>
      </c>
    </row>
    <row r="68" spans="1:27" x14ac:dyDescent="0.25">
      <c r="B68" s="2">
        <f>SUM(B60:B67)</f>
        <v>69.273201502152375</v>
      </c>
      <c r="C68" s="2">
        <f t="shared" ref="C68:Y68" si="5">SUM(C60:C67)</f>
        <v>42.738389563472154</v>
      </c>
      <c r="D68" s="2">
        <f t="shared" si="5"/>
        <v>20.358801552674109</v>
      </c>
      <c r="E68" s="2">
        <f t="shared" si="5"/>
        <v>21.870504681012626</v>
      </c>
      <c r="F68" s="2">
        <f t="shared" si="5"/>
        <v>8.857220601083597</v>
      </c>
      <c r="G68" s="2">
        <f t="shared" si="5"/>
        <v>6.3272828387107847</v>
      </c>
      <c r="H68" s="2">
        <f t="shared" si="5"/>
        <v>12.195067484047135</v>
      </c>
      <c r="I68" s="2">
        <f t="shared" si="5"/>
        <v>5.9765081442791788</v>
      </c>
      <c r="J68" s="2">
        <f t="shared" si="5"/>
        <v>7.6424001559679038</v>
      </c>
      <c r="K68" s="2">
        <f t="shared" si="5"/>
        <v>7.2967930220321717</v>
      </c>
      <c r="L68" s="2">
        <f t="shared" si="5"/>
        <v>9.208245605888699</v>
      </c>
      <c r="M68" s="2">
        <f t="shared" si="5"/>
        <v>9.5802735606467575</v>
      </c>
      <c r="N68" s="2">
        <f t="shared" si="5"/>
        <v>8.2251230769626584</v>
      </c>
      <c r="O68" s="2">
        <f t="shared" si="5"/>
        <v>8.7215756001587419</v>
      </c>
      <c r="P68" s="2">
        <f t="shared" si="5"/>
        <v>5.5685021297871593</v>
      </c>
      <c r="Q68" s="2">
        <f t="shared" si="5"/>
        <v>6.1406969023207418</v>
      </c>
      <c r="R68" s="2">
        <f t="shared" si="5"/>
        <v>5.25661279202044</v>
      </c>
      <c r="S68" s="2">
        <f t="shared" si="5"/>
        <v>4.2199563723872373</v>
      </c>
      <c r="T68" s="2">
        <f t="shared" si="5"/>
        <v>1.8755696852507735</v>
      </c>
      <c r="U68" s="2">
        <f t="shared" si="5"/>
        <v>1.4654576884209738</v>
      </c>
      <c r="V68" s="2">
        <f t="shared" si="5"/>
        <v>2.141619230807589</v>
      </c>
      <c r="W68" s="2">
        <f t="shared" si="5"/>
        <v>0.82729589927990155</v>
      </c>
      <c r="X68" s="2">
        <f t="shared" si="5"/>
        <v>1.0734493473541782</v>
      </c>
      <c r="Y68" s="2">
        <f t="shared" si="5"/>
        <v>0.61589198300447923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3359.3111714688148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1757.7998025313088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1179.1780370293482</v>
      </c>
      <c r="N74" s="2">
        <f>N8/'Output-Calculation-sheet'!N7*'Output-Calculation-sheet'!N61</f>
        <v>48.96753212261742</v>
      </c>
      <c r="O74" s="2">
        <f>O8/'Output-Calculation-sheet'!O7*'Output-Calculation-sheet'!O61</f>
        <v>190.53389503689687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147.31411311786081</v>
      </c>
      <c r="Y74" s="2">
        <f>Y8/'Output-Calculation-sheet'!Y7*'Output-Calculation-sheet'!Y61</f>
        <v>0</v>
      </c>
      <c r="AA74" s="2">
        <f t="shared" si="6"/>
        <v>6.6831045513068474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4560.2387068960224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3090.9937661188815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2096.9551331617954</v>
      </c>
      <c r="N75" s="2">
        <f>N9/'Output-Calculation-sheet'!N8*'Output-Calculation-sheet'!N62</f>
        <v>810.33239950862571</v>
      </c>
      <c r="O75" s="2">
        <f>O9/'Output-Calculation-sheet'!O8*'Output-Calculation-sheet'!O62</f>
        <v>396.089119304902</v>
      </c>
      <c r="P75" s="2">
        <f>P9/'Output-Calculation-sheet'!P8*'Output-Calculation-sheet'!P62</f>
        <v>54.250476808424992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268.03903811125269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253.26161066452778</v>
      </c>
      <c r="Y75" s="2">
        <f>Y9/'Output-Calculation-sheet'!Y8*'Output-Calculation-sheet'!Y62</f>
        <v>0</v>
      </c>
      <c r="AA75" s="2">
        <f t="shared" si="6"/>
        <v>11.530160250574433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6573.5614252289506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4541.1707096239052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3092.5638444204365</v>
      </c>
      <c r="N76" s="2">
        <f>N10/'Output-Calculation-sheet'!N9*'Output-Calculation-sheet'!N63</f>
        <v>1769.5620209522417</v>
      </c>
      <c r="O76" s="2">
        <f>O10/'Output-Calculation-sheet'!O9*'Output-Calculation-sheet'!O63</f>
        <v>653.58939722803655</v>
      </c>
      <c r="P76" s="2">
        <f>P10/'Output-Calculation-sheet'!P9*'Output-Calculation-sheet'!P63</f>
        <v>606.61613803903492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467.12410844117318</v>
      </c>
      <c r="S76" s="2">
        <f>S10/'Output-Calculation-sheet'!S9*'Output-Calculation-sheet'!S63</f>
        <v>784.67106028999513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166.00552969676713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364.16662674052753</v>
      </c>
      <c r="Y76" s="2">
        <f>Y10/'Output-Calculation-sheet'!Y9*'Output-Calculation-sheet'!Y63</f>
        <v>6.9083112091330845</v>
      </c>
      <c r="AA76" s="2">
        <f t="shared" si="6"/>
        <v>26.415768474829285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9099.7090059680631</v>
      </c>
      <c r="D77" s="2">
        <f>D11/'Output-Calculation-sheet'!D10*'Output-Calculation-sheet'!D64</f>
        <v>2129.5449014736114</v>
      </c>
      <c r="E77" s="2">
        <f>E11/'Output-Calculation-sheet'!E10*'Output-Calculation-sheet'!E64</f>
        <v>2655.2523851171022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1128.6464164374972</v>
      </c>
      <c r="H77" s="2">
        <f>H11/'Output-Calculation-sheet'!H10*'Output-Calculation-sheet'!H64</f>
        <v>5647.2633795137344</v>
      </c>
      <c r="I77" s="2">
        <f>I11/'Output-Calculation-sheet'!I10*'Output-Calculation-sheet'!I64</f>
        <v>663.2697591458317</v>
      </c>
      <c r="J77" s="2">
        <f>J11/'Output-Calculation-sheet'!J10*'Output-Calculation-sheet'!J64</f>
        <v>464.52789391728885</v>
      </c>
      <c r="K77" s="2">
        <f>K11/'Output-Calculation-sheet'!K10*'Output-Calculation-sheet'!K64</f>
        <v>1010.1294614116219</v>
      </c>
      <c r="L77" s="2">
        <f>L11/'Output-Calculation-sheet'!L10*'Output-Calculation-sheet'!L64</f>
        <v>415.78238068382194</v>
      </c>
      <c r="M77" s="2">
        <f>M11/'Output-Calculation-sheet'!M10*'Output-Calculation-sheet'!M64</f>
        <v>4033.6647532383809</v>
      </c>
      <c r="N77" s="2">
        <f>N11/'Output-Calculation-sheet'!N10*'Output-Calculation-sheet'!N64</f>
        <v>2839.9524761946736</v>
      </c>
      <c r="O77" s="2">
        <f>O11/'Output-Calculation-sheet'!O10*'Output-Calculation-sheet'!O64</f>
        <v>1034.2456742789907</v>
      </c>
      <c r="P77" s="2">
        <f>P11/'Output-Calculation-sheet'!P10*'Output-Calculation-sheet'!P64</f>
        <v>1259.195524016732</v>
      </c>
      <c r="Q77" s="2">
        <f>Q11/'Output-Calculation-sheet'!Q10*'Output-Calculation-sheet'!Q64</f>
        <v>886.62496110230688</v>
      </c>
      <c r="R77" s="2">
        <f>R11/'Output-Calculation-sheet'!R10*'Output-Calculation-sheet'!R64</f>
        <v>1072.680735115935</v>
      </c>
      <c r="S77" s="2">
        <f>S11/'Output-Calculation-sheet'!S10*'Output-Calculation-sheet'!S64</f>
        <v>1428.1133958829053</v>
      </c>
      <c r="T77" s="2">
        <f>T11/'Output-Calculation-sheet'!T10*'Output-Calculation-sheet'!T64</f>
        <v>295.6540605047237</v>
      </c>
      <c r="U77" s="2">
        <f>U11/'Output-Calculation-sheet'!U10*'Output-Calculation-sheet'!U64</f>
        <v>313.7916058048624</v>
      </c>
      <c r="V77" s="2">
        <f>V11/'Output-Calculation-sheet'!V10*'Output-Calculation-sheet'!V64</f>
        <v>156.37775155244432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403.77849151367525</v>
      </c>
      <c r="Y77" s="2">
        <f>Y11/'Output-Calculation-sheet'!Y10*'Output-Calculation-sheet'!Y64</f>
        <v>98.195748255702895</v>
      </c>
      <c r="AA77" s="2">
        <f t="shared" si="6"/>
        <v>54.640663120885861</v>
      </c>
    </row>
    <row r="78" spans="1:27" x14ac:dyDescent="0.25">
      <c r="A78" s="2">
        <v>2035</v>
      </c>
      <c r="B78" s="2">
        <f>B12/'Output-Calculation-sheet'!B11*'Output-Calculation-sheet'!B65</f>
        <v>17963.385084776932</v>
      </c>
      <c r="C78" s="2">
        <f>C12/'Output-Calculation-sheet'!C11*'Output-Calculation-sheet'!C65</f>
        <v>13921.132898681355</v>
      </c>
      <c r="D78" s="2">
        <f>D12/'Output-Calculation-sheet'!D11*'Output-Calculation-sheet'!D65</f>
        <v>2399.5988453794271</v>
      </c>
      <c r="E78" s="2">
        <f>E12/'Output-Calculation-sheet'!E11*'Output-Calculation-sheet'!E65</f>
        <v>4158.091080421158</v>
      </c>
      <c r="F78" s="2">
        <f>F12/'Output-Calculation-sheet'!F11*'Output-Calculation-sheet'!F65</f>
        <v>532.11281820656438</v>
      </c>
      <c r="G78" s="2">
        <f>G12/'Output-Calculation-sheet'!G11*'Output-Calculation-sheet'!G65</f>
        <v>1053.7555387100742</v>
      </c>
      <c r="H78" s="2">
        <f>H12/'Output-Calculation-sheet'!H11*'Output-Calculation-sheet'!H65</f>
        <v>5714.0560755878805</v>
      </c>
      <c r="I78" s="2">
        <f>I12/'Output-Calculation-sheet'!I11*'Output-Calculation-sheet'!I65</f>
        <v>697.89272296423087</v>
      </c>
      <c r="J78" s="2">
        <f>J12/'Output-Calculation-sheet'!J11*'Output-Calculation-sheet'!J65</f>
        <v>1010.1319528599229</v>
      </c>
      <c r="K78" s="2">
        <f>K12/'Output-Calculation-sheet'!K11*'Output-Calculation-sheet'!K65</f>
        <v>1265.9530665397594</v>
      </c>
      <c r="L78" s="2">
        <f>L12/'Output-Calculation-sheet'!L11*'Output-Calculation-sheet'!L65</f>
        <v>1073.8975464243331</v>
      </c>
      <c r="M78" s="2">
        <f>M12/'Output-Calculation-sheet'!M11*'Output-Calculation-sheet'!M65</f>
        <v>4163.5982041173502</v>
      </c>
      <c r="N78" s="2">
        <f>N12/'Output-Calculation-sheet'!N11*'Output-Calculation-sheet'!N65</f>
        <v>2953.2480874327061</v>
      </c>
      <c r="O78" s="2">
        <f>O12/'Output-Calculation-sheet'!O11*'Output-Calculation-sheet'!O65</f>
        <v>1657.9361704915671</v>
      </c>
      <c r="P78" s="2">
        <f>P12/'Output-Calculation-sheet'!P11*'Output-Calculation-sheet'!P65</f>
        <v>1450.075539132763</v>
      </c>
      <c r="Q78" s="2">
        <f>Q12/'Output-Calculation-sheet'!Q11*'Output-Calculation-sheet'!Q65</f>
        <v>998.23567832155663</v>
      </c>
      <c r="R78" s="2">
        <f>R12/'Output-Calculation-sheet'!R11*'Output-Calculation-sheet'!R65</f>
        <v>1351.2905019009202</v>
      </c>
      <c r="S78" s="2">
        <f>S12/'Output-Calculation-sheet'!S11*'Output-Calculation-sheet'!S65</f>
        <v>1408.105134037128</v>
      </c>
      <c r="T78" s="2">
        <f>T12/'Output-Calculation-sheet'!T11*'Output-Calculation-sheet'!T65</f>
        <v>466.12839615545363</v>
      </c>
      <c r="U78" s="2">
        <f>U12/'Output-Calculation-sheet'!U11*'Output-Calculation-sheet'!U65</f>
        <v>318.89968529223586</v>
      </c>
      <c r="V78" s="2">
        <f>V12/'Output-Calculation-sheet'!V11*'Output-Calculation-sheet'!V65</f>
        <v>261.73190709892884</v>
      </c>
      <c r="W78" s="2">
        <f>W12/'Output-Calculation-sheet'!W11*'Output-Calculation-sheet'!W65</f>
        <v>126.04409365887447</v>
      </c>
      <c r="X78" s="2">
        <f>X12/'Output-Calculation-sheet'!X11*'Output-Calculation-sheet'!X65</f>
        <v>407.60149647524884</v>
      </c>
      <c r="Y78" s="2">
        <f>Y12/'Output-Calculation-sheet'!Y11*'Output-Calculation-sheet'!Y65</f>
        <v>111.52091891409637</v>
      </c>
      <c r="AA78" s="2">
        <f t="shared" si="6"/>
        <v>65.464423443580458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320.89197969835209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83.12090524022112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0.40401288493857324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600.67951037909609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116.69586921952214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0.71737537959861819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771.15255447881952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149.81419557488616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0.92096675005370576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795.15108405872616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40.795377988093058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154.4764642571493</v>
      </c>
      <c r="P88" s="2">
        <f>P11/'Output-Calculation-sheet'!P10*'Output-Calculation-sheet'!P73</f>
        <v>0</v>
      </c>
      <c r="Q88" s="2">
        <f>Q11/'Output-Calculation-sheet'!Q10*'Output-Calculation-sheet'!Q73</f>
        <v>24.172549990520647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7.7125204199199331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3.0794811698813693</v>
      </c>
      <c r="Y88" s="2">
        <f>Y11/'Output-Calculation-sheet'!Y10*'Output-Calculation-sheet'!Y73</f>
        <v>0</v>
      </c>
      <c r="AA88" s="2">
        <f t="shared" si="7"/>
        <v>1.0253874778842906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663.38493679682415</v>
      </c>
      <c r="D89" s="2">
        <f>D12/'Output-Calculation-sheet'!D11*'Output-Calculation-sheet'!D74</f>
        <v>117.52945317036915</v>
      </c>
      <c r="E89" s="2">
        <f>E12/'Output-Calculation-sheet'!E11*'Output-Calculation-sheet'!E74</f>
        <v>186.80913270980335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42.160340030010168</v>
      </c>
      <c r="H89" s="2">
        <f>H12/'Output-Calculation-sheet'!H11*'Output-Calculation-sheet'!H74</f>
        <v>81.684217625947142</v>
      </c>
      <c r="I89" s="2">
        <f>I12/'Output-Calculation-sheet'!I11*'Output-Calculation-sheet'!I74</f>
        <v>37.920708702685879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37.270087630340022</v>
      </c>
      <c r="L89" s="2">
        <f>L12/'Output-Calculation-sheet'!L11*'Output-Calculation-sheet'!L74</f>
        <v>29.635387764559233</v>
      </c>
      <c r="M89" s="2">
        <f>M12/'Output-Calculation-sheet'!M11*'Output-Calculation-sheet'!M74</f>
        <v>56.206734985013469</v>
      </c>
      <c r="N89" s="2">
        <f>N12/'Output-Calculation-sheet'!N11*'Output-Calculation-sheet'!N74</f>
        <v>27.621100705506045</v>
      </c>
      <c r="O89" s="2">
        <f>O12/'Output-Calculation-sheet'!O11*'Output-Calculation-sheet'!O74</f>
        <v>128.87784665367735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24.200239480267559</v>
      </c>
      <c r="R89" s="2">
        <f>R12/'Output-Calculation-sheet'!R11*'Output-Calculation-sheet'!R74</f>
        <v>23.999049868591626</v>
      </c>
      <c r="S89" s="2">
        <f>S12/'Output-Calculation-sheet'!S11*'Output-Calculation-sheet'!S74</f>
        <v>31.666650940306248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7.7213550590115458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12.332034777518892</v>
      </c>
      <c r="Y89" s="2">
        <f>Y12/'Output-Calculation-sheet'!Y11*'Output-Calculation-sheet'!Y74</f>
        <v>5.9503211457740033</v>
      </c>
      <c r="AA89" s="2">
        <f t="shared" si="7"/>
        <v>2.2413503298837365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9945232235.094532</v>
      </c>
      <c r="C96" s="2">
        <f>C8/'Output-Calculation-sheet'!C7*'Output-Calculation-sheet'!C79</f>
        <v>2401606918.7792187</v>
      </c>
      <c r="D96" s="2">
        <f>D8/'Output-Calculation-sheet'!D7*'Output-Calculation-sheet'!D79</f>
        <v>1949747523.3616042</v>
      </c>
      <c r="E96" s="2">
        <f>E8/'Output-Calculation-sheet'!E7*'Output-Calculation-sheet'!E79</f>
        <v>7304994681.4059324</v>
      </c>
      <c r="F96" s="2">
        <f>F8/'Output-Calculation-sheet'!F7*'Output-Calculation-sheet'!F79</f>
        <v>2130978729.1845841</v>
      </c>
      <c r="G96" s="2">
        <f>G8/'Output-Calculation-sheet'!G7*'Output-Calculation-sheet'!G79</f>
        <v>1367781452.6338513</v>
      </c>
      <c r="H96" s="2">
        <f>H8/'Output-Calculation-sheet'!H7*'Output-Calculation-sheet'!H79</f>
        <v>1685059126.0911093</v>
      </c>
      <c r="I96" s="2">
        <f>I8/'Output-Calculation-sheet'!I7*'Output-Calculation-sheet'!I79</f>
        <v>983567887.45431638</v>
      </c>
      <c r="J96" s="2">
        <f>J8/'Output-Calculation-sheet'!J7*'Output-Calculation-sheet'!J79</f>
        <v>745351759.21132469</v>
      </c>
      <c r="K96" s="2">
        <f>K8/'Output-Calculation-sheet'!K7*'Output-Calculation-sheet'!K79</f>
        <v>934767679.05309486</v>
      </c>
      <c r="L96" s="2">
        <f>L8/'Output-Calculation-sheet'!L7*'Output-Calculation-sheet'!L79</f>
        <v>848607747.50994766</v>
      </c>
      <c r="M96" s="2">
        <f>M8/'Output-Calculation-sheet'!M7*'Output-Calculation-sheet'!M79</f>
        <v>1300184428.4930253</v>
      </c>
      <c r="N96" s="2">
        <f>N8/'Output-Calculation-sheet'!N7*'Output-Calculation-sheet'!N79</f>
        <v>845207662.23104453</v>
      </c>
      <c r="O96" s="2">
        <f>O8/'Output-Calculation-sheet'!O7*'Output-Calculation-sheet'!O79</f>
        <v>317140125.26032895</v>
      </c>
      <c r="P96" s="2">
        <f>P8/'Output-Calculation-sheet'!P7*'Output-Calculation-sheet'!P79</f>
        <v>1609705782.2425458</v>
      </c>
      <c r="Q96" s="2">
        <f>Q8/'Output-Calculation-sheet'!Q7*'Output-Calculation-sheet'!Q79</f>
        <v>683429933.57807231</v>
      </c>
      <c r="R96" s="2">
        <f>R8/'Output-Calculation-sheet'!R7*'Output-Calculation-sheet'!R79</f>
        <v>907102874.62422085</v>
      </c>
      <c r="S96" s="2">
        <f>S8/'Output-Calculation-sheet'!S7*'Output-Calculation-sheet'!S79</f>
        <v>511570448.38301921</v>
      </c>
      <c r="T96" s="2">
        <f>T8/'Output-Calculation-sheet'!T7*'Output-Calculation-sheet'!T79</f>
        <v>308621111.70134348</v>
      </c>
      <c r="U96" s="2">
        <f>U8/'Output-Calculation-sheet'!U7*'Output-Calculation-sheet'!U79</f>
        <v>242923069.15905595</v>
      </c>
      <c r="V96" s="2">
        <f>V8/'Output-Calculation-sheet'!V7*'Output-Calculation-sheet'!V79</f>
        <v>111493713.04064594</v>
      </c>
      <c r="W96" s="2">
        <f>W8/'Output-Calculation-sheet'!W7*'Output-Calculation-sheet'!W79</f>
        <v>343276323.30133218</v>
      </c>
      <c r="X96" s="2">
        <f>X8/'Output-Calculation-sheet'!X7*'Output-Calculation-sheet'!X79</f>
        <v>154825221.52422029</v>
      </c>
      <c r="Y96" s="2">
        <f>Y8/'Output-Calculation-sheet'!Y7*'Output-Calculation-sheet'!Y79</f>
        <v>213067860.63300508</v>
      </c>
      <c r="AA96" s="2">
        <f t="shared" si="8"/>
        <v>37.846244293951379</v>
      </c>
    </row>
    <row r="97" spans="1:27" x14ac:dyDescent="0.25">
      <c r="A97" s="2">
        <v>2032</v>
      </c>
      <c r="B97" s="2">
        <f>B9/'Output-Calculation-sheet'!B8*'Output-Calculation-sheet'!B80</f>
        <v>12803392135.626316</v>
      </c>
      <c r="C97" s="2">
        <f>C9/'Output-Calculation-sheet'!C8*'Output-Calculation-sheet'!C80</f>
        <v>3023928777.5602379</v>
      </c>
      <c r="D97" s="2">
        <f>D9/'Output-Calculation-sheet'!D8*'Output-Calculation-sheet'!D80</f>
        <v>2309953971.5510716</v>
      </c>
      <c r="E97" s="2">
        <f>E9/'Output-Calculation-sheet'!E8*'Output-Calculation-sheet'!E80</f>
        <v>9724566912.2578316</v>
      </c>
      <c r="F97" s="2">
        <f>F9/'Output-Calculation-sheet'!F8*'Output-Calculation-sheet'!F80</f>
        <v>2666812044.6597476</v>
      </c>
      <c r="G97" s="2">
        <f>G9/'Output-Calculation-sheet'!G8*'Output-Calculation-sheet'!G80</f>
        <v>1634076059.6739385</v>
      </c>
      <c r="H97" s="2">
        <f>H9/'Output-Calculation-sheet'!H8*'Output-Calculation-sheet'!H80</f>
        <v>2139589198.4563575</v>
      </c>
      <c r="I97" s="2">
        <f>I9/'Output-Calculation-sheet'!I8*'Output-Calculation-sheet'!I80</f>
        <v>1232403061.5443859</v>
      </c>
      <c r="J97" s="2">
        <f>J9/'Output-Calculation-sheet'!J8*'Output-Calculation-sheet'!J80</f>
        <v>920947610.25887764</v>
      </c>
      <c r="K97" s="2">
        <f>K9/'Output-Calculation-sheet'!K8*'Output-Calculation-sheet'!K80</f>
        <v>1135839997.505069</v>
      </c>
      <c r="L97" s="2">
        <f>L9/'Output-Calculation-sheet'!L8*'Output-Calculation-sheet'!L80</f>
        <v>1095593757.3793099</v>
      </c>
      <c r="M97" s="2">
        <f>M9/'Output-Calculation-sheet'!M8*'Output-Calculation-sheet'!M80</f>
        <v>1687992262.7525988</v>
      </c>
      <c r="N97" s="2">
        <f>N9/'Output-Calculation-sheet'!N8*'Output-Calculation-sheet'!N80</f>
        <v>1060575799.7091038</v>
      </c>
      <c r="O97" s="2">
        <f>O9/'Output-Calculation-sheet'!O8*'Output-Calculation-sheet'!O80</f>
        <v>394235288.72648066</v>
      </c>
      <c r="P97" s="2">
        <f>P9/'Output-Calculation-sheet'!P8*'Output-Calculation-sheet'!P80</f>
        <v>1988313015.1402905</v>
      </c>
      <c r="Q97" s="2">
        <f>Q9/'Output-Calculation-sheet'!Q8*'Output-Calculation-sheet'!Q80</f>
        <v>860016037.87132776</v>
      </c>
      <c r="R97" s="2">
        <f>R9/'Output-Calculation-sheet'!R8*'Output-Calculation-sheet'!R80</f>
        <v>1152425309.6018255</v>
      </c>
      <c r="S97" s="2">
        <f>S9/'Output-Calculation-sheet'!S8*'Output-Calculation-sheet'!S80</f>
        <v>641397232.11947989</v>
      </c>
      <c r="T97" s="2">
        <f>T9/'Output-Calculation-sheet'!T8*'Output-Calculation-sheet'!T80</f>
        <v>373996008.00445622</v>
      </c>
      <c r="U97" s="2">
        <f>U9/'Output-Calculation-sheet'!U8*'Output-Calculation-sheet'!U80</f>
        <v>297596739.56420189</v>
      </c>
      <c r="V97" s="2">
        <f>V9/'Output-Calculation-sheet'!V8*'Output-Calculation-sheet'!V80</f>
        <v>137269483.42823645</v>
      </c>
      <c r="W97" s="2">
        <f>W9/'Output-Calculation-sheet'!W8*'Output-Calculation-sheet'!W80</f>
        <v>424775576.68586028</v>
      </c>
      <c r="X97" s="2">
        <f>X9/'Output-Calculation-sheet'!X8*'Output-Calculation-sheet'!X80</f>
        <v>205732828.85534</v>
      </c>
      <c r="Y97" s="2">
        <f>Y9/'Output-Calculation-sheet'!Y8*'Output-Calculation-sheet'!Y80</f>
        <v>270066492.39101261</v>
      </c>
      <c r="AA97" s="2">
        <f t="shared" si="8"/>
        <v>48.181495601323356</v>
      </c>
    </row>
    <row r="98" spans="1:27" x14ac:dyDescent="0.25">
      <c r="A98" s="2">
        <v>2033</v>
      </c>
      <c r="B98" s="2">
        <f>B10/'Output-Calculation-sheet'!B9*'Output-Calculation-sheet'!B81</f>
        <v>14993977117.343445</v>
      </c>
      <c r="C98" s="2">
        <f>C10/'Output-Calculation-sheet'!C9*'Output-Calculation-sheet'!C81</f>
        <v>3472016697.2173176</v>
      </c>
      <c r="D98" s="2">
        <f>D10/'Output-Calculation-sheet'!D9*'Output-Calculation-sheet'!D81</f>
        <v>2497758586.5646729</v>
      </c>
      <c r="E98" s="2">
        <f>E10/'Output-Calculation-sheet'!E9*'Output-Calculation-sheet'!E81</f>
        <v>11790375533.072767</v>
      </c>
      <c r="F98" s="2">
        <f>F10/'Output-Calculation-sheet'!F9*'Output-Calculation-sheet'!F81</f>
        <v>3037796789.3382545</v>
      </c>
      <c r="G98" s="2">
        <f>G10/'Output-Calculation-sheet'!G9*'Output-Calculation-sheet'!G81</f>
        <v>1774743154.6443617</v>
      </c>
      <c r="H98" s="2">
        <f>H10/'Output-Calculation-sheet'!H9*'Output-Calculation-sheet'!H81</f>
        <v>2470714961.6313739</v>
      </c>
      <c r="I98" s="2">
        <f>I10/'Output-Calculation-sheet'!I9*'Output-Calculation-sheet'!I81</f>
        <v>1408042787.1193724</v>
      </c>
      <c r="J98" s="2">
        <f>J10/'Output-Calculation-sheet'!J9*'Output-Calculation-sheet'!J81</f>
        <v>1038704354.6185578</v>
      </c>
      <c r="K98" s="2">
        <f>K10/'Output-Calculation-sheet'!K9*'Output-Calculation-sheet'!K81</f>
        <v>1257818703.4441016</v>
      </c>
      <c r="L98" s="2">
        <f>L10/'Output-Calculation-sheet'!L9*'Output-Calculation-sheet'!L81</f>
        <v>1289138092.2981889</v>
      </c>
      <c r="M98" s="2">
        <f>M10/'Output-Calculation-sheet'!M9*'Output-Calculation-sheet'!M81</f>
        <v>1997703899.7139857</v>
      </c>
      <c r="N98" s="2">
        <f>N10/'Output-Calculation-sheet'!N9*'Output-Calculation-sheet'!N81</f>
        <v>1214035135.8180175</v>
      </c>
      <c r="O98" s="2">
        <f>O10/'Output-Calculation-sheet'!O9*'Output-Calculation-sheet'!O81</f>
        <v>447772657.82465041</v>
      </c>
      <c r="P98" s="2">
        <f>P10/'Output-Calculation-sheet'!P9*'Output-Calculation-sheet'!P81</f>
        <v>2221404518.3243074</v>
      </c>
      <c r="Q98" s="2">
        <f>Q10/'Output-Calculation-sheet'!Q9*'Output-Calculation-sheet'!Q81</f>
        <v>987044137.50947404</v>
      </c>
      <c r="R98" s="2">
        <f>R10/'Output-Calculation-sheet'!R9*'Output-Calculation-sheet'!R81</f>
        <v>1332286871.2803056</v>
      </c>
      <c r="S98" s="2">
        <f>S10/'Output-Calculation-sheet'!S9*'Output-Calculation-sheet'!S81</f>
        <v>731692151.34398603</v>
      </c>
      <c r="T98" s="2">
        <f>T10/'Output-Calculation-sheet'!T9*'Output-Calculation-sheet'!T81</f>
        <v>412246816.8062163</v>
      </c>
      <c r="U98" s="2">
        <f>U10/'Output-Calculation-sheet'!U9*'Output-Calculation-sheet'!U81</f>
        <v>331252388.54208148</v>
      </c>
      <c r="V98" s="2">
        <f>V10/'Output-Calculation-sheet'!V9*'Output-Calculation-sheet'!V81</f>
        <v>153849543.62300488</v>
      </c>
      <c r="W98" s="2">
        <f>W10/'Output-Calculation-sheet'!W9*'Output-Calculation-sheet'!W81</f>
        <v>475776437.14814281</v>
      </c>
      <c r="X98" s="2">
        <f>X10/'Output-Calculation-sheet'!X9*'Output-Calculation-sheet'!X81</f>
        <v>249419674.65651649</v>
      </c>
      <c r="Y98" s="2">
        <f>Y10/'Output-Calculation-sheet'!Y9*'Output-Calculation-sheet'!Y81</f>
        <v>310521815.99640554</v>
      </c>
      <c r="AA98" s="2">
        <f t="shared" si="8"/>
        <v>55.896092825879506</v>
      </c>
    </row>
    <row r="99" spans="1:27" x14ac:dyDescent="0.25">
      <c r="A99" s="2">
        <v>2034</v>
      </c>
      <c r="B99" s="2">
        <f>B11/'Output-Calculation-sheet'!B10*'Output-Calculation-sheet'!B82</f>
        <v>16367193628.655226</v>
      </c>
      <c r="C99" s="2">
        <f>C11/'Output-Calculation-sheet'!C10*'Output-Calculation-sheet'!C82</f>
        <v>3725710885.1487174</v>
      </c>
      <c r="D99" s="2">
        <f>D11/'Output-Calculation-sheet'!D10*'Output-Calculation-sheet'!D82</f>
        <v>2527257955.9449635</v>
      </c>
      <c r="E99" s="2">
        <f>E11/'Output-Calculation-sheet'!E10*'Output-Calculation-sheet'!E82</f>
        <v>13338435509.192047</v>
      </c>
      <c r="F99" s="2">
        <f>F11/'Output-Calculation-sheet'!F10*'Output-Calculation-sheet'!F82</f>
        <v>3228650818.1305709</v>
      </c>
      <c r="G99" s="2">
        <f>G11/'Output-Calculation-sheet'!G10*'Output-Calculation-sheet'!G82</f>
        <v>1796938927.2251816</v>
      </c>
      <c r="H99" s="2">
        <f>H11/'Output-Calculation-sheet'!H10*'Output-Calculation-sheet'!H82</f>
        <v>2659001125.9783578</v>
      </c>
      <c r="I99" s="2">
        <f>I11/'Output-Calculation-sheet'!I10*'Output-Calculation-sheet'!I82</f>
        <v>1503550842.6032979</v>
      </c>
      <c r="J99" s="2">
        <f>J11/'Output-Calculation-sheet'!J10*'Output-Calculation-sheet'!J82</f>
        <v>1096081155.4759195</v>
      </c>
      <c r="K99" s="2">
        <f>K11/'Output-Calculation-sheet'!K10*'Output-Calculation-sheet'!K82</f>
        <v>1301437560.0037007</v>
      </c>
      <c r="L99" s="2">
        <f>L11/'Output-Calculation-sheet'!L10*'Output-Calculation-sheet'!L82</f>
        <v>1416727695.6428263</v>
      </c>
      <c r="M99" s="2">
        <f>M11/'Output-Calculation-sheet'!M10*'Output-Calculation-sheet'!M82</f>
        <v>2208465278.2086091</v>
      </c>
      <c r="N99" s="2">
        <f>N11/'Output-Calculation-sheet'!N10*'Output-Calculation-sheet'!N82</f>
        <v>1299397168.5916774</v>
      </c>
      <c r="O99" s="2">
        <f>O11/'Output-Calculation-sheet'!O10*'Output-Calculation-sheet'!O82</f>
        <v>476226995.45283145</v>
      </c>
      <c r="P99" s="2">
        <f>P11/'Output-Calculation-sheet'!P10*'Output-Calculation-sheet'!P82</f>
        <v>2301900867.8568439</v>
      </c>
      <c r="Q99" s="2">
        <f>Q11/'Output-Calculation-sheet'!Q10*'Output-Calculation-sheet'!Q82</f>
        <v>1058849303.5492684</v>
      </c>
      <c r="R99" s="2">
        <f>R11/'Output-Calculation-sheet'!R10*'Output-Calculation-sheet'!R82</f>
        <v>1436301477.6841238</v>
      </c>
      <c r="S99" s="2">
        <f>S11/'Output-Calculation-sheet'!S10*'Output-Calculation-sheet'!S82</f>
        <v>778354538.23934484</v>
      </c>
      <c r="T99" s="2">
        <f>T11/'Output-Calculation-sheet'!T10*'Output-Calculation-sheet'!T82</f>
        <v>423846794.79309928</v>
      </c>
      <c r="U99" s="2">
        <f>U11/'Output-Calculation-sheet'!U10*'Output-Calculation-sheet'!U82</f>
        <v>343499925.96157718</v>
      </c>
      <c r="V99" s="2">
        <f>V11/'Output-Calculation-sheet'!V10*'Output-Calculation-sheet'!V82</f>
        <v>160903161.32783249</v>
      </c>
      <c r="W99" s="2">
        <f>W11/'Output-Calculation-sheet'!W10*'Output-Calculation-sheet'!W82</f>
        <v>494612144.67473698</v>
      </c>
      <c r="X99" s="2">
        <f>X11/'Output-Calculation-sheet'!X10*'Output-Calculation-sheet'!X82</f>
        <v>282691598.19929641</v>
      </c>
      <c r="Y99" s="2">
        <f>Y11/'Output-Calculation-sheet'!Y10*'Output-Calculation-sheet'!Y82</f>
        <v>331986502.46838266</v>
      </c>
      <c r="AA99" s="2">
        <f t="shared" si="8"/>
        <v>60.558021861008427</v>
      </c>
    </row>
    <row r="100" spans="1:27" x14ac:dyDescent="0.25">
      <c r="A100" s="2">
        <v>2035</v>
      </c>
      <c r="B100" s="2">
        <f>B12/'Output-Calculation-sheet'!B11*'Output-Calculation-sheet'!B83</f>
        <v>16903103688.017637</v>
      </c>
      <c r="C100" s="2">
        <f>C12/'Output-Calculation-sheet'!C11*'Output-Calculation-sheet'!C83</f>
        <v>3793107698.6963754</v>
      </c>
      <c r="D100" s="2">
        <f>D12/'Output-Calculation-sheet'!D11*'Output-Calculation-sheet'!D83</f>
        <v>2429801564.2551484</v>
      </c>
      <c r="E100" s="2">
        <f>E12/'Output-Calculation-sheet'!E11*'Output-Calculation-sheet'!E83</f>
        <v>14288610240.424261</v>
      </c>
      <c r="F100" s="2">
        <f>F12/'Output-Calculation-sheet'!F11*'Output-Calculation-sheet'!F83</f>
        <v>3250830413.5590181</v>
      </c>
      <c r="G100" s="2">
        <f>G12/'Output-Calculation-sheet'!G11*'Output-Calculation-sheet'!G83</f>
        <v>1722833810.9353311</v>
      </c>
      <c r="H100" s="2">
        <f>H12/'Output-Calculation-sheet'!H11*'Output-Calculation-sheet'!H83</f>
        <v>2707268193.1985288</v>
      </c>
      <c r="I100" s="2">
        <f>I12/'Output-Calculation-sheet'!I11*'Output-Calculation-sheet'!I83</f>
        <v>1523516044.2942407</v>
      </c>
      <c r="J100" s="2">
        <f>J12/'Output-Calculation-sheet'!J11*'Output-Calculation-sheet'!J83</f>
        <v>1098638216.4097693</v>
      </c>
      <c r="K100" s="2">
        <f>K12/'Output-Calculation-sheet'!K11*'Output-Calculation-sheet'!K83</f>
        <v>1277612268.0531588</v>
      </c>
      <c r="L100" s="2">
        <f>L12/'Output-Calculation-sheet'!L11*'Output-Calculation-sheet'!L83</f>
        <v>1476084728.1469638</v>
      </c>
      <c r="M100" s="2">
        <f>M12/'Output-Calculation-sheet'!M11*'Output-Calculation-sheet'!M83</f>
        <v>2314838408.0473895</v>
      </c>
      <c r="N100" s="2">
        <f>N12/'Output-Calculation-sheet'!N11*'Output-Calculation-sheet'!N83</f>
        <v>1320207683.8981218</v>
      </c>
      <c r="O100" s="2">
        <f>O12/'Output-Calculation-sheet'!O11*'Output-Calculation-sheet'!O83</f>
        <v>481438919.27210355</v>
      </c>
      <c r="P100" s="2">
        <f>P12/'Output-Calculation-sheet'!P11*'Output-Calculation-sheet'!P83</f>
        <v>2247608154.7337246</v>
      </c>
      <c r="Q100" s="2">
        <f>Q12/'Output-Calculation-sheet'!Q11*'Output-Calculation-sheet'!Q83</f>
        <v>1077729834.9783134</v>
      </c>
      <c r="R100" s="2">
        <f>R12/'Output-Calculation-sheet'!R11*'Output-Calculation-sheet'!R83</f>
        <v>1465790208.8144693</v>
      </c>
      <c r="S100" s="2">
        <f>S12/'Output-Calculation-sheet'!S11*'Output-Calculation-sheet'!S83</f>
        <v>783830677.39898682</v>
      </c>
      <c r="T100" s="2">
        <f>T12/'Output-Calculation-sheet'!T11*'Output-Calculation-sheet'!T83</f>
        <v>412846241.98587543</v>
      </c>
      <c r="U100" s="2">
        <f>U12/'Output-Calculation-sheet'!U11*'Output-Calculation-sheet'!U83</f>
        <v>337029967.46564907</v>
      </c>
      <c r="V100" s="2">
        <f>V12/'Output-Calculation-sheet'!V11*'Output-Calculation-sheet'!V83</f>
        <v>159438730.4858833</v>
      </c>
      <c r="W100" s="2">
        <f>W12/'Output-Calculation-sheet'!W11*'Output-Calculation-sheet'!W83</f>
        <v>484800858.82299387</v>
      </c>
      <c r="X100" s="2">
        <f>X12/'Output-Calculation-sheet'!X11*'Output-Calculation-sheet'!X83</f>
        <v>304025075.50982404</v>
      </c>
      <c r="Y100" s="2">
        <f>Y12/'Output-Calculation-sheet'!Y11*'Output-Calculation-sheet'!Y83</f>
        <v>335128037.25113761</v>
      </c>
      <c r="AA100" s="2">
        <f t="shared" si="8"/>
        <v>62.19611966465493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1651214620.4419003</v>
      </c>
      <c r="C107" s="2">
        <f>C8/'Output-Calculation-sheet'!C7*'Output-Calculation-sheet'!C88</f>
        <v>21292915669.676029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8484570542.9687405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5853644140.9956226</v>
      </c>
      <c r="N107" s="2">
        <f>N8/'Output-Calculation-sheet'!N7*'Output-Calculation-sheet'!N88</f>
        <v>1954130981.9065859</v>
      </c>
      <c r="O107" s="2">
        <f>O8/'Output-Calculation-sheet'!O7*'Output-Calculation-sheet'!O88</f>
        <v>3354761813.5179553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587093282.68633533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633951020.99943221</v>
      </c>
      <c r="Y107" s="2">
        <f>Y8/'Output-Calculation-sheet'!Y7*'Output-Calculation-sheet'!Y88</f>
        <v>0</v>
      </c>
      <c r="AA107" s="2">
        <f t="shared" si="9"/>
        <v>43812.282073192597</v>
      </c>
    </row>
    <row r="108" spans="1:27" x14ac:dyDescent="0.25">
      <c r="A108" s="2">
        <v>2032</v>
      </c>
      <c r="B108" s="2">
        <f>B9/'Output-Calculation-sheet'!B8*'Output-Calculation-sheet'!B89</f>
        <v>7616278520.2078314</v>
      </c>
      <c r="C108" s="2">
        <f>C9/'Output-Calculation-sheet'!C8*'Output-Calculation-sheet'!C89</f>
        <v>25872131490.522614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11911838362.977962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8218132699.2091284</v>
      </c>
      <c r="N108" s="2">
        <f>N9/'Output-Calculation-sheet'!N8*'Output-Calculation-sheet'!N89</f>
        <v>3867281364.3438234</v>
      </c>
      <c r="O108" s="2">
        <f>O9/'Output-Calculation-sheet'!O8*'Output-Calculation-sheet'!O89</f>
        <v>4140385777.3303361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1150848176.1044538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890048336.13384247</v>
      </c>
      <c r="Y108" s="2">
        <f>Y9/'Output-Calculation-sheet'!Y8*'Output-Calculation-sheet'!Y89</f>
        <v>0</v>
      </c>
      <c r="AA108" s="2">
        <f t="shared" si="9"/>
        <v>63666.944726829992</v>
      </c>
    </row>
    <row r="109" spans="1:27" x14ac:dyDescent="0.25">
      <c r="A109" s="2">
        <v>2033</v>
      </c>
      <c r="B109" s="2">
        <f>B10/'Output-Calculation-sheet'!B9*'Output-Calculation-sheet'!B90</f>
        <v>20897772100.837929</v>
      </c>
      <c r="C109" s="2">
        <f>C10/'Output-Calculation-sheet'!C9*'Output-Calculation-sheet'!C90</f>
        <v>30825011156.787785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15292880981.64982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10550758914.331932</v>
      </c>
      <c r="N109" s="2">
        <f>N10/'Output-Calculation-sheet'!N9*'Output-Calculation-sheet'!N90</f>
        <v>6215263175.5823002</v>
      </c>
      <c r="O109" s="2">
        <f>O10/'Output-Calculation-sheet'!O9*'Output-Calculation-sheet'!O90</f>
        <v>4815477688.3635654</v>
      </c>
      <c r="P109" s="2">
        <f>P10/'Output-Calculation-sheet'!P9*'Output-Calculation-sheet'!P90</f>
        <v>0</v>
      </c>
      <c r="Q109" s="2">
        <f>Q10/'Output-Calculation-sheet'!Q9*'Output-Calculation-sheet'!Q90</f>
        <v>202286069.95637044</v>
      </c>
      <c r="R109" s="2">
        <f>R10/'Output-Calculation-sheet'!R9*'Output-Calculation-sheet'!R90</f>
        <v>-4.1679196815474806E-7</v>
      </c>
      <c r="S109" s="2">
        <f>S10/'Output-Calculation-sheet'!S9*'Output-Calculation-sheet'!S90</f>
        <v>2498312040.0190749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1142679112.1889179</v>
      </c>
      <c r="Y109" s="2">
        <f>Y10/'Output-Calculation-sheet'!Y9*'Output-Calculation-sheet'!Y90</f>
        <v>0</v>
      </c>
      <c r="AA109" s="2">
        <f t="shared" si="9"/>
        <v>92440.441239717708</v>
      </c>
    </row>
    <row r="110" spans="1:27" x14ac:dyDescent="0.25">
      <c r="A110" s="2">
        <v>2034</v>
      </c>
      <c r="B110" s="2">
        <f>B11/'Output-Calculation-sheet'!B10*'Output-Calculation-sheet'!B91</f>
        <v>49197060987.085037</v>
      </c>
      <c r="C110" s="2">
        <f>C11/'Output-Calculation-sheet'!C10*'Output-Calculation-sheet'!C91</f>
        <v>36265422924.485268</v>
      </c>
      <c r="D110" s="2">
        <f>D11/'Output-Calculation-sheet'!D10*'Output-Calculation-sheet'!D91</f>
        <v>0</v>
      </c>
      <c r="E110" s="2">
        <f>E11/'Output-Calculation-sheet'!E10*'Output-Calculation-sheet'!E91</f>
        <v>1041265712.91387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17933819504.153259</v>
      </c>
      <c r="I110" s="2">
        <f>I11/'Output-Calculation-sheet'!I10*'Output-Calculation-sheet'!I91</f>
        <v>-1.7265959896024031E-6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836922333.13754034</v>
      </c>
      <c r="M110" s="2">
        <f>M11/'Output-Calculation-sheet'!M10*'Output-Calculation-sheet'!M91</f>
        <v>12692555755.281029</v>
      </c>
      <c r="N110" s="2">
        <f>N11/'Output-Calculation-sheet'!N10*'Output-Calculation-sheet'!N91</f>
        <v>8784112391.0096073</v>
      </c>
      <c r="O110" s="2">
        <f>O11/'Output-Calculation-sheet'!O10*'Output-Calculation-sheet'!O91</f>
        <v>5569669515.6534195</v>
      </c>
      <c r="P110" s="2">
        <f>P11/'Output-Calculation-sheet'!P10*'Output-Calculation-sheet'!P91</f>
        <v>0</v>
      </c>
      <c r="Q110" s="2">
        <f>Q11/'Output-Calculation-sheet'!Q10*'Output-Calculation-sheet'!Q91</f>
        <v>1406190717.5005572</v>
      </c>
      <c r="R110" s="2">
        <f>R11/'Output-Calculation-sheet'!R10*'Output-Calculation-sheet'!R91</f>
        <v>0</v>
      </c>
      <c r="S110" s="2">
        <f>S11/'Output-Calculation-sheet'!S10*'Output-Calculation-sheet'!S91</f>
        <v>4300198097.9704409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1239071745.5419133</v>
      </c>
      <c r="Y110" s="2">
        <f>Y11/'Output-Calculation-sheet'!Y10*'Output-Calculation-sheet'!Y91</f>
        <v>55099455.141449556</v>
      </c>
      <c r="AA110" s="2">
        <f t="shared" si="9"/>
        <v>139321.38913987338</v>
      </c>
    </row>
    <row r="111" spans="1:27" x14ac:dyDescent="0.25">
      <c r="A111" s="2">
        <v>2035</v>
      </c>
      <c r="B111" s="2">
        <f>B12/'Output-Calculation-sheet'!B11*'Output-Calculation-sheet'!B92</f>
        <v>50771386216.432709</v>
      </c>
      <c r="C111" s="2">
        <f>C12/'Output-Calculation-sheet'!C11*'Output-Calculation-sheet'!C92</f>
        <v>44513819179.401169</v>
      </c>
      <c r="D111" s="2">
        <f>D12/'Output-Calculation-sheet'!D11*'Output-Calculation-sheet'!D92</f>
        <v>-1.32888202110673E-6</v>
      </c>
      <c r="E111" s="2">
        <f>E12/'Output-Calculation-sheet'!E11*'Output-Calculation-sheet'!E92</f>
        <v>4117977555.3543816</v>
      </c>
      <c r="F111" s="2">
        <f>F12/'Output-Calculation-sheet'!F11*'Output-Calculation-sheet'!F92</f>
        <v>-2.9193243627965972E-7</v>
      </c>
      <c r="G111" s="2">
        <f>G12/'Output-Calculation-sheet'!G11*'Output-Calculation-sheet'!G92</f>
        <v>0</v>
      </c>
      <c r="H111" s="2">
        <f>H12/'Output-Calculation-sheet'!H11*'Output-Calculation-sheet'!H92</f>
        <v>18503043629.255447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2003708133.8912566</v>
      </c>
      <c r="M111" s="2">
        <f>M12/'Output-Calculation-sheet'!M11*'Output-Calculation-sheet'!M92</f>
        <v>13185304702.184122</v>
      </c>
      <c r="N111" s="2">
        <f>N12/'Output-Calculation-sheet'!N11*'Output-Calculation-sheet'!N92</f>
        <v>9283186784.5538082</v>
      </c>
      <c r="O111" s="2">
        <f>O12/'Output-Calculation-sheet'!O11*'Output-Calculation-sheet'!O92</f>
        <v>6726341021.4100676</v>
      </c>
      <c r="P111" s="2">
        <f>P12/'Output-Calculation-sheet'!P11*'Output-Calculation-sheet'!P92</f>
        <v>398898613.0315361</v>
      </c>
      <c r="Q111" s="2">
        <f>Q12/'Output-Calculation-sheet'!Q11*'Output-Calculation-sheet'!Q92</f>
        <v>1764213188.2671673</v>
      </c>
      <c r="R111" s="2">
        <f>R12/'Output-Calculation-sheet'!R11*'Output-Calculation-sheet'!R92</f>
        <v>0</v>
      </c>
      <c r="S111" s="2">
        <f>S12/'Output-Calculation-sheet'!S11*'Output-Calculation-sheet'!S92</f>
        <v>4434806797.5766926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1288852401.2871821</v>
      </c>
      <c r="Y111" s="2">
        <f>Y12/'Output-Calculation-sheet'!Y11*'Output-Calculation-sheet'!Y92</f>
        <v>87277495.718263626</v>
      </c>
      <c r="AA111" s="2">
        <f t="shared" si="9"/>
        <v>157078.8157183638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56067435139.528976</v>
      </c>
      <c r="C118" s="2">
        <f>C8/'Output-Calculation-sheet'!C7*'Output-Calculation-sheet'!C97</f>
        <v>0</v>
      </c>
      <c r="D118" s="2">
        <f>D8/'Output-Calculation-sheet'!D7*'Output-Calculation-sheet'!D97</f>
        <v>24242497986.736919</v>
      </c>
      <c r="E118" s="2">
        <f>E8/'Output-Calculation-sheet'!E7*'Output-Calculation-sheet'!E97</f>
        <v>19233962101.393204</v>
      </c>
      <c r="F118" s="2">
        <f>F8/'Output-Calculation-sheet'!F7*'Output-Calculation-sheet'!F97</f>
        <v>12381591608.715164</v>
      </c>
      <c r="G118" s="2">
        <f>G8/'Output-Calculation-sheet'!G7*'Output-Calculation-sheet'!G97</f>
        <v>8699646067.8932743</v>
      </c>
      <c r="H118" s="2">
        <f>H8/'Output-Calculation-sheet'!H7*'Output-Calculation-sheet'!H97</f>
        <v>0</v>
      </c>
      <c r="I118" s="2">
        <f>I8/'Output-Calculation-sheet'!I7*'Output-Calculation-sheet'!I97</f>
        <v>7926062379.6403561</v>
      </c>
      <c r="J118" s="2">
        <f>J8/'Output-Calculation-sheet'!J7*'Output-Calculation-sheet'!J97</f>
        <v>7714683206.4269037</v>
      </c>
      <c r="K118" s="2">
        <f>K8/'Output-Calculation-sheet'!K7*'Output-Calculation-sheet'!K97</f>
        <v>7640722631.6188087</v>
      </c>
      <c r="L118" s="2">
        <f>L8/'Output-Calculation-sheet'!L7*'Output-Calculation-sheet'!L97</f>
        <v>6129487045.6549053</v>
      </c>
      <c r="M118" s="2">
        <f>M8/'Output-Calculation-sheet'!M7*'Output-Calculation-sheet'!M97</f>
        <v>0</v>
      </c>
      <c r="N118" s="2">
        <f>N8/'Output-Calculation-sheet'!N7*'Output-Calculation-sheet'!N97</f>
        <v>3792213588.9816799</v>
      </c>
      <c r="O118" s="2">
        <f>O8/'Output-Calculation-sheet'!O7*'Output-Calculation-sheet'!O97</f>
        <v>0</v>
      </c>
      <c r="P118" s="2">
        <f>P8/'Output-Calculation-sheet'!P7*'Output-Calculation-sheet'!P97</f>
        <v>5231201170.5626392</v>
      </c>
      <c r="Q118" s="2">
        <f>Q8/'Output-Calculation-sheet'!Q7*'Output-Calculation-sheet'!Q97</f>
        <v>5146655529.6699247</v>
      </c>
      <c r="R118" s="2">
        <f>R8/'Output-Calculation-sheet'!R7*'Output-Calculation-sheet'!R97</f>
        <v>4951319315.6461039</v>
      </c>
      <c r="S118" s="2">
        <f>S8/'Output-Calculation-sheet'!S7*'Output-Calculation-sheet'!S97</f>
        <v>2703807562.0442562</v>
      </c>
      <c r="T118" s="2">
        <f>T8/'Output-Calculation-sheet'!T7*'Output-Calculation-sheet'!T97</f>
        <v>1820062761.0451365</v>
      </c>
      <c r="U118" s="2">
        <f>U8/'Output-Calculation-sheet'!U7*'Output-Calculation-sheet'!U97</f>
        <v>1585212164.6808157</v>
      </c>
      <c r="V118" s="2">
        <f>V8/'Output-Calculation-sheet'!V7*'Output-Calculation-sheet'!V97</f>
        <v>1220645550.7140007</v>
      </c>
      <c r="W118" s="2">
        <f>W8/'Output-Calculation-sheet'!W7*'Output-Calculation-sheet'!W97</f>
        <v>1056808109.4635476</v>
      </c>
      <c r="X118" s="2">
        <f>X8/'Output-Calculation-sheet'!X7*'Output-Calculation-sheet'!X97</f>
        <v>0</v>
      </c>
      <c r="Y118" s="2">
        <f>Y8/'Output-Calculation-sheet'!Y7*'Output-Calculation-sheet'!Y97</f>
        <v>616641432.21462107</v>
      </c>
      <c r="AA118" s="2">
        <f t="shared" si="10"/>
        <v>178160.65535263129</v>
      </c>
    </row>
    <row r="119" spans="1:27" x14ac:dyDescent="0.25">
      <c r="A119" s="2">
        <v>2032</v>
      </c>
      <c r="B119" s="2">
        <f>B9/'Output-Calculation-sheet'!B8*'Output-Calculation-sheet'!B98</f>
        <v>73416621710.052109</v>
      </c>
      <c r="C119" s="2">
        <f>C9/'Output-Calculation-sheet'!C8*'Output-Calculation-sheet'!C98</f>
        <v>0</v>
      </c>
      <c r="D119" s="2">
        <f>D9/'Output-Calculation-sheet'!D8*'Output-Calculation-sheet'!D98</f>
        <v>34034754404.832626</v>
      </c>
      <c r="E119" s="2">
        <f>E9/'Output-Calculation-sheet'!E8*'Output-Calculation-sheet'!E98</f>
        <v>27003117542.698753</v>
      </c>
      <c r="F119" s="2">
        <f>F9/'Output-Calculation-sheet'!F8*'Output-Calculation-sheet'!F98</f>
        <v>17382881141.560608</v>
      </c>
      <c r="G119" s="2">
        <f>G9/'Output-Calculation-sheet'!G8*'Output-Calculation-sheet'!G98</f>
        <v>12213689390.399141</v>
      </c>
      <c r="H119" s="2">
        <f>H9/'Output-Calculation-sheet'!H8*'Output-Calculation-sheet'!H98</f>
        <v>2.5642977773136717E-7</v>
      </c>
      <c r="I119" s="2">
        <f>I9/'Output-Calculation-sheet'!I8*'Output-Calculation-sheet'!I98</f>
        <v>11127633298.291185</v>
      </c>
      <c r="J119" s="2">
        <f>J9/'Output-Calculation-sheet'!J8*'Output-Calculation-sheet'!J98</f>
        <v>10830867622.243149</v>
      </c>
      <c r="K119" s="2">
        <f>K9/'Output-Calculation-sheet'!K8*'Output-Calculation-sheet'!K98</f>
        <v>10727033907.837879</v>
      </c>
      <c r="L119" s="2">
        <f>L9/'Output-Calculation-sheet'!L8*'Output-Calculation-sheet'!L98</f>
        <v>8605368094.599247</v>
      </c>
      <c r="M119" s="2">
        <f>M9/'Output-Calculation-sheet'!M8*'Output-Calculation-sheet'!M98</f>
        <v>0</v>
      </c>
      <c r="N119" s="2">
        <f>N9/'Output-Calculation-sheet'!N8*'Output-Calculation-sheet'!N98</f>
        <v>4199505143.0127378</v>
      </c>
      <c r="O119" s="2">
        <f>O9/'Output-Calculation-sheet'!O8*'Output-Calculation-sheet'!O98</f>
        <v>0</v>
      </c>
      <c r="P119" s="2">
        <f>P9/'Output-Calculation-sheet'!P8*'Output-Calculation-sheet'!P98</f>
        <v>7344188334.4055471</v>
      </c>
      <c r="Q119" s="2">
        <f>Q9/'Output-Calculation-sheet'!Q8*'Output-Calculation-sheet'!Q98</f>
        <v>7225540727.7838707</v>
      </c>
      <c r="R119" s="2">
        <f>R9/'Output-Calculation-sheet'!R8*'Output-Calculation-sheet'!R98</f>
        <v>6951303044.2359076</v>
      </c>
      <c r="S119" s="2">
        <f>S9/'Output-Calculation-sheet'!S8*'Output-Calculation-sheet'!S98</f>
        <v>3469099838.5005121</v>
      </c>
      <c r="T119" s="2">
        <f>T9/'Output-Calculation-sheet'!T8*'Output-Calculation-sheet'!T98</f>
        <v>2555239125.6333928</v>
      </c>
      <c r="U119" s="2">
        <f>U9/'Output-Calculation-sheet'!U8*'Output-Calculation-sheet'!U98</f>
        <v>2225526406.7950234</v>
      </c>
      <c r="V119" s="2">
        <f>V9/'Output-Calculation-sheet'!V8*'Output-Calculation-sheet'!V98</f>
        <v>1713699844.0410216</v>
      </c>
      <c r="W119" s="2">
        <f>W9/'Output-Calculation-sheet'!W8*'Output-Calculation-sheet'!W98</f>
        <v>1483684038.0556006</v>
      </c>
      <c r="X119" s="2">
        <f>X9/'Output-Calculation-sheet'!X8*'Output-Calculation-sheet'!X98</f>
        <v>0</v>
      </c>
      <c r="Y119" s="2">
        <f>Y9/'Output-Calculation-sheet'!Y8*'Output-Calculation-sheet'!Y98</f>
        <v>865720734.47586322</v>
      </c>
      <c r="AA119" s="2">
        <f t="shared" si="10"/>
        <v>243375.47434945416</v>
      </c>
    </row>
    <row r="120" spans="1:27" x14ac:dyDescent="0.25">
      <c r="A120" s="2">
        <v>2033</v>
      </c>
      <c r="B120" s="2">
        <f>B10/'Output-Calculation-sheet'!B9*'Output-Calculation-sheet'!B99</f>
        <v>83125965209.309509</v>
      </c>
      <c r="C120" s="2">
        <f>C10/'Output-Calculation-sheet'!C9*'Output-Calculation-sheet'!C99</f>
        <v>0</v>
      </c>
      <c r="D120" s="2">
        <f>D10/'Output-Calculation-sheet'!D9*'Output-Calculation-sheet'!D99</f>
        <v>43693831260.452812</v>
      </c>
      <c r="E120" s="2">
        <f>E10/'Output-Calculation-sheet'!E9*'Output-Calculation-sheet'!E99</f>
        <v>34666616678.564987</v>
      </c>
      <c r="F120" s="2">
        <f>F10/'Output-Calculation-sheet'!F9*'Output-Calculation-sheet'!F99</f>
        <v>22316145155.489021</v>
      </c>
      <c r="G120" s="2">
        <f>G10/'Output-Calculation-sheet'!G9*'Output-Calculation-sheet'!G99</f>
        <v>15679936036.31963</v>
      </c>
      <c r="H120" s="2">
        <f>H10/'Output-Calculation-sheet'!H9*'Output-Calculation-sheet'!H99</f>
        <v>0</v>
      </c>
      <c r="I120" s="2">
        <f>I10/'Output-Calculation-sheet'!I9*'Output-Calculation-sheet'!I99</f>
        <v>14285657846.473473</v>
      </c>
      <c r="J120" s="2">
        <f>J10/'Output-Calculation-sheet'!J9*'Output-Calculation-sheet'!J99</f>
        <v>13904669988.396389</v>
      </c>
      <c r="K120" s="2">
        <f>K10/'Output-Calculation-sheet'!K9*'Output-Calculation-sheet'!K99</f>
        <v>13771369685.623911</v>
      </c>
      <c r="L120" s="2">
        <f>L10/'Output-Calculation-sheet'!L9*'Output-Calculation-sheet'!L99</f>
        <v>11047573263.184172</v>
      </c>
      <c r="M120" s="2">
        <f>M10/'Output-Calculation-sheet'!M9*'Output-Calculation-sheet'!M99</f>
        <v>0</v>
      </c>
      <c r="N120" s="2">
        <f>N10/'Output-Calculation-sheet'!N9*'Output-Calculation-sheet'!N99</f>
        <v>4140274776.5705175</v>
      </c>
      <c r="O120" s="2">
        <f>O10/'Output-Calculation-sheet'!O9*'Output-Calculation-sheet'!O99</f>
        <v>0</v>
      </c>
      <c r="P120" s="2">
        <f>P10/'Output-Calculation-sheet'!P9*'Output-Calculation-sheet'!P99</f>
        <v>9427980508.4903564</v>
      </c>
      <c r="Q120" s="2">
        <f>Q10/'Output-Calculation-sheet'!Q9*'Output-Calculation-sheet'!Q99</f>
        <v>9073775698.1343212</v>
      </c>
      <c r="R120" s="2">
        <f>R10/'Output-Calculation-sheet'!R9*'Output-Calculation-sheet'!R99</f>
        <v>8923660641.386034</v>
      </c>
      <c r="S120" s="2">
        <f>S10/'Output-Calculation-sheet'!S9*'Output-Calculation-sheet'!S99</f>
        <v>3432377206.164083</v>
      </c>
      <c r="T120" s="2">
        <f>T10/'Output-Calculation-sheet'!T9*'Output-Calculation-sheet'!T99</f>
        <v>3280388280.9910593</v>
      </c>
      <c r="U120" s="2">
        <f>U10/'Output-Calculation-sheet'!U9*'Output-Calculation-sheet'!U99</f>
        <v>2857752208.0406523</v>
      </c>
      <c r="V120" s="2">
        <f>V10/'Output-Calculation-sheet'!V9*'Output-Calculation-sheet'!V99</f>
        <v>2200048312.317173</v>
      </c>
      <c r="W120" s="2">
        <f>W10/'Output-Calculation-sheet'!W9*'Output-Calculation-sheet'!W99</f>
        <v>1904754259.4924417</v>
      </c>
      <c r="X120" s="2">
        <f>X10/'Output-Calculation-sheet'!X9*'Output-Calculation-sheet'!X99</f>
        <v>0</v>
      </c>
      <c r="Y120" s="2">
        <f>Y10/'Output-Calculation-sheet'!Y9*'Output-Calculation-sheet'!Y99</f>
        <v>1111414122.1194501</v>
      </c>
      <c r="AA120" s="2">
        <f t="shared" si="10"/>
        <v>298844.19113752007</v>
      </c>
    </row>
    <row r="121" spans="1:27" x14ac:dyDescent="0.25">
      <c r="A121" s="2">
        <v>2034</v>
      </c>
      <c r="B121" s="2">
        <f>B11/'Output-Calculation-sheet'!B10*'Output-Calculation-sheet'!B100</f>
        <v>75932550345.642181</v>
      </c>
      <c r="C121" s="2">
        <f>C11/'Output-Calculation-sheet'!C10*'Output-Calculation-sheet'!C100</f>
        <v>0</v>
      </c>
      <c r="D121" s="2">
        <f>D11/'Output-Calculation-sheet'!D10*'Output-Calculation-sheet'!D100</f>
        <v>52562521379.36692</v>
      </c>
      <c r="E121" s="2">
        <f>E11/'Output-Calculation-sheet'!E10*'Output-Calculation-sheet'!E100</f>
        <v>40668651622.533905</v>
      </c>
      <c r="F121" s="2">
        <f>F11/'Output-Calculation-sheet'!F10*'Output-Calculation-sheet'!F100</f>
        <v>26845938811.885612</v>
      </c>
      <c r="G121" s="2">
        <f>G11/'Output-Calculation-sheet'!G10*'Output-Calculation-sheet'!G100</f>
        <v>18861525707.569344</v>
      </c>
      <c r="H121" s="2">
        <f>H11/'Output-Calculation-sheet'!H10*'Output-Calculation-sheet'!H100</f>
        <v>0</v>
      </c>
      <c r="I121" s="2">
        <f>I11/'Output-Calculation-sheet'!I10*'Output-Calculation-sheet'!I100</f>
        <v>17184667590.782822</v>
      </c>
      <c r="J121" s="2">
        <f>J11/'Output-Calculation-sheet'!J10*'Output-Calculation-sheet'!J100</f>
        <v>16726531624.116138</v>
      </c>
      <c r="K121" s="2">
        <f>K11/'Output-Calculation-sheet'!K10*'Output-Calculation-sheet'!K100</f>
        <v>16566599678.431873</v>
      </c>
      <c r="L121" s="2">
        <f>L11/'Output-Calculation-sheet'!L10*'Output-Calculation-sheet'!L100</f>
        <v>12452640859.409204</v>
      </c>
      <c r="M121" s="2">
        <f>M11/'Output-Calculation-sheet'!M10*'Output-Calculation-sheet'!M100</f>
        <v>8.8969096166624908E-7</v>
      </c>
      <c r="N121" s="2">
        <f>N11/'Output-Calculation-sheet'!N10*'Output-Calculation-sheet'!N100</f>
        <v>3673593962.4137864</v>
      </c>
      <c r="O121" s="2">
        <f>O11/'Output-Calculation-sheet'!O10*'Output-Calculation-sheet'!O100</f>
        <v>0</v>
      </c>
      <c r="P121" s="2">
        <f>P11/'Output-Calculation-sheet'!P10*'Output-Calculation-sheet'!P100</f>
        <v>11341132433.534594</v>
      </c>
      <c r="Q121" s="2">
        <f>Q11/'Output-Calculation-sheet'!Q10*'Output-Calculation-sheet'!Q100</f>
        <v>9398461478.6743584</v>
      </c>
      <c r="R121" s="2">
        <f>R11/'Output-Calculation-sheet'!R10*'Output-Calculation-sheet'!R100</f>
        <v>10734463877.189476</v>
      </c>
      <c r="S121" s="2">
        <f>S11/'Output-Calculation-sheet'!S10*'Output-Calculation-sheet'!S100</f>
        <v>2834207275.9176626</v>
      </c>
      <c r="T121" s="2">
        <f>T11/'Output-Calculation-sheet'!T10*'Output-Calculation-sheet'!T100</f>
        <v>3945986202.194921</v>
      </c>
      <c r="U121" s="2">
        <f>U11/'Output-Calculation-sheet'!U10*'Output-Calculation-sheet'!U100</f>
        <v>3325424397.0018015</v>
      </c>
      <c r="V121" s="2">
        <f>V11/'Output-Calculation-sheet'!V10*'Output-Calculation-sheet'!V100</f>
        <v>2647349553.6176286</v>
      </c>
      <c r="W121" s="2">
        <f>W11/'Output-Calculation-sheet'!W10*'Output-Calculation-sheet'!W100</f>
        <v>2291436968.6980534</v>
      </c>
      <c r="X121" s="2">
        <f>X11/'Output-Calculation-sheet'!X10*'Output-Calculation-sheet'!X100</f>
        <v>88246536.248471484</v>
      </c>
      <c r="Y121" s="2">
        <f>Y11/'Output-Calculation-sheet'!Y10*'Output-Calculation-sheet'!Y100</f>
        <v>1281878138.6183455</v>
      </c>
      <c r="AA121" s="2">
        <f t="shared" si="10"/>
        <v>329363.80844384711</v>
      </c>
    </row>
    <row r="122" spans="1:27" x14ac:dyDescent="0.25">
      <c r="A122" s="2">
        <v>2035</v>
      </c>
      <c r="B122" s="2">
        <f>B12/'Output-Calculation-sheet'!B11*'Output-Calculation-sheet'!B101</f>
        <v>76061405989.055145</v>
      </c>
      <c r="C122" s="2">
        <f>C12/'Output-Calculation-sheet'!C11*'Output-Calculation-sheet'!C101</f>
        <v>0</v>
      </c>
      <c r="D122" s="2">
        <f>D12/'Output-Calculation-sheet'!D11*'Output-Calculation-sheet'!D101</f>
        <v>53226562457.617027</v>
      </c>
      <c r="E122" s="2">
        <f>E12/'Output-Calculation-sheet'!E11*'Output-Calculation-sheet'!E101</f>
        <v>41335256794.698189</v>
      </c>
      <c r="F122" s="2">
        <f>F12/'Output-Calculation-sheet'!F11*'Output-Calculation-sheet'!F101</f>
        <v>28159782783.217094</v>
      </c>
      <c r="G122" s="2">
        <f>G12/'Output-Calculation-sheet'!G11*'Output-Calculation-sheet'!G101</f>
        <v>19080446062.905659</v>
      </c>
      <c r="H122" s="2">
        <f>H12/'Output-Calculation-sheet'!H11*'Output-Calculation-sheet'!H101</f>
        <v>0</v>
      </c>
      <c r="I122" s="2">
        <f>I12/'Output-Calculation-sheet'!I11*'Output-Calculation-sheet'!I101</f>
        <v>17507805396.557426</v>
      </c>
      <c r="J122" s="2">
        <f>J12/'Output-Calculation-sheet'!J11*'Output-Calculation-sheet'!J101</f>
        <v>17526919006.572815</v>
      </c>
      <c r="K122" s="2">
        <f>K12/'Output-Calculation-sheet'!K11*'Output-Calculation-sheet'!K101</f>
        <v>17207461559.603756</v>
      </c>
      <c r="L122" s="2">
        <f>L12/'Output-Calculation-sheet'!L11*'Output-Calculation-sheet'!L101</f>
        <v>12465687259.422926</v>
      </c>
      <c r="M122" s="2">
        <f>M12/'Output-Calculation-sheet'!M11*'Output-Calculation-sheet'!M101</f>
        <v>0</v>
      </c>
      <c r="N122" s="2">
        <f>N12/'Output-Calculation-sheet'!N11*'Output-Calculation-sheet'!N101</f>
        <v>3629641887.8393502</v>
      </c>
      <c r="O122" s="2">
        <f>O12/'Output-Calculation-sheet'!O11*'Output-Calculation-sheet'!O101</f>
        <v>0</v>
      </c>
      <c r="P122" s="2">
        <f>P12/'Output-Calculation-sheet'!P11*'Output-Calculation-sheet'!P101</f>
        <v>11571323647.172844</v>
      </c>
      <c r="Q122" s="2">
        <f>Q12/'Output-Calculation-sheet'!Q11*'Output-Calculation-sheet'!Q101</f>
        <v>9354820373.2527466</v>
      </c>
      <c r="R122" s="2">
        <f>R12/'Output-Calculation-sheet'!R11*'Output-Calculation-sheet'!R101</f>
        <v>11461430237.667187</v>
      </c>
      <c r="S122" s="2">
        <f>S12/'Output-Calculation-sheet'!S11*'Output-Calculation-sheet'!S101</f>
        <v>2741549805.1522956</v>
      </c>
      <c r="T122" s="2">
        <f>T12/'Output-Calculation-sheet'!T11*'Output-Calculation-sheet'!T101</f>
        <v>4277017261.8068933</v>
      </c>
      <c r="U122" s="2">
        <f>U12/'Output-Calculation-sheet'!U11*'Output-Calculation-sheet'!U101</f>
        <v>3377952309.6554775</v>
      </c>
      <c r="V122" s="2">
        <f>V12/'Output-Calculation-sheet'!V11*'Output-Calculation-sheet'!V101</f>
        <v>2941412355.8895116</v>
      </c>
      <c r="W122" s="2">
        <f>W12/'Output-Calculation-sheet'!W11*'Output-Calculation-sheet'!W101</f>
        <v>2478944165.5752831</v>
      </c>
      <c r="X122" s="2">
        <f>X12/'Output-Calculation-sheet'!X11*'Output-Calculation-sheet'!X101</f>
        <v>87404529.689142898</v>
      </c>
      <c r="Y122" s="2">
        <f>Y12/'Output-Calculation-sheet'!Y11*'Output-Calculation-sheet'!Y101</f>
        <v>1309486579.5183704</v>
      </c>
      <c r="AA122" s="2">
        <f t="shared" si="10"/>
        <v>335802.31046286912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57718650811.08049</v>
      </c>
      <c r="C129" s="2">
        <f>C8/'Output-Calculation-sheet'!C7*'Output-Calculation-sheet'!C106</f>
        <v>33829962084.903503</v>
      </c>
      <c r="D129" s="2">
        <f>D8/'Output-Calculation-sheet'!D7*'Output-Calculation-sheet'!D106</f>
        <v>24242497986.736919</v>
      </c>
      <c r="E129" s="2">
        <f>E8/'Output-Calculation-sheet'!E7*'Output-Calculation-sheet'!E106</f>
        <v>19233962101.393204</v>
      </c>
      <c r="F129" s="2">
        <f>F8/'Output-Calculation-sheet'!F7*'Output-Calculation-sheet'!F106</f>
        <v>12381591608.715164</v>
      </c>
      <c r="G129" s="2">
        <f>G8/'Output-Calculation-sheet'!G7*'Output-Calculation-sheet'!G106</f>
        <v>8699646067.8932743</v>
      </c>
      <c r="H129" s="2">
        <f>H8/'Output-Calculation-sheet'!H7*'Output-Calculation-sheet'!H106</f>
        <v>8486170787.8016148</v>
      </c>
      <c r="I129" s="2">
        <f>I8/'Output-Calculation-sheet'!I7*'Output-Calculation-sheet'!I106</f>
        <v>7926062379.6403561</v>
      </c>
      <c r="J129" s="2">
        <f>J8/'Output-Calculation-sheet'!J7*'Output-Calculation-sheet'!J106</f>
        <v>7714683206.4269037</v>
      </c>
      <c r="K129" s="2">
        <f>K8/'Output-Calculation-sheet'!K7*'Output-Calculation-sheet'!K106</f>
        <v>7640722631.6188087</v>
      </c>
      <c r="L129" s="2">
        <f>L8/'Output-Calculation-sheet'!L7*'Output-Calculation-sheet'!L106</f>
        <v>6129487045.6549053</v>
      </c>
      <c r="M129" s="2">
        <f>M8/'Output-Calculation-sheet'!M7*'Output-Calculation-sheet'!M106</f>
        <v>5854718077.7610216</v>
      </c>
      <c r="N129" s="2">
        <f>N8/'Output-Calculation-sheet'!N7*'Output-Calculation-sheet'!N106</f>
        <v>5746389997.7939186</v>
      </c>
      <c r="O129" s="2">
        <f>O8/'Output-Calculation-sheet'!O7*'Output-Calculation-sheet'!O106</f>
        <v>7370208064.315177</v>
      </c>
      <c r="P129" s="2">
        <f>P8/'Output-Calculation-sheet'!P7*'Output-Calculation-sheet'!P106</f>
        <v>5231201170.5626392</v>
      </c>
      <c r="Q129" s="2">
        <f>Q8/'Output-Calculation-sheet'!Q7*'Output-Calculation-sheet'!Q106</f>
        <v>5146655529.6699247</v>
      </c>
      <c r="R129" s="2">
        <f>R8/'Output-Calculation-sheet'!R7*'Output-Calculation-sheet'!R106</f>
        <v>4951319315.6461039</v>
      </c>
      <c r="S129" s="2">
        <f>S8/'Output-Calculation-sheet'!S7*'Output-Calculation-sheet'!S106</f>
        <v>3290900461.7864761</v>
      </c>
      <c r="T129" s="2">
        <f>T8/'Output-Calculation-sheet'!T7*'Output-Calculation-sheet'!T106</f>
        <v>1820062761.0451365</v>
      </c>
      <c r="U129" s="2">
        <f>U8/'Output-Calculation-sheet'!U7*'Output-Calculation-sheet'!U106</f>
        <v>1585212164.6808157</v>
      </c>
      <c r="V129" s="2">
        <f>V8/'Output-Calculation-sheet'!V7*'Output-Calculation-sheet'!V106</f>
        <v>1220645550.7140007</v>
      </c>
      <c r="W129" s="2">
        <f>W8/'Output-Calculation-sheet'!W7*'Output-Calculation-sheet'!W106</f>
        <v>1056808109.4635476</v>
      </c>
      <c r="X129" s="2">
        <f>X8/'Output-Calculation-sheet'!X7*'Output-Calculation-sheet'!X106</f>
        <v>634084990.37122941</v>
      </c>
      <c r="Y129" s="2">
        <f>Y8/'Output-Calculation-sheet'!Y7*'Output-Calculation-sheet'!Y106</f>
        <v>616641432.21462107</v>
      </c>
      <c r="AA129" s="2">
        <f t="shared" si="11"/>
        <v>238528.28433788978</v>
      </c>
    </row>
    <row r="130" spans="1:27" x14ac:dyDescent="0.25">
      <c r="A130" s="2">
        <v>2032</v>
      </c>
      <c r="B130" s="2">
        <f>B9/'Output-Calculation-sheet'!B8*'Output-Calculation-sheet'!B107</f>
        <v>48619747225.48674</v>
      </c>
      <c r="C130" s="2">
        <f>C9/'Output-Calculation-sheet'!C8*'Output-Calculation-sheet'!C107</f>
        <v>36563361796.775581</v>
      </c>
      <c r="D130" s="2">
        <f>D9/'Output-Calculation-sheet'!D8*'Output-Calculation-sheet'!D107</f>
        <v>20420848386.092979</v>
      </c>
      <c r="E130" s="2">
        <f>E9/'Output-Calculation-sheet'!E8*'Output-Calculation-sheet'!E107</f>
        <v>16201868834.106344</v>
      </c>
      <c r="F130" s="2">
        <f>F9/'Output-Calculation-sheet'!F8*'Output-Calculation-sheet'!F107</f>
        <v>10429729748.78199</v>
      </c>
      <c r="G130" s="2">
        <f>G9/'Output-Calculation-sheet'!G8*'Output-Calculation-sheet'!G107</f>
        <v>7328214397.7434778</v>
      </c>
      <c r="H130" s="2">
        <f>H9/'Output-Calculation-sheet'!H8*'Output-Calculation-sheet'!H107</f>
        <v>7148389976.4987116</v>
      </c>
      <c r="I130" s="2">
        <f>I9/'Output-Calculation-sheet'!I8*'Output-Calculation-sheet'!I107</f>
        <v>6676579292.2484541</v>
      </c>
      <c r="J130" s="2">
        <f>J9/'Output-Calculation-sheet'!J8*'Output-Calculation-sheet'!J107</f>
        <v>6498519893.7123585</v>
      </c>
      <c r="K130" s="2">
        <f>K9/'Output-Calculation-sheet'!K8*'Output-Calculation-sheet'!K107</f>
        <v>6436220344.7027273</v>
      </c>
      <c r="L130" s="2">
        <f>L9/'Output-Calculation-sheet'!L8*'Output-Calculation-sheet'!L107</f>
        <v>5163220320.0765696</v>
      </c>
      <c r="M130" s="2">
        <f>M9/'Output-Calculation-sheet'!M8*'Output-Calculation-sheet'!M107</f>
        <v>4931767208.8106499</v>
      </c>
      <c r="N130" s="2">
        <f>N9/'Output-Calculation-sheet'!N8*'Output-Calculation-sheet'!N107</f>
        <v>4840513085.3870029</v>
      </c>
      <c r="O130" s="2">
        <f>O9/'Output-Calculation-sheet'!O8*'Output-Calculation-sheet'!O107</f>
        <v>7962149821.1784573</v>
      </c>
      <c r="P130" s="2">
        <f>P9/'Output-Calculation-sheet'!P8*'Output-Calculation-sheet'!P107</f>
        <v>4406541188.710494</v>
      </c>
      <c r="Q130" s="2">
        <f>Q9/'Output-Calculation-sheet'!Q8*'Output-Calculation-sheet'!Q107</f>
        <v>4335325751.435298</v>
      </c>
      <c r="R130" s="2">
        <f>R9/'Output-Calculation-sheet'!R8*'Output-Calculation-sheet'!R107</f>
        <v>4170782261.1530867</v>
      </c>
      <c r="S130" s="2">
        <f>S9/'Output-Calculation-sheet'!S8*'Output-Calculation-sheet'!S107</f>
        <v>2772115186.521811</v>
      </c>
      <c r="T130" s="2">
        <f>T9/'Output-Calculation-sheet'!T8*'Output-Calculation-sheet'!T107</f>
        <v>1533143796.9620366</v>
      </c>
      <c r="U130" s="2">
        <f>U9/'Output-Calculation-sheet'!U8*'Output-Calculation-sheet'!U107</f>
        <v>1335315424.586653</v>
      </c>
      <c r="V130" s="2">
        <f>V9/'Output-Calculation-sheet'!V8*'Output-Calculation-sheet'!V107</f>
        <v>1028219582.959499</v>
      </c>
      <c r="W130" s="2">
        <f>W9/'Output-Calculation-sheet'!W8*'Output-Calculation-sheet'!W107</f>
        <v>890210516.19884825</v>
      </c>
      <c r="X130" s="2">
        <f>X9/'Output-Calculation-sheet'!X8*'Output-Calculation-sheet'!X107</f>
        <v>534126204.91744864</v>
      </c>
      <c r="Y130" s="2">
        <f>Y9/'Output-Calculation-sheet'!Y8*'Output-Calculation-sheet'!Y107</f>
        <v>519432494.56428111</v>
      </c>
      <c r="AA130" s="2">
        <f t="shared" si="11"/>
        <v>210746.34273961149</v>
      </c>
    </row>
    <row r="131" spans="1:27" x14ac:dyDescent="0.25">
      <c r="A131" s="2">
        <v>2033</v>
      </c>
      <c r="B131" s="2">
        <f>B10/'Output-Calculation-sheet'!B9*'Output-Calculation-sheet'!B108</f>
        <v>34676702137.488564</v>
      </c>
      <c r="C131" s="2">
        <f>C10/'Output-Calculation-sheet'!C9*'Output-Calculation-sheet'!C108</f>
        <v>36286647713.713722</v>
      </c>
      <c r="D131" s="2">
        <f>D10/'Output-Calculation-sheet'!D9*'Output-Calculation-sheet'!D108</f>
        <v>14564614215.213243</v>
      </c>
      <c r="E131" s="2">
        <f>E10/'Output-Calculation-sheet'!E9*'Output-Calculation-sheet'!E108</f>
        <v>11555538892.854996</v>
      </c>
      <c r="F131" s="2">
        <f>F10/'Output-Calculation-sheet'!F9*'Output-Calculation-sheet'!F108</f>
        <v>7438715051.8296738</v>
      </c>
      <c r="G131" s="2">
        <f>G10/'Output-Calculation-sheet'!G9*'Output-Calculation-sheet'!G108</f>
        <v>5226645345.4398766</v>
      </c>
      <c r="H131" s="2">
        <f>H10/'Output-Calculation-sheet'!H9*'Output-Calculation-sheet'!H108</f>
        <v>5098391900.3744106</v>
      </c>
      <c r="I131" s="2">
        <f>I10/'Output-Calculation-sheet'!I9*'Output-Calculation-sheet'!I108</f>
        <v>4761887173.2958746</v>
      </c>
      <c r="J131" s="2">
        <f>J10/'Output-Calculation-sheet'!J9*'Output-Calculation-sheet'!J108</f>
        <v>4634891207.9567852</v>
      </c>
      <c r="K131" s="2">
        <f>K10/'Output-Calculation-sheet'!K9*'Output-Calculation-sheet'!K108</f>
        <v>4590456561.8746367</v>
      </c>
      <c r="L131" s="2">
        <f>L10/'Output-Calculation-sheet'!L9*'Output-Calculation-sheet'!L108</f>
        <v>3682525377.9972053</v>
      </c>
      <c r="M131" s="2">
        <f>M10/'Output-Calculation-sheet'!M9*'Output-Calculation-sheet'!M108</f>
        <v>3517445968.6269321</v>
      </c>
      <c r="N131" s="2">
        <f>N10/'Output-Calculation-sheet'!N9*'Output-Calculation-sheet'!N108</f>
        <v>3452362390.5982194</v>
      </c>
      <c r="O131" s="2">
        <f>O10/'Output-Calculation-sheet'!O9*'Output-Calculation-sheet'!O108</f>
        <v>8176099735.8863735</v>
      </c>
      <c r="P131" s="2">
        <f>P10/'Output-Calculation-sheet'!P9*'Output-Calculation-sheet'!P108</f>
        <v>3142845558.0724463</v>
      </c>
      <c r="Q131" s="2">
        <f>Q10/'Output-Calculation-sheet'!Q9*'Output-Calculation-sheet'!Q108</f>
        <v>3092051464.6332283</v>
      </c>
      <c r="R131" s="2">
        <f>R10/'Output-Calculation-sheet'!R9*'Output-Calculation-sheet'!R108</f>
        <v>2974694585.6126218</v>
      </c>
      <c r="S131" s="2">
        <f>S10/'Output-Calculation-sheet'!S9*'Output-Calculation-sheet'!S108</f>
        <v>1977135175.1988878</v>
      </c>
      <c r="T131" s="2">
        <f>T10/'Output-Calculation-sheet'!T9*'Output-Calculation-sheet'!T108</f>
        <v>1093471934.709892</v>
      </c>
      <c r="U131" s="2">
        <f>U10/'Output-Calculation-sheet'!U9*'Output-Calculation-sheet'!U108</f>
        <v>952376880.32405818</v>
      </c>
      <c r="V131" s="2">
        <f>V10/'Output-Calculation-sheet'!V9*'Output-Calculation-sheet'!V108</f>
        <v>733349245.1869185</v>
      </c>
      <c r="W131" s="2">
        <f>W10/'Output-Calculation-sheet'!W9*'Output-Calculation-sheet'!W108</f>
        <v>634917920.02158582</v>
      </c>
      <c r="X131" s="2">
        <f>X10/'Output-Calculation-sheet'!X9*'Output-Calculation-sheet'!X108</f>
        <v>380950677.60015136</v>
      </c>
      <c r="Y131" s="2">
        <f>Y10/'Output-Calculation-sheet'!Y9*'Output-Calculation-sheet'!Y108</f>
        <v>370470797.62669951</v>
      </c>
      <c r="AA131" s="2">
        <f t="shared" si="11"/>
        <v>163015.18791213701</v>
      </c>
    </row>
    <row r="132" spans="1:27" x14ac:dyDescent="0.25">
      <c r="A132" s="2">
        <v>2034</v>
      </c>
      <c r="B132" s="2">
        <f>B11/'Output-Calculation-sheet'!B10*'Output-Calculation-sheet'!B109</f>
        <v>17877920862.181419</v>
      </c>
      <c r="C132" s="2">
        <f>C11/'Output-Calculation-sheet'!C10*'Output-Calculation-sheet'!C109</f>
        <v>33056113634.115841</v>
      </c>
      <c r="D132" s="2">
        <f>D11/'Output-Calculation-sheet'!D10*'Output-Calculation-sheet'!D109</f>
        <v>7508932631.8665142</v>
      </c>
      <c r="E132" s="2">
        <f>E11/'Output-Calculation-sheet'!E10*'Output-Calculation-sheet'!E109</f>
        <v>5957575595.2376795</v>
      </c>
      <c r="F132" s="2">
        <f>F11/'Output-Calculation-sheet'!F10*'Output-Calculation-sheet'!F109</f>
        <v>3835105196.1851387</v>
      </c>
      <c r="G132" s="2">
        <f>G11/'Output-Calculation-sheet'!G10*'Output-Calculation-sheet'!G109</f>
        <v>2694650583.5819316</v>
      </c>
      <c r="H132" s="2">
        <f>H11/'Output-Calculation-sheet'!H10*'Output-Calculation-sheet'!H109</f>
        <v>3193259435.879324</v>
      </c>
      <c r="I132" s="2">
        <f>I11/'Output-Calculation-sheet'!I10*'Output-Calculation-sheet'!I109</f>
        <v>2455038602.7074084</v>
      </c>
      <c r="J132" s="2">
        <f>J11/'Output-Calculation-sheet'!J10*'Output-Calculation-sheet'!J109</f>
        <v>2389564923.9220071</v>
      </c>
      <c r="K132" s="2">
        <f>K11/'Output-Calculation-sheet'!K10*'Output-Calculation-sheet'!K109</f>
        <v>2366656937.3726511</v>
      </c>
      <c r="L132" s="2">
        <f>L11/'Output-Calculation-sheet'!L10*'Output-Calculation-sheet'!L109</f>
        <v>1898563113.6384585</v>
      </c>
      <c r="M132" s="2">
        <f>M11/'Output-Calculation-sheet'!M10*'Output-Calculation-sheet'!M109</f>
        <v>1813455041.3063054</v>
      </c>
      <c r="N132" s="2">
        <f>N11/'Output-Calculation-sheet'!N10*'Output-Calculation-sheet'!N109</f>
        <v>1779901092.5480864</v>
      </c>
      <c r="O132" s="2">
        <f>O11/'Output-Calculation-sheet'!O10*'Output-Calculation-sheet'!O109</f>
        <v>7845246862.9790602</v>
      </c>
      <c r="P132" s="2">
        <f>P11/'Output-Calculation-sheet'!P10*'Output-Calculation-sheet'!P109</f>
        <v>1620325480.2303541</v>
      </c>
      <c r="Q132" s="2">
        <f>Q11/'Output-Calculation-sheet'!Q10*'Output-Calculation-sheet'!Q109</f>
        <v>1995533923.6034441</v>
      </c>
      <c r="R132" s="2">
        <f>R11/'Output-Calculation-sheet'!R10*'Output-Calculation-sheet'!R109</f>
        <v>1533634285.765393</v>
      </c>
      <c r="S132" s="2">
        <f>S11/'Output-Calculation-sheet'!S10*'Output-Calculation-sheet'!S109</f>
        <v>1019331988.7488192</v>
      </c>
      <c r="T132" s="2">
        <f>T11/'Output-Calculation-sheet'!T10*'Output-Calculation-sheet'!T109</f>
        <v>563750753.84608173</v>
      </c>
      <c r="U132" s="2">
        <f>U11/'Output-Calculation-sheet'!U10*'Output-Calculation-sheet'!U109</f>
        <v>620069905.59225142</v>
      </c>
      <c r="V132" s="2">
        <f>V11/'Output-Calculation-sheet'!V10*'Output-Calculation-sheet'!V109</f>
        <v>378085720.93742645</v>
      </c>
      <c r="W132" s="2">
        <f>W11/'Output-Calculation-sheet'!W10*'Output-Calculation-sheet'!W109</f>
        <v>327338442.23518997</v>
      </c>
      <c r="X132" s="2">
        <f>X11/'Output-Calculation-sheet'!X10*'Output-Calculation-sheet'!X109</f>
        <v>259920836.61078408</v>
      </c>
      <c r="Y132" s="2">
        <f>Y11/'Output-Calculation-sheet'!Y10*'Output-Calculation-sheet'!Y109</f>
        <v>191000046.81380135</v>
      </c>
      <c r="AA132" s="2">
        <f t="shared" si="11"/>
        <v>103180.97589790534</v>
      </c>
    </row>
    <row r="133" spans="1:27" x14ac:dyDescent="0.25">
      <c r="A133" s="2">
        <v>2035</v>
      </c>
      <c r="B133" s="2">
        <f>B12/'Output-Calculation-sheet'!B11*'Output-Calculation-sheet'!B110</f>
        <v>19140579437.403111</v>
      </c>
      <c r="C133" s="2">
        <f>C12/'Output-Calculation-sheet'!C11*'Output-Calculation-sheet'!C110</f>
        <v>24674602724.157875</v>
      </c>
      <c r="D133" s="2">
        <f>D12/'Output-Calculation-sheet'!D11*'Output-Calculation-sheet'!D110</f>
        <v>7278441545.3737135</v>
      </c>
      <c r="E133" s="2">
        <f>E12/'Output-Calculation-sheet'!E11*'Output-Calculation-sheet'!E110</f>
        <v>3592504014.0463033</v>
      </c>
      <c r="F133" s="2">
        <f>F12/'Output-Calculation-sheet'!F11*'Output-Calculation-sheet'!F110</f>
        <v>2942453470.6332378</v>
      </c>
      <c r="G133" s="2">
        <f>G12/'Output-Calculation-sheet'!G11*'Output-Calculation-sheet'!G110</f>
        <v>2776951085.3628626</v>
      </c>
      <c r="H133" s="2">
        <f>H12/'Output-Calculation-sheet'!H11*'Output-Calculation-sheet'!H110</f>
        <v>3030033168.6202555</v>
      </c>
      <c r="I133" s="2">
        <f>I12/'Output-Calculation-sheet'!I11*'Output-Calculation-sheet'!I110</f>
        <v>2383419307.0843916</v>
      </c>
      <c r="J133" s="2">
        <f>J12/'Output-Calculation-sheet'!J11*'Output-Calculation-sheet'!J110</f>
        <v>1734247497.6675332</v>
      </c>
      <c r="K133" s="2">
        <f>K12/'Output-Calculation-sheet'!K11*'Output-Calculation-sheet'!K110</f>
        <v>1913040800.3882387</v>
      </c>
      <c r="L133" s="2">
        <f>L12/'Output-Calculation-sheet'!L11*'Output-Calculation-sheet'!L110</f>
        <v>836843190.63399065</v>
      </c>
      <c r="M133" s="2">
        <f>M12/'Output-Calculation-sheet'!M11*'Output-Calculation-sheet'!M110</f>
        <v>1666681169.456434</v>
      </c>
      <c r="N133" s="2">
        <f>N12/'Output-Calculation-sheet'!N11*'Output-Calculation-sheet'!N110</f>
        <v>1515063500.9351847</v>
      </c>
      <c r="O133" s="2">
        <f>O12/'Output-Calculation-sheet'!O11*'Output-Calculation-sheet'!O110</f>
        <v>6687579720.2505074</v>
      </c>
      <c r="P133" s="2">
        <f>P12/'Output-Calculation-sheet'!P11*'Output-Calculation-sheet'!P110</f>
        <v>1281110914.3842368</v>
      </c>
      <c r="Q133" s="2">
        <f>Q12/'Output-Calculation-sheet'!Q11*'Output-Calculation-sheet'!Q110</f>
        <v>1841211816.228719</v>
      </c>
      <c r="R133" s="2">
        <f>R12/'Output-Calculation-sheet'!R11*'Output-Calculation-sheet'!R110</f>
        <v>963002434.37151694</v>
      </c>
      <c r="S133" s="2">
        <f>S12/'Output-Calculation-sheet'!S11*'Output-Calculation-sheet'!S110</f>
        <v>1120039152.0970764</v>
      </c>
      <c r="T133" s="2">
        <f>T12/'Output-Calculation-sheet'!T11*'Output-Calculation-sheet'!T110</f>
        <v>268140184.53202125</v>
      </c>
      <c r="U133" s="2">
        <f>U12/'Output-Calculation-sheet'!U11*'Output-Calculation-sheet'!U110</f>
        <v>620573799.58332288</v>
      </c>
      <c r="V133" s="2">
        <f>V12/'Output-Calculation-sheet'!V11*'Output-Calculation-sheet'!V110</f>
        <v>92798369.419963807</v>
      </c>
      <c r="W133" s="2">
        <f>W12/'Output-Calculation-sheet'!W11*'Output-Calculation-sheet'!W110</f>
        <v>185900035.35264206</v>
      </c>
      <c r="X133" s="2">
        <f>X12/'Output-Calculation-sheet'!X11*'Output-Calculation-sheet'!X110</f>
        <v>258543267.21676964</v>
      </c>
      <c r="Y133" s="2">
        <f>Y12/'Output-Calculation-sheet'!Y11*'Output-Calculation-sheet'!Y110</f>
        <v>182560315.49320576</v>
      </c>
      <c r="AA133" s="2">
        <f t="shared" si="11"/>
        <v>86986.320920693121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1286.9931981545024</v>
      </c>
      <c r="C19" s="2">
        <f>C8/'Output-Calculation-sheet'!C7*'Output-Calculation-sheet'!C25</f>
        <v>14727.307147755284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5774.1536170804584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4011.3282930767919</v>
      </c>
      <c r="N19" s="2">
        <f>N8/'Output-Calculation-sheet'!N7*'Output-Calculation-sheet'!N25</f>
        <v>1373.6345119500234</v>
      </c>
      <c r="O19" s="2">
        <f>O8/'Output-Calculation-sheet'!O7*'Output-Calculation-sheet'!O25</f>
        <v>2264.1075047914965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490.13447830018333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448.69608787961914</v>
      </c>
      <c r="Y19" s="2">
        <f>Y8/'Output-Calculation-sheet'!Y7*'Output-Calculation-sheet'!Y25</f>
        <v>0</v>
      </c>
      <c r="AA19" s="2">
        <f t="shared" si="0"/>
        <v>30.376354838988359</v>
      </c>
    </row>
    <row r="20" spans="1:27" x14ac:dyDescent="0.25">
      <c r="A20" s="2">
        <v>2032</v>
      </c>
      <c r="B20" s="2">
        <f>B9/'Output-Calculation-sheet'!B8*'Output-Calculation-sheet'!B26</f>
        <v>7509.4264849270749</v>
      </c>
      <c r="C20" s="2">
        <f>C9/'Output-Calculation-sheet'!C8*'Output-Calculation-sheet'!C26</f>
        <v>17759.406158676502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8159.1389483654639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5676.8733988145705</v>
      </c>
      <c r="N20" s="2">
        <f>N9/'Output-Calculation-sheet'!N8*'Output-Calculation-sheet'!N26</f>
        <v>2561.8711424527323</v>
      </c>
      <c r="O20" s="2">
        <f>O9/'Output-Calculation-sheet'!O8*'Output-Calculation-sheet'!O26</f>
        <v>2813.7256875866924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926.29705737830795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635.10270553471332</v>
      </c>
      <c r="Y20" s="2">
        <f>Y9/'Output-Calculation-sheet'!Y8*'Output-Calculation-sheet'!Y26</f>
        <v>0</v>
      </c>
      <c r="AA20" s="2">
        <f t="shared" si="0"/>
        <v>46.041841583736066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21295.275196855528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10611.426286241784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7369.7392009031582</v>
      </c>
      <c r="N21" s="2">
        <f>N10/'Output-Calculation-sheet'!N9*'Output-Calculation-sheet'!N27</f>
        <v>4031.1580878325149</v>
      </c>
      <c r="O21" s="2">
        <f>O10/'Output-Calculation-sheet'!O9*'Output-Calculation-sheet'!O27</f>
        <v>3269.0862877713353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1754.992525492466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866.68094249043168</v>
      </c>
      <c r="Y21" s="2">
        <f>Y10/'Output-Calculation-sheet'!Y9*'Output-Calculation-sheet'!Y27</f>
        <v>0</v>
      </c>
      <c r="AA21" s="2">
        <f t="shared" si="0"/>
        <v>67.827270529703981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25669.395644505108</v>
      </c>
      <c r="D22" s="2">
        <f>D11/'Output-Calculation-sheet'!D10*'Output-Calculation-sheet'!D28</f>
        <v>0</v>
      </c>
      <c r="E22" s="2">
        <f>E11/'Output-Calculation-sheet'!E10*'Output-Calculation-sheet'!E28</f>
        <v>1896.6354578448334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13520.418022834107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1111.9788982258497</v>
      </c>
      <c r="M22" s="2">
        <f>M11/'Output-Calculation-sheet'!M10*'Output-Calculation-sheet'!M28</f>
        <v>10107.817478399393</v>
      </c>
      <c r="N22" s="2">
        <f>N11/'Output-Calculation-sheet'!N10*'Output-Calculation-sheet'!N28</f>
        <v>5817.1052626327046</v>
      </c>
      <c r="O22" s="2">
        <f>O11/'Output-Calculation-sheet'!O10*'Output-Calculation-sheet'!O28</f>
        <v>3865.0152809842784</v>
      </c>
      <c r="P22" s="2">
        <f>P11/'Output-Calculation-sheet'!P10*'Output-Calculation-sheet'!P28</f>
        <v>0</v>
      </c>
      <c r="Q22" s="2">
        <f>Q11/'Output-Calculation-sheet'!Q10*'Output-Calculation-sheet'!Q28</f>
        <v>1680.1134340976521</v>
      </c>
      <c r="R22" s="2">
        <f>R11/'Output-Calculation-sheet'!R10*'Output-Calculation-sheet'!R28</f>
        <v>0</v>
      </c>
      <c r="S22" s="2">
        <f>S11/'Output-Calculation-sheet'!S10*'Output-Calculation-sheet'!S28</f>
        <v>2950.0988702816903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973.49438488121643</v>
      </c>
      <c r="Y22" s="2">
        <f>Y11/'Output-Calculation-sheet'!Y10*'Output-Calculation-sheet'!Y28</f>
        <v>101.58414522787777</v>
      </c>
      <c r="AA22" s="2">
        <f t="shared" si="0"/>
        <v>104.21140215884517</v>
      </c>
    </row>
    <row r="23" spans="1:27" x14ac:dyDescent="0.25">
      <c r="A23" s="2">
        <v>2035</v>
      </c>
      <c r="B23" s="2">
        <f>B12/'Output-Calculation-sheet'!B11*'Output-Calculation-sheet'!B29</f>
        <v>38331.445821669658</v>
      </c>
      <c r="C23" s="2">
        <f>C12/'Output-Calculation-sheet'!C11*'Output-Calculation-sheet'!C29</f>
        <v>32567.907005031782</v>
      </c>
      <c r="D23" s="2">
        <f>D12/'Output-Calculation-sheet'!D11*'Output-Calculation-sheet'!D29</f>
        <v>0</v>
      </c>
      <c r="E23" s="2">
        <f>E12/'Output-Calculation-sheet'!E11*'Output-Calculation-sheet'!E29</f>
        <v>6447.8772393989375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14136.565040254081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2333.310516582796</v>
      </c>
      <c r="M23" s="2">
        <f>M12/'Output-Calculation-sheet'!M11*'Output-Calculation-sheet'!M29</f>
        <v>10716.042992496352</v>
      </c>
      <c r="N23" s="2">
        <f>N12/'Output-Calculation-sheet'!N11*'Output-Calculation-sheet'!N29</f>
        <v>6310.3760180983427</v>
      </c>
      <c r="O23" s="2">
        <f>O12/'Output-Calculation-sheet'!O11*'Output-Calculation-sheet'!O29</f>
        <v>4879.5918586447679</v>
      </c>
      <c r="P23" s="2">
        <f>P12/'Output-Calculation-sheet'!P11*'Output-Calculation-sheet'!P29</f>
        <v>744.70224408561148</v>
      </c>
      <c r="Q23" s="2">
        <f>Q12/'Output-Calculation-sheet'!Q11*'Output-Calculation-sheet'!Q29</f>
        <v>1991.5440550875264</v>
      </c>
      <c r="R23" s="2">
        <f>R12/'Output-Calculation-sheet'!R11*'Output-Calculation-sheet'!R29</f>
        <v>0</v>
      </c>
      <c r="S23" s="2">
        <f>S12/'Output-Calculation-sheet'!S11*'Output-Calculation-sheet'!S29</f>
        <v>3034.0832117781824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1004.5432951962123</v>
      </c>
      <c r="Y23" s="2">
        <f>Y12/'Output-Calculation-sheet'!Y11*'Output-Calculation-sheet'!Y29</f>
        <v>141.78192581207537</v>
      </c>
      <c r="AA23" s="2">
        <f t="shared" si="0"/>
        <v>122.63977122413633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22431.873368781777</v>
      </c>
      <c r="C30" s="2">
        <f>C8/'Output-Calculation-sheet'!C7*'Output-Calculation-sheet'!C16</f>
        <v>0</v>
      </c>
      <c r="D30" s="2">
        <f>D8/'Output-Calculation-sheet'!D7*'Output-Calculation-sheet'!D16</f>
        <v>3777.2309336745325</v>
      </c>
      <c r="E30" s="2">
        <f>E8/'Output-Calculation-sheet'!E7*'Output-Calculation-sheet'!E16</f>
        <v>4064.0870791769262</v>
      </c>
      <c r="F30" s="2">
        <f>F8/'Output-Calculation-sheet'!F7*'Output-Calculation-sheet'!F16</f>
        <v>2050.3535575582846</v>
      </c>
      <c r="G30" s="2">
        <f>G8/'Output-Calculation-sheet'!G7*'Output-Calculation-sheet'!G16</f>
        <v>1342.7380563963677</v>
      </c>
      <c r="H30" s="2">
        <f>H8/'Output-Calculation-sheet'!H7*'Output-Calculation-sheet'!H16</f>
        <v>0</v>
      </c>
      <c r="I30" s="2">
        <f>I8/'Output-Calculation-sheet'!I7*'Output-Calculation-sheet'!I16</f>
        <v>1308.9685550601573</v>
      </c>
      <c r="J30" s="2">
        <f>J8/'Output-Calculation-sheet'!J7*'Output-Calculation-sheet'!J16</f>
        <v>1165.2337074643019</v>
      </c>
      <c r="K30" s="2">
        <f>K8/'Output-Calculation-sheet'!K7*'Output-Calculation-sheet'!K16</f>
        <v>1555.8097220123432</v>
      </c>
      <c r="L30" s="2">
        <f>L8/'Output-Calculation-sheet'!L7*'Output-Calculation-sheet'!L16</f>
        <v>1314.1534010648643</v>
      </c>
      <c r="M30" s="2">
        <f>M8/'Output-Calculation-sheet'!M7*'Output-Calculation-sheet'!M16</f>
        <v>0</v>
      </c>
      <c r="N30" s="2">
        <f>N8/'Output-Calculation-sheet'!N7*'Output-Calculation-sheet'!N16</f>
        <v>1866.6441904022327</v>
      </c>
      <c r="O30" s="2">
        <f>O8/'Output-Calculation-sheet'!O7*'Output-Calculation-sheet'!O16</f>
        <v>0</v>
      </c>
      <c r="P30" s="2">
        <f>P8/'Output-Calculation-sheet'!P7*'Output-Calculation-sheet'!P16</f>
        <v>1677.6785488463913</v>
      </c>
      <c r="Q30" s="2">
        <f>Q8/'Output-Calculation-sheet'!Q7*'Output-Calculation-sheet'!Q16</f>
        <v>1844.8923338904979</v>
      </c>
      <c r="R30" s="2">
        <f>R8/'Output-Calculation-sheet'!R7*'Output-Calculation-sheet'!R16</f>
        <v>1170.5922044643</v>
      </c>
      <c r="S30" s="2">
        <f>S8/'Output-Calculation-sheet'!S7*'Output-Calculation-sheet'!S16</f>
        <v>1177.2725018713925</v>
      </c>
      <c r="T30" s="2">
        <f>T8/'Output-Calculation-sheet'!T7*'Output-Calculation-sheet'!T16</f>
        <v>351.39495340608119</v>
      </c>
      <c r="U30" s="2">
        <f>U8/'Output-Calculation-sheet'!U7*'Output-Calculation-sheet'!U16</f>
        <v>350.7668438374377</v>
      </c>
      <c r="V30" s="2">
        <f>V8/'Output-Calculation-sheet'!V7*'Output-Calculation-sheet'!V16</f>
        <v>272.99516701694625</v>
      </c>
      <c r="W30" s="2">
        <f>W8/'Output-Calculation-sheet'!W7*'Output-Calculation-sheet'!W16</f>
        <v>165.58533117443622</v>
      </c>
      <c r="X30" s="2">
        <f>X8/'Output-Calculation-sheet'!X7*'Output-Calculation-sheet'!X16</f>
        <v>0</v>
      </c>
      <c r="Y30" s="2">
        <f>Y8/'Output-Calculation-sheet'!Y7*'Output-Calculation-sheet'!Y16</f>
        <v>140.14915788214643</v>
      </c>
      <c r="AA30" s="2">
        <f t="shared" si="1"/>
        <v>48.028419613981413</v>
      </c>
    </row>
    <row r="31" spans="1:27" x14ac:dyDescent="0.25">
      <c r="A31" s="2">
        <v>2032</v>
      </c>
      <c r="B31" s="2">
        <f>B9/'Output-Calculation-sheet'!B8*'Output-Calculation-sheet'!B17</f>
        <v>31797.392757760212</v>
      </c>
      <c r="C31" s="2">
        <f>C9/'Output-Calculation-sheet'!C8*'Output-Calculation-sheet'!C17</f>
        <v>0</v>
      </c>
      <c r="D31" s="2">
        <f>D9/'Output-Calculation-sheet'!D8*'Output-Calculation-sheet'!D17</f>
        <v>5332.8402537808279</v>
      </c>
      <c r="E31" s="2">
        <f>E9/'Output-Calculation-sheet'!E8*'Output-Calculation-sheet'!E17</f>
        <v>6268.025101885034</v>
      </c>
      <c r="F31" s="2">
        <f>F9/'Output-Calculation-sheet'!F8*'Output-Calculation-sheet'!F17</f>
        <v>2894.8387085084601</v>
      </c>
      <c r="G31" s="2">
        <f>G9/'Output-Calculation-sheet'!G8*'Output-Calculation-sheet'!G17</f>
        <v>1895.7579655177644</v>
      </c>
      <c r="H31" s="2">
        <f>H9/'Output-Calculation-sheet'!H8*'Output-Calculation-sheet'!H17</f>
        <v>0</v>
      </c>
      <c r="I31" s="2">
        <f>I9/'Output-Calculation-sheet'!I8*'Output-Calculation-sheet'!I17</f>
        <v>1848.0888183747356</v>
      </c>
      <c r="J31" s="2">
        <f>J9/'Output-Calculation-sheet'!J8*'Output-Calculation-sheet'!J17</f>
        <v>1645.155267037587</v>
      </c>
      <c r="K31" s="2">
        <f>K9/'Output-Calculation-sheet'!K8*'Output-Calculation-sheet'!K17</f>
        <v>2342.2642877689314</v>
      </c>
      <c r="L31" s="2">
        <f>L9/'Output-Calculation-sheet'!L8*'Output-Calculation-sheet'!L17</f>
        <v>1997.5396778157665</v>
      </c>
      <c r="M31" s="2">
        <f>M9/'Output-Calculation-sheet'!M8*'Output-Calculation-sheet'!M17</f>
        <v>0</v>
      </c>
      <c r="N31" s="2">
        <f>N9/'Output-Calculation-sheet'!N8*'Output-Calculation-sheet'!N17</f>
        <v>2171.5299300667734</v>
      </c>
      <c r="O31" s="2">
        <f>O9/'Output-Calculation-sheet'!O8*'Output-Calculation-sheet'!O17</f>
        <v>0</v>
      </c>
      <c r="P31" s="2">
        <f>P9/'Output-Calculation-sheet'!P8*'Output-Calculation-sheet'!P17</f>
        <v>2695.2056886887676</v>
      </c>
      <c r="Q31" s="2">
        <f>Q9/'Output-Calculation-sheet'!Q8*'Output-Calculation-sheet'!Q17</f>
        <v>2873.3368914193325</v>
      </c>
      <c r="R31" s="2">
        <f>R9/'Output-Calculation-sheet'!R8*'Output-Calculation-sheet'!R17</f>
        <v>1879.8888484606662</v>
      </c>
      <c r="S31" s="2">
        <f>S9/'Output-Calculation-sheet'!S8*'Output-Calculation-sheet'!S17</f>
        <v>1623.3149551842264</v>
      </c>
      <c r="T31" s="2">
        <f>T9/'Output-Calculation-sheet'!T8*'Output-Calculation-sheet'!T17</f>
        <v>510.12157363504321</v>
      </c>
      <c r="U31" s="2">
        <f>U9/'Output-Calculation-sheet'!U8*'Output-Calculation-sheet'!U17</f>
        <v>586.29231566099486</v>
      </c>
      <c r="V31" s="2">
        <f>V9/'Output-Calculation-sheet'!V8*'Output-Calculation-sheet'!V17</f>
        <v>419.93336677354148</v>
      </c>
      <c r="W31" s="2">
        <f>W9/'Output-Calculation-sheet'!W8*'Output-Calculation-sheet'!W17</f>
        <v>233.78681330717083</v>
      </c>
      <c r="X31" s="2">
        <f>X9/'Output-Calculation-sheet'!X8*'Output-Calculation-sheet'!X17</f>
        <v>0</v>
      </c>
      <c r="Y31" s="2">
        <f>Y9/'Output-Calculation-sheet'!Y8*'Output-Calculation-sheet'!Y17</f>
        <v>225.88871216521812</v>
      </c>
      <c r="AA31" s="2">
        <f t="shared" si="1"/>
        <v>69.241201933811055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2268.7176488832888</v>
      </c>
      <c r="O32" s="2">
        <f>O10/'Output-Calculation-sheet'!O9*'Output-Calculation-sheet'!O18</f>
        <v>0</v>
      </c>
      <c r="P32" s="2">
        <f>P10/'Output-Calculation-sheet'!P9*'Output-Calculation-sheet'!P18</f>
        <v>3651.5957541157786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2621.7227588419282</v>
      </c>
      <c r="S32" s="2">
        <f>S10/'Output-Calculation-sheet'!S9*'Output-Calculation-sheet'!S18</f>
        <v>1715.9101427188307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846.33370248349479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89.430533922203026</v>
      </c>
    </row>
    <row r="33" spans="1:27" x14ac:dyDescent="0.25">
      <c r="A33" s="2">
        <v>2034</v>
      </c>
      <c r="B33" s="2">
        <f>B11/'Output-Calculation-sheet'!B10*'Output-Calculation-sheet'!B19</f>
        <v>36833.365961055184</v>
      </c>
      <c r="C33" s="2">
        <f>C11/'Output-Calculation-sheet'!C10*'Output-Calculation-sheet'!C19</f>
        <v>0</v>
      </c>
      <c r="D33" s="2">
        <f>D11/'Output-Calculation-sheet'!D10*'Output-Calculation-sheet'!D19</f>
        <v>11005.823029713472</v>
      </c>
      <c r="E33" s="2">
        <f>E11/'Output-Calculation-sheet'!E10*'Output-Calculation-sheet'!E19</f>
        <v>13590.708170330361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3740.0993954837186</v>
      </c>
      <c r="H33" s="2">
        <f>H11/'Output-Calculation-sheet'!H10*'Output-Calculation-sheet'!H19</f>
        <v>0</v>
      </c>
      <c r="I33" s="2">
        <f>I11/'Output-Calculation-sheet'!I10*'Output-Calculation-sheet'!I19</f>
        <v>4086.6482364998137</v>
      </c>
      <c r="J33" s="2">
        <f>J11/'Output-Calculation-sheet'!J10*'Output-Calculation-sheet'!J19</f>
        <v>3451.1842973739367</v>
      </c>
      <c r="K33" s="2">
        <f>K11/'Output-Calculation-sheet'!K10*'Output-Calculation-sheet'!K19</f>
        <v>4788.2339457432254</v>
      </c>
      <c r="L33" s="2">
        <f>L11/'Output-Calculation-sheet'!L10*'Output-Calculation-sheet'!L19</f>
        <v>3898.0070396615074</v>
      </c>
      <c r="M33" s="2">
        <f>M11/'Output-Calculation-sheet'!M10*'Output-Calculation-sheet'!M19</f>
        <v>0</v>
      </c>
      <c r="N33" s="2">
        <f>N11/'Output-Calculation-sheet'!N10*'Output-Calculation-sheet'!N19</f>
        <v>2201.8135023458231</v>
      </c>
      <c r="O33" s="2">
        <f>O11/'Output-Calculation-sheet'!O10*'Output-Calculation-sheet'!O19</f>
        <v>0</v>
      </c>
      <c r="P33" s="2">
        <f>P11/'Output-Calculation-sheet'!P10*'Output-Calculation-sheet'!P19</f>
        <v>4848.2696549724624</v>
      </c>
      <c r="Q33" s="2">
        <f>Q11/'Output-Calculation-sheet'!Q10*'Output-Calculation-sheet'!Q19</f>
        <v>3949.4431061740634</v>
      </c>
      <c r="R33" s="2">
        <f>R11/'Output-Calculation-sheet'!R10*'Output-Calculation-sheet'!R19</f>
        <v>3458.865219555471</v>
      </c>
      <c r="S33" s="2">
        <f>S11/'Output-Calculation-sheet'!S10*'Output-Calculation-sheet'!S19</f>
        <v>1616.7333939774851</v>
      </c>
      <c r="T33" s="2">
        <f>T11/'Output-Calculation-sheet'!T10*'Output-Calculation-sheet'!T19</f>
        <v>1014.9966732041285</v>
      </c>
      <c r="U33" s="2">
        <f>U11/'Output-Calculation-sheet'!U10*'Output-Calculation-sheet'!U19</f>
        <v>1087.5471608305925</v>
      </c>
      <c r="V33" s="2">
        <f>V11/'Output-Calculation-sheet'!V10*'Output-Calculation-sheet'!V19</f>
        <v>795.91865424886407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128.21191415425807</v>
      </c>
      <c r="Y33" s="2">
        <f>Y11/'Output-Calculation-sheet'!Y10*'Output-Calculation-sheet'!Y19</f>
        <v>446.69230448681856</v>
      </c>
      <c r="AA33" s="2">
        <f t="shared" si="1"/>
        <v>107.68340678139467</v>
      </c>
    </row>
    <row r="34" spans="1:27" x14ac:dyDescent="0.25">
      <c r="A34" s="2">
        <v>2035</v>
      </c>
      <c r="B34" s="2">
        <f>B12/'Output-Calculation-sheet'!B11*'Output-Calculation-sheet'!B20</f>
        <v>35061.509346563849</v>
      </c>
      <c r="C34" s="2">
        <f>C12/'Output-Calculation-sheet'!C11*'Output-Calculation-sheet'!C20</f>
        <v>0</v>
      </c>
      <c r="D34" s="2">
        <f>D12/'Output-Calculation-sheet'!D11*'Output-Calculation-sheet'!D20</f>
        <v>11284.781630802829</v>
      </c>
      <c r="E34" s="2">
        <f>E12/'Output-Calculation-sheet'!E11*'Output-Calculation-sheet'!E20</f>
        <v>12538.972069484324</v>
      </c>
      <c r="F34" s="2">
        <f>F12/'Output-Calculation-sheet'!F11*'Output-Calculation-sheet'!F20</f>
        <v>7013.5399574925432</v>
      </c>
      <c r="G34" s="2">
        <f>G12/'Output-Calculation-sheet'!G11*'Output-Calculation-sheet'!G20</f>
        <v>3785.8225247670694</v>
      </c>
      <c r="H34" s="2">
        <f>H12/'Output-Calculation-sheet'!H11*'Output-Calculation-sheet'!H20</f>
        <v>0</v>
      </c>
      <c r="I34" s="2">
        <f>I12/'Output-Calculation-sheet'!I11*'Output-Calculation-sheet'!I20</f>
        <v>4208.938443662023</v>
      </c>
      <c r="J34" s="2">
        <f>J12/'Output-Calculation-sheet'!J11*'Output-Calculation-sheet'!J20</f>
        <v>3901.2712346696144</v>
      </c>
      <c r="K34" s="2">
        <f>K12/'Output-Calculation-sheet'!K11*'Output-Calculation-sheet'!K20</f>
        <v>5188.297626237073</v>
      </c>
      <c r="L34" s="2">
        <f>L12/'Output-Calculation-sheet'!L11*'Output-Calculation-sheet'!L20</f>
        <v>4140.4790186631135</v>
      </c>
      <c r="M34" s="2">
        <f>M12/'Output-Calculation-sheet'!M11*'Output-Calculation-sheet'!M20</f>
        <v>0</v>
      </c>
      <c r="N34" s="2">
        <f>N12/'Output-Calculation-sheet'!N11*'Output-Calculation-sheet'!N20</f>
        <v>2220.3670879075185</v>
      </c>
      <c r="O34" s="2">
        <f>O12/'Output-Calculation-sheet'!O11*'Output-Calculation-sheet'!O20</f>
        <v>0</v>
      </c>
      <c r="P34" s="2">
        <f>P12/'Output-Calculation-sheet'!P11*'Output-Calculation-sheet'!P20</f>
        <v>4729.2048537515166</v>
      </c>
      <c r="Q34" s="2">
        <f>Q12/'Output-Calculation-sheet'!Q11*'Output-Calculation-sheet'!Q20</f>
        <v>3944.112748465795</v>
      </c>
      <c r="R34" s="2">
        <f>R12/'Output-Calculation-sheet'!R11*'Output-Calculation-sheet'!R20</f>
        <v>3973.0945316987609</v>
      </c>
      <c r="S34" s="2">
        <f>S12/'Output-Calculation-sheet'!S11*'Output-Calculation-sheet'!S20</f>
        <v>1517.7091489210654</v>
      </c>
      <c r="T34" s="2">
        <f>T12/'Output-Calculation-sheet'!T11*'Output-Calculation-sheet'!T20</f>
        <v>1205.0813398577559</v>
      </c>
      <c r="U34" s="2">
        <f>U12/'Output-Calculation-sheet'!U11*'Output-Calculation-sheet'!U20</f>
        <v>1109.2192487478817</v>
      </c>
      <c r="V34" s="2">
        <f>V12/'Output-Calculation-sheet'!V11*'Output-Calculation-sheet'!V20</f>
        <v>1092.1071525240043</v>
      </c>
      <c r="W34" s="2">
        <f>W12/'Output-Calculation-sheet'!W11*'Output-Calculation-sheet'!W20</f>
        <v>592.55418993526871</v>
      </c>
      <c r="X34" s="2">
        <f>X12/'Output-Calculation-sheet'!X11*'Output-Calculation-sheet'!X20</f>
        <v>125.10404006598749</v>
      </c>
      <c r="Y34" s="2">
        <f>Y12/'Output-Calculation-sheet'!Y11*'Output-Calculation-sheet'!Y20</f>
        <v>430.07152804332571</v>
      </c>
      <c r="AA34" s="2">
        <f t="shared" si="1"/>
        <v>108.06223772226133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1.2227439350099432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0.23754625197525273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1.4602901869851959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1.381074465591444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0.26830561461529956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1.6493800802067435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1.4909910039438958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0.28965944101191687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1.7806504449558127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1.5595680484947358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0.48008361665112048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0.30298211588943286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0.28446470643111244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9.0761622499771266E-2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2.7540997167637169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1.5942175631950222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0.30971358444482378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13.362429640988386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14694.378868101949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8188.3218229203321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5588.9282463108548</v>
      </c>
      <c r="N52" s="2">
        <f>N8/'Output-Calculation-sheet'!N7*'Output-Calculation-sheet'!N43</f>
        <v>178.63478543492346</v>
      </c>
      <c r="O52" s="2">
        <f>O8/'Output-Calculation-sheet'!O7*'Output-Calculation-sheet'!O43</f>
        <v>687.63388729678422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720.29044985646715</v>
      </c>
      <c r="Y52" s="2">
        <f>Y8/'Output-Calculation-sheet'!Y7*'Output-Calculation-sheet'!Y43</f>
        <v>0</v>
      </c>
      <c r="AA52" s="2">
        <f t="shared" si="3"/>
        <v>30.058188059921306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20837.263866818277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16371.531991683374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11188.232803178451</v>
      </c>
      <c r="N53" s="2">
        <f>N9/'Output-Calculation-sheet'!N8*'Output-Calculation-sheet'!N44</f>
        <v>3984.8750763701955</v>
      </c>
      <c r="O53" s="2">
        <f>O9/'Output-Calculation-sheet'!O8*'Output-Calculation-sheet'!O44</f>
        <v>1553.3482951412079</v>
      </c>
      <c r="P53" s="2">
        <f>P9/'Output-Calculation-sheet'!P8*'Output-Calculation-sheet'!P44</f>
        <v>186.39526880460369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1228.8749961317317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1399.0968571487253</v>
      </c>
      <c r="Y53" s="2">
        <f>Y9/'Output-Calculation-sheet'!Y8*'Output-Calculation-sheet'!Y44</f>
        <v>0</v>
      </c>
      <c r="AA53" s="2">
        <f t="shared" si="3"/>
        <v>56.749619155276569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31781.650347225146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2820.3682414318218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631.75136076453407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135.5790089734368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48155.083602644474</v>
      </c>
      <c r="D55" s="2">
        <f>D11/'Output-Calculation-sheet'!D10*'Output-Calculation-sheet'!D46</f>
        <v>9573.6530131401742</v>
      </c>
      <c r="E55" s="2">
        <f>E11/'Output-Calculation-sheet'!E10*'Output-Calculation-sheet'!E46</f>
        <v>11942.456546628717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31331.772876178387</v>
      </c>
      <c r="I55" s="2">
        <f>I11/'Output-Calculation-sheet'!I10*'Output-Calculation-sheet'!I46</f>
        <v>2306.9189314033988</v>
      </c>
      <c r="J55" s="2">
        <f>J11/'Output-Calculation-sheet'!J10*'Output-Calculation-sheet'!J46</f>
        <v>1702.6451358335748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22138.877495225654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4837.0829027962081</v>
      </c>
      <c r="P55" s="2">
        <f>P11/'Output-Calculation-sheet'!P10*'Output-Calculation-sheet'!P46</f>
        <v>6209.3213142318391</v>
      </c>
      <c r="Q55" s="2">
        <f>Q11/'Output-Calculation-sheet'!Q10*'Output-Calculation-sheet'!Q46</f>
        <v>4840.8906182136679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8293.5358747494411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1480.8475249962678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2228.4179267612544</v>
      </c>
      <c r="Y55" s="2">
        <f>Y11/'Output-Calculation-sheet'!Y10*'Output-Calculation-sheet'!Y46</f>
        <v>585.93258858865295</v>
      </c>
      <c r="AA55" s="2">
        <f t="shared" si="3"/>
        <v>295.30890619462531</v>
      </c>
    </row>
    <row r="56" spans="1:27" x14ac:dyDescent="0.25">
      <c r="A56" s="2">
        <v>2035</v>
      </c>
      <c r="B56" s="2">
        <f>B12/'Output-Calculation-sheet'!B11*'Output-Calculation-sheet'!B47</f>
        <v>109312.16726115103</v>
      </c>
      <c r="C56" s="2">
        <f>C12/'Output-Calculation-sheet'!C11*'Output-Calculation-sheet'!C47</f>
        <v>81528.845556377011</v>
      </c>
      <c r="D56" s="2">
        <f>D12/'Output-Calculation-sheet'!D11*'Output-Calculation-sheet'!D47</f>
        <v>11149.01144695985</v>
      </c>
      <c r="E56" s="2">
        <f>E12/'Output-Calculation-sheet'!E11*'Output-Calculation-sheet'!E47</f>
        <v>28058.219275486259</v>
      </c>
      <c r="F56" s="2">
        <f>F12/'Output-Calculation-sheet'!F11*'Output-Calculation-sheet'!F47</f>
        <v>1547.9557780659975</v>
      </c>
      <c r="G56" s="2">
        <f>G12/'Output-Calculation-sheet'!G11*'Output-Calculation-sheet'!G47</f>
        <v>4132.702946256044</v>
      </c>
      <c r="H56" s="2">
        <f>H12/'Output-Calculation-sheet'!H11*'Output-Calculation-sheet'!H47</f>
        <v>32329.220361311782</v>
      </c>
      <c r="I56" s="2">
        <f>I12/'Output-Calculation-sheet'!I11*'Output-Calculation-sheet'!I47</f>
        <v>2637.9558167389346</v>
      </c>
      <c r="J56" s="2">
        <f>J12/'Output-Calculation-sheet'!J11*'Output-Calculation-sheet'!J47</f>
        <v>4311.6274063531719</v>
      </c>
      <c r="K56" s="2">
        <f>K12/'Output-Calculation-sheet'!K11*'Output-Calculation-sheet'!K47</f>
        <v>5931.7726544346197</v>
      </c>
      <c r="L56" s="2">
        <f>L12/'Output-Calculation-sheet'!L11*'Output-Calculation-sheet'!L47</f>
        <v>6372.1782806046986</v>
      </c>
      <c r="M56" s="2">
        <f>M12/'Output-Calculation-sheet'!M11*'Output-Calculation-sheet'!M47</f>
        <v>22719.609514534775</v>
      </c>
      <c r="N56" s="2">
        <f>N12/'Output-Calculation-sheet'!N11*'Output-Calculation-sheet'!N47</f>
        <v>18166.560410849932</v>
      </c>
      <c r="O56" s="2">
        <f>O12/'Output-Calculation-sheet'!O11*'Output-Calculation-sheet'!O47</f>
        <v>8992.5610922137421</v>
      </c>
      <c r="P56" s="2">
        <f>P12/'Output-Calculation-sheet'!P11*'Output-Calculation-sheet'!P47</f>
        <v>7880.3047245145781</v>
      </c>
      <c r="Q56" s="2">
        <f>Q12/'Output-Calculation-sheet'!Q11*'Output-Calculation-sheet'!Q47</f>
        <v>5739.1730265595943</v>
      </c>
      <c r="R56" s="2">
        <f>R12/'Output-Calculation-sheet'!R11*'Output-Calculation-sheet'!R47</f>
        <v>6677.9799600712613</v>
      </c>
      <c r="S56" s="2">
        <f>S12/'Output-Calculation-sheet'!S11*'Output-Calculation-sheet'!S47</f>
        <v>8461.1079302747894</v>
      </c>
      <c r="T56" s="2">
        <f>T12/'Output-Calculation-sheet'!T11*'Output-Calculation-sheet'!T47</f>
        <v>2189.8659122987874</v>
      </c>
      <c r="U56" s="2">
        <f>U12/'Output-Calculation-sheet'!U11*'Output-Calculation-sheet'!U47</f>
        <v>1530.0249370082452</v>
      </c>
      <c r="V56" s="2">
        <f>V12/'Output-Calculation-sheet'!V11*'Output-Calculation-sheet'!V47</f>
        <v>1506.1123302328422</v>
      </c>
      <c r="W56" s="2">
        <f>W12/'Output-Calculation-sheet'!W11*'Output-Calculation-sheet'!W47</f>
        <v>537.97425629646386</v>
      </c>
      <c r="X56" s="2">
        <f>X12/'Output-Calculation-sheet'!X11*'Output-Calculation-sheet'!X47</f>
        <v>2294.1752327745439</v>
      </c>
      <c r="Y56" s="2">
        <f>Y12/'Output-Calculation-sheet'!Y11*'Output-Calculation-sheet'!Y47</f>
        <v>699.29819866173011</v>
      </c>
      <c r="AA56" s="2">
        <f t="shared" si="3"/>
        <v>374.70640431003068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8.7361845668254521</v>
      </c>
      <c r="C63" s="2">
        <f>C8*'Output-Calculation-sheet'!C52/10^9</f>
        <v>5.4761652745360498</v>
      </c>
      <c r="D63" s="2">
        <f>D8*'Output-Calculation-sheet'!D52/10^9</f>
        <v>2.9958046286661224</v>
      </c>
      <c r="E63" s="2">
        <f>E8*'Output-Calculation-sheet'!E52/10^9</f>
        <v>2.9786483612881298</v>
      </c>
      <c r="F63" s="2">
        <f>F8*'Output-Calculation-sheet'!F52/10^9</f>
        <v>1.2614583391318315</v>
      </c>
      <c r="G63" s="2">
        <f>G8*'Output-Calculation-sheet'!G52/10^9</f>
        <v>0.9069304575450341</v>
      </c>
      <c r="H63" s="2">
        <f>H8*'Output-Calculation-sheet'!H52/10^9</f>
        <v>1.5842201020176501</v>
      </c>
      <c r="I63" s="2">
        <f>I8*'Output-Calculation-sheet'!I52/10^9</f>
        <v>0.84365599581507233</v>
      </c>
      <c r="J63" s="2">
        <f>J8*'Output-Calculation-sheet'!J52/10^9</f>
        <v>1.1609289687407194</v>
      </c>
      <c r="K63" s="2">
        <f>K8*'Output-Calculation-sheet'!K52/10^9</f>
        <v>1.0199767137151245</v>
      </c>
      <c r="L63" s="2">
        <f>L8*'Output-Calculation-sheet'!L52/10^9</f>
        <v>1.3719158225693724</v>
      </c>
      <c r="M63" s="2">
        <f>M8*'Output-Calculation-sheet'!M52/10^9</f>
        <v>1.2858900427118976</v>
      </c>
      <c r="N63" s="2">
        <f>N8*'Output-Calculation-sheet'!N52/10^9</f>
        <v>1.0731752735061899</v>
      </c>
      <c r="O63" s="2">
        <f>O8*'Output-Calculation-sheet'!O52/10^9</f>
        <v>1.1243822575103264</v>
      </c>
      <c r="P63" s="2">
        <f>P8*'Output-Calculation-sheet'!P52/10^9</f>
        <v>0.70477769024101611</v>
      </c>
      <c r="Q63" s="2">
        <f>Q8*'Output-Calculation-sheet'!Q52/10^9</f>
        <v>0.79759746318141556</v>
      </c>
      <c r="R63" s="2">
        <f>R8*'Output-Calculation-sheet'!R52/10^9</f>
        <v>0.71608499995443964</v>
      </c>
      <c r="S63" s="2">
        <f>S8*'Output-Calculation-sheet'!S52/10^9</f>
        <v>0.53064751603524107</v>
      </c>
      <c r="T63" s="2">
        <f>T8*'Output-Calculation-sheet'!T52/10^9</f>
        <v>0.27224639896534553</v>
      </c>
      <c r="U63" s="2">
        <f>U8*'Output-Calculation-sheet'!U52/10^9</f>
        <v>0.18697579971359074</v>
      </c>
      <c r="V63" s="2">
        <f>V8*'Output-Calculation-sheet'!V52/10^9</f>
        <v>0.33183811261947732</v>
      </c>
      <c r="W63" s="2">
        <f>W8*'Output-Calculation-sheet'!W52/10^9</f>
        <v>0.12011008207374611</v>
      </c>
      <c r="X63" s="2">
        <f>X8*'Output-Calculation-sheet'!X52/10^9</f>
        <v>0.13825385305847371</v>
      </c>
      <c r="Y63" s="2">
        <f>Y8*'Output-Calculation-sheet'!Y52/10^9</f>
        <v>7.8368411685514922E-2</v>
      </c>
      <c r="AA63" s="2">
        <f t="shared" si="4"/>
        <v>35.696237132107235</v>
      </c>
    </row>
    <row r="64" spans="1:27" x14ac:dyDescent="0.25">
      <c r="A64" s="2">
        <v>2032</v>
      </c>
      <c r="B64" s="2">
        <f>B9*'Output-Calculation-sheet'!B53/10^9</f>
        <v>9.4154115331816453</v>
      </c>
      <c r="C64" s="2">
        <f>C9*'Output-Calculation-sheet'!C53/10^9</f>
        <v>6.2820750980616724</v>
      </c>
      <c r="D64" s="2">
        <f>D9*'Output-Calculation-sheet'!D53/10^9</f>
        <v>2.7863947667674474</v>
      </c>
      <c r="E64" s="2">
        <f>E9*'Output-Calculation-sheet'!E53/10^9</f>
        <v>2.8534040916906114</v>
      </c>
      <c r="F64" s="2">
        <f>F9*'Output-Calculation-sheet'!F53/10^9</f>
        <v>1.2035489639880848</v>
      </c>
      <c r="G64" s="2">
        <f>G9*'Output-Calculation-sheet'!G53/10^9</f>
        <v>0.85664842467830238</v>
      </c>
      <c r="H64" s="2">
        <f>H9*'Output-Calculation-sheet'!H53/10^9</f>
        <v>1.7601827668412493</v>
      </c>
      <c r="I64" s="2">
        <f>I9*'Output-Calculation-sheet'!I53/10^9</f>
        <v>0.80082640274753347</v>
      </c>
      <c r="J64" s="2">
        <f>J9*'Output-Calculation-sheet'!J53/10^9</f>
        <v>1.0601324767184432</v>
      </c>
      <c r="K64" s="2">
        <f>K9*'Output-Calculation-sheet'!K53/10^9</f>
        <v>0.98365617715476428</v>
      </c>
      <c r="L64" s="2">
        <f>L9*'Output-Calculation-sheet'!L53/10^9</f>
        <v>1.2654655235868433</v>
      </c>
      <c r="M64" s="2">
        <f>M9*'Output-Calculation-sheet'!M53/10^9</f>
        <v>1.3795439879977516</v>
      </c>
      <c r="N64" s="2">
        <f>N9*'Output-Calculation-sheet'!N53/10^9</f>
        <v>1.1613457292155664</v>
      </c>
      <c r="O64" s="2">
        <f>O9*'Output-Calculation-sheet'!O53/10^9</f>
        <v>1.2786782344866745</v>
      </c>
      <c r="P64" s="2">
        <f>P9*'Output-Calculation-sheet'!P53/10^9</f>
        <v>0.74995838114802049</v>
      </c>
      <c r="Q64" s="2">
        <f>Q9*'Output-Calculation-sheet'!Q53/10^9</f>
        <v>0.82882986636367528</v>
      </c>
      <c r="R64" s="2">
        <f>R9*'Output-Calculation-sheet'!R53/10^9</f>
        <v>0.71050195693142915</v>
      </c>
      <c r="S64" s="2">
        <f>S9*'Output-Calculation-sheet'!S53/10^9</f>
        <v>0.58703340878564003</v>
      </c>
      <c r="T64" s="2">
        <f>T9*'Output-Calculation-sheet'!T53/10^9</f>
        <v>0.2554069601281504</v>
      </c>
      <c r="U64" s="2">
        <f>U9*'Output-Calculation-sheet'!U53/10^9</f>
        <v>0.19223940146283894</v>
      </c>
      <c r="V64" s="2">
        <f>V9*'Output-Calculation-sheet'!V53/10^9</f>
        <v>0.30315089581724841</v>
      </c>
      <c r="W64" s="2">
        <f>W9*'Output-Calculation-sheet'!W53/10^9</f>
        <v>0.11264540881590329</v>
      </c>
      <c r="X64" s="2">
        <f>X9*'Output-Calculation-sheet'!X53/10^9</f>
        <v>0.15290139480466022</v>
      </c>
      <c r="Y64" s="2">
        <f>Y9*'Output-Calculation-sheet'!Y53/10^9</f>
        <v>7.8923036559342644E-2</v>
      </c>
      <c r="AA64" s="2">
        <f t="shared" si="4"/>
        <v>37.058904887933501</v>
      </c>
    </row>
    <row r="65" spans="1:27" x14ac:dyDescent="0.25">
      <c r="A65" s="2">
        <v>2033</v>
      </c>
      <c r="B65" s="2">
        <f>B10*'Output-Calculation-sheet'!B54/10^9</f>
        <v>10.111702463463144</v>
      </c>
      <c r="C65" s="2">
        <f>C10*'Output-Calculation-sheet'!C54/10^9</f>
        <v>6.8364048251120426</v>
      </c>
      <c r="D65" s="2">
        <f>D10*'Output-Calculation-sheet'!D54/10^9</f>
        <v>2.3888871524227193</v>
      </c>
      <c r="E65" s="2">
        <f>E10*'Output-Calculation-sheet'!E54/10^9</f>
        <v>2.6898596154780678</v>
      </c>
      <c r="F65" s="2">
        <f>F10*'Output-Calculation-sheet'!F54/10^9</f>
        <v>1.0920369722698209</v>
      </c>
      <c r="G65" s="2">
        <f>G10*'Output-Calculation-sheet'!G54/10^9</f>
        <v>0.74978216135008491</v>
      </c>
      <c r="H65" s="2">
        <f>H10*'Output-Calculation-sheet'!H54/10^9</f>
        <v>1.8529481227357458</v>
      </c>
      <c r="I65" s="2">
        <f>I10*'Output-Calculation-sheet'!I54/10^9</f>
        <v>0.73008305698169151</v>
      </c>
      <c r="J65" s="2">
        <f>J10*'Output-Calculation-sheet'!J54/10^9</f>
        <v>0.87261208903841248</v>
      </c>
      <c r="K65" s="2">
        <f>K10*'Output-Calculation-sheet'!K54/10^9</f>
        <v>0.93096150789460941</v>
      </c>
      <c r="L65" s="2">
        <f>L10*'Output-Calculation-sheet'!L54/10^9</f>
        <v>1.0996613335427072</v>
      </c>
      <c r="M65" s="2">
        <f>M10*'Output-Calculation-sheet'!M54/10^9</f>
        <v>1.3990578058489547</v>
      </c>
      <c r="N65" s="2">
        <f>N10*'Output-Calculation-sheet'!N54/10^9</f>
        <v>1.2081824150113472</v>
      </c>
      <c r="O65" s="2">
        <f>O10*'Output-Calculation-sheet'!O54/10^9</f>
        <v>1.3828455040866687</v>
      </c>
      <c r="P65" s="2">
        <f>P10*'Output-Calculation-sheet'!P54/10^9</f>
        <v>0.78769906011079105</v>
      </c>
      <c r="Q65" s="2">
        <f>Q10*'Output-Calculation-sheet'!Q54/10^9</f>
        <v>0.8595493576139146</v>
      </c>
      <c r="R65" s="2">
        <f>R10*'Output-Calculation-sheet'!R54/10^9</f>
        <v>0.69348369294955936</v>
      </c>
      <c r="S65" s="2">
        <f>S10*'Output-Calculation-sheet'!S54/10^9</f>
        <v>0.62991859525186322</v>
      </c>
      <c r="T65" s="2">
        <f>T10*'Output-Calculation-sheet'!T54/10^9</f>
        <v>0.23186217089599845</v>
      </c>
      <c r="U65" s="2">
        <f>U10*'Output-Calculation-sheet'!U54/10^9</f>
        <v>0.20021052480638232</v>
      </c>
      <c r="V65" s="2">
        <f>V10*'Output-Calculation-sheet'!V54/10^9</f>
        <v>0.25659049060313621</v>
      </c>
      <c r="W65" s="2">
        <f>W10*'Output-Calculation-sheet'!W54/10^9</f>
        <v>9.7693650572601792E-2</v>
      </c>
      <c r="X65" s="2">
        <f>X10*'Output-Calculation-sheet'!X54/10^9</f>
        <v>0.16091185140621034</v>
      </c>
      <c r="Y65" s="2">
        <f>Y10*'Output-Calculation-sheet'!Y54/10^9</f>
        <v>8.0407110889880132E-2</v>
      </c>
      <c r="AA65" s="2">
        <f t="shared" si="4"/>
        <v>37.343351530336349</v>
      </c>
    </row>
    <row r="66" spans="1:27" x14ac:dyDescent="0.25">
      <c r="A66" s="2">
        <v>2034</v>
      </c>
      <c r="B66" s="2">
        <f>B11*'Output-Calculation-sheet'!B55/10^9</f>
        <v>10.849715136124004</v>
      </c>
      <c r="C66" s="2">
        <f>C11*'Output-Calculation-sheet'!C55/10^9</f>
        <v>7.1565762206148813</v>
      </c>
      <c r="D66" s="2">
        <f>D11*'Output-Calculation-sheet'!D55/10^9</f>
        <v>2.2694278790966247</v>
      </c>
      <c r="E66" s="2">
        <f>E11*'Output-Calculation-sheet'!E55/10^9</f>
        <v>2.7481264416225946</v>
      </c>
      <c r="F66" s="2">
        <f>F11*'Output-Calculation-sheet'!F55/10^9</f>
        <v>1.0561398945422638</v>
      </c>
      <c r="G66" s="2">
        <f>G11*'Output-Calculation-sheet'!G55/10^9</f>
        <v>0.75490918133069451</v>
      </c>
      <c r="H66" s="2">
        <f>H11*'Output-Calculation-sheet'!H55/10^9</f>
        <v>1.9299685325508211</v>
      </c>
      <c r="I66" s="2">
        <f>I11*'Output-Calculation-sheet'!I55/10^9</f>
        <v>0.73821609033721514</v>
      </c>
      <c r="J66" s="2">
        <f>J11*'Output-Calculation-sheet'!J55/10^9</f>
        <v>0.75914104702812002</v>
      </c>
      <c r="K66" s="2">
        <f>K11*'Output-Calculation-sheet'!K55/10^9</f>
        <v>0.90797508333346177</v>
      </c>
      <c r="L66" s="2">
        <f>L11*'Output-Calculation-sheet'!L55/10^9</f>
        <v>0.96155247848212666</v>
      </c>
      <c r="M66" s="2">
        <f>M11*'Output-Calculation-sheet'!M55/10^9</f>
        <v>1.3982191361543619</v>
      </c>
      <c r="N66" s="2">
        <f>N11*'Output-Calculation-sheet'!N55/10^9</f>
        <v>1.2216706588317683</v>
      </c>
      <c r="O66" s="2">
        <f>O11*'Output-Calculation-sheet'!O55/10^9</f>
        <v>1.441724733504766</v>
      </c>
      <c r="P66" s="2">
        <f>P11*'Output-Calculation-sheet'!P55/10^9</f>
        <v>0.8397851340983441</v>
      </c>
      <c r="Q66" s="2">
        <f>Q11*'Output-Calculation-sheet'!Q55/10^9</f>
        <v>0.91464019207204994</v>
      </c>
      <c r="R66" s="2">
        <f>R11*'Output-Calculation-sheet'!R55/10^9</f>
        <v>0.68015753518817912</v>
      </c>
      <c r="S66" s="2">
        <f>S11*'Output-Calculation-sheet'!S55/10^9</f>
        <v>0.66925850757418748</v>
      </c>
      <c r="T66" s="2">
        <f>T11*'Output-Calculation-sheet'!T55/10^9</f>
        <v>0.21319970068985855</v>
      </c>
      <c r="U66" s="2">
        <f>U11*'Output-Calculation-sheet'!U55/10^9</f>
        <v>0.2167959782696405</v>
      </c>
      <c r="V66" s="2">
        <f>V11*'Output-Calculation-sheet'!V55/10^9</f>
        <v>0.20225729158586878</v>
      </c>
      <c r="W66" s="2">
        <f>W11*'Output-Calculation-sheet'!W55/10^9</f>
        <v>9.1577548543868265E-2</v>
      </c>
      <c r="X66" s="2">
        <f>X11*'Output-Calculation-sheet'!X55/10^9</f>
        <v>0.17224103350647477</v>
      </c>
      <c r="Y66" s="2">
        <f>Y11*'Output-Calculation-sheet'!Y55/10^9</f>
        <v>8.9865089162802822E-2</v>
      </c>
      <c r="AA66" s="2">
        <f t="shared" si="4"/>
        <v>38.283140524244956</v>
      </c>
    </row>
    <row r="67" spans="1:27" x14ac:dyDescent="0.25">
      <c r="A67" s="2">
        <v>2035</v>
      </c>
      <c r="B67" s="2">
        <f>B12*'Output-Calculation-sheet'!B56/10^9</f>
        <v>11.522850233225073</v>
      </c>
      <c r="C67" s="2">
        <f>C12*'Output-Calculation-sheet'!C56/10^9</f>
        <v>7.2671759102233215</v>
      </c>
      <c r="D67" s="2">
        <f>D12*'Output-Calculation-sheet'!D56/10^9</f>
        <v>2.3997955873238763</v>
      </c>
      <c r="E67" s="2">
        <f>E12*'Output-Calculation-sheet'!E56/10^9</f>
        <v>3.2562060680481526</v>
      </c>
      <c r="F67" s="2">
        <f>F12*'Output-Calculation-sheet'!F56/10^9</f>
        <v>1.1892322156324038</v>
      </c>
      <c r="G67" s="2">
        <f>G12*'Output-Calculation-sheet'!G56/10^9</f>
        <v>0.83309170447617009</v>
      </c>
      <c r="H67" s="2">
        <f>H12*'Output-Calculation-sheet'!H56/10^9</f>
        <v>2.010652990602197</v>
      </c>
      <c r="I67" s="2">
        <f>I12*'Output-Calculation-sheet'!I56/10^9</f>
        <v>0.80922055536149706</v>
      </c>
      <c r="J67" s="2">
        <f>J12*'Output-Calculation-sheet'!J56/10^9</f>
        <v>0.8016528025492422</v>
      </c>
      <c r="K67" s="2">
        <f>K12*'Output-Calculation-sheet'!K56/10^9</f>
        <v>0.96548334470247188</v>
      </c>
      <c r="L67" s="2">
        <f>L12*'Output-Calculation-sheet'!L56/10^9</f>
        <v>0.9698973258501602</v>
      </c>
      <c r="M67" s="2">
        <f>M12*'Output-Calculation-sheet'!M56/10^9</f>
        <v>1.471151602187359</v>
      </c>
      <c r="N67" s="2">
        <f>N12*'Output-Calculation-sheet'!N56/10^9</f>
        <v>1.2632650469138134</v>
      </c>
      <c r="O67" s="2">
        <f>O12*'Output-Calculation-sheet'!O56/10^9</f>
        <v>1.4613056825467159</v>
      </c>
      <c r="P67" s="2">
        <f>P12*'Output-Calculation-sheet'!P56/10^9</f>
        <v>0.93508664395324348</v>
      </c>
      <c r="Q67" s="2">
        <f>Q12*'Output-Calculation-sheet'!Q56/10^9</f>
        <v>0.96161289492542312</v>
      </c>
      <c r="R67" s="2">
        <f>R12*'Output-Calculation-sheet'!R56/10^9</f>
        <v>0.73210544282128709</v>
      </c>
      <c r="S67" s="2">
        <f>S12*'Output-Calculation-sheet'!S56/10^9</f>
        <v>0.69765374439095251</v>
      </c>
      <c r="T67" s="2">
        <f>T12*'Output-Calculation-sheet'!T56/10^9</f>
        <v>0.22201454427592554</v>
      </c>
      <c r="U67" s="2">
        <f>U12*'Output-Calculation-sheet'!U56/10^9</f>
        <v>0.23184148119394049</v>
      </c>
      <c r="V67" s="2">
        <f>V12*'Output-Calculation-sheet'!V56/10^9</f>
        <v>0.17809451770932633</v>
      </c>
      <c r="W67" s="2">
        <f>W12*'Output-Calculation-sheet'!W56/10^9</f>
        <v>0.10745138777279059</v>
      </c>
      <c r="X67" s="2">
        <f>X12*'Output-Calculation-sheet'!X56/10^9</f>
        <v>0.18269903578266147</v>
      </c>
      <c r="Y67" s="2">
        <f>Y12*'Output-Calculation-sheet'!Y56/10^9</f>
        <v>0.10380453313014214</v>
      </c>
      <c r="AA67" s="2">
        <f t="shared" si="4"/>
        <v>40.573345295598159</v>
      </c>
    </row>
    <row r="68" spans="1:27" x14ac:dyDescent="0.25">
      <c r="B68" s="2">
        <f>SUM(B60:B67)</f>
        <v>70.480602372344222</v>
      </c>
      <c r="C68" s="2">
        <f t="shared" ref="C68:Y68" si="5">SUM(C60:C67)</f>
        <v>43.520411814908833</v>
      </c>
      <c r="D68" s="2">
        <f t="shared" si="5"/>
        <v>20.625580004967087</v>
      </c>
      <c r="E68" s="2">
        <f t="shared" si="5"/>
        <v>22.201865515615005</v>
      </c>
      <c r="F68" s="2">
        <f t="shared" si="5"/>
        <v>8.9836021656517904</v>
      </c>
      <c r="G68" s="2">
        <f t="shared" si="5"/>
        <v>6.4162008618624116</v>
      </c>
      <c r="H68" s="2">
        <f t="shared" si="5"/>
        <v>12.409574947934395</v>
      </c>
      <c r="I68" s="2">
        <f t="shared" si="5"/>
        <v>6.0627003814300542</v>
      </c>
      <c r="J68" s="2">
        <f t="shared" si="5"/>
        <v>7.7343598083903373</v>
      </c>
      <c r="K68" s="2">
        <f t="shared" si="5"/>
        <v>7.4017887512091782</v>
      </c>
      <c r="L68" s="2">
        <f t="shared" si="5"/>
        <v>9.3213798768678178</v>
      </c>
      <c r="M68" s="2">
        <f t="shared" si="5"/>
        <v>9.7386511870933479</v>
      </c>
      <c r="N68" s="2">
        <f t="shared" si="5"/>
        <v>8.3616173549547099</v>
      </c>
      <c r="O68" s="2">
        <f t="shared" si="5"/>
        <v>8.8792440830567312</v>
      </c>
      <c r="P68" s="2">
        <f t="shared" si="5"/>
        <v>5.664513176557886</v>
      </c>
      <c r="Q68" s="2">
        <f t="shared" si="5"/>
        <v>6.2425648868553187</v>
      </c>
      <c r="R68" s="2">
        <f t="shared" si="5"/>
        <v>5.3352999970396775</v>
      </c>
      <c r="S68" s="2">
        <f t="shared" si="5"/>
        <v>4.2938980534397349</v>
      </c>
      <c r="T68" s="2">
        <f t="shared" si="5"/>
        <v>1.9005065457857253</v>
      </c>
      <c r="U68" s="2">
        <f t="shared" si="5"/>
        <v>1.4897018549649101</v>
      </c>
      <c r="V68" s="2">
        <f t="shared" si="5"/>
        <v>2.1649528547471815</v>
      </c>
      <c r="W68" s="2">
        <f t="shared" si="5"/>
        <v>0.83862703963604868</v>
      </c>
      <c r="X68" s="2">
        <f t="shared" si="5"/>
        <v>1.0926394740508143</v>
      </c>
      <c r="Y68" s="2">
        <f t="shared" si="5"/>
        <v>0.62628760110716641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3368.5522827124801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1762.6353246637175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1182.421831622961</v>
      </c>
      <c r="N74" s="2">
        <f>N8/'Output-Calculation-sheet'!N7*'Output-Calculation-sheet'!N61</f>
        <v>49.102236646424579</v>
      </c>
      <c r="O74" s="2">
        <f>O8/'Output-Calculation-sheet'!O7*'Output-Calculation-sheet'!O61</f>
        <v>191.0580337158853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147.71935872852234</v>
      </c>
      <c r="Y74" s="2">
        <f>Y8/'Output-Calculation-sheet'!Y7*'Output-Calculation-sheet'!Y61</f>
        <v>0</v>
      </c>
      <c r="AA74" s="2">
        <f t="shared" si="6"/>
        <v>6.701489068089991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4598.6145297706689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3117.0054371956257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2114.6016608851382</v>
      </c>
      <c r="N75" s="2">
        <f>N9/'Output-Calculation-sheet'!N8*'Output-Calculation-sheet'!N62</f>
        <v>817.15159793920452</v>
      </c>
      <c r="O75" s="2">
        <f>O9/'Output-Calculation-sheet'!O8*'Output-Calculation-sheet'!O62</f>
        <v>399.42233207335511</v>
      </c>
      <c r="P75" s="2">
        <f>P9/'Output-Calculation-sheet'!P8*'Output-Calculation-sheet'!P62</f>
        <v>54.707011394151181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270.29466973739835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255.3928856561445</v>
      </c>
      <c r="Y75" s="2">
        <f>Y9/'Output-Calculation-sheet'!Y8*'Output-Calculation-sheet'!Y62</f>
        <v>0</v>
      </c>
      <c r="AA75" s="2">
        <f t="shared" si="6"/>
        <v>11.627190124651689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6689.3180603258324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4621.1381134012672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3147.0221146479662</v>
      </c>
      <c r="N76" s="2">
        <f>N10/'Output-Calculation-sheet'!N9*'Output-Calculation-sheet'!N63</f>
        <v>1800.7229901575354</v>
      </c>
      <c r="O76" s="2">
        <f>O10/'Output-Calculation-sheet'!O9*'Output-Calculation-sheet'!O63</f>
        <v>665.09873051999432</v>
      </c>
      <c r="P76" s="2">
        <f>P10/'Output-Calculation-sheet'!P9*'Output-Calculation-sheet'!P63</f>
        <v>617.29829925918625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475.3498952662955</v>
      </c>
      <c r="S76" s="2">
        <f>S10/'Output-Calculation-sheet'!S9*'Output-Calculation-sheet'!S63</f>
        <v>798.4886662605528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168.92879157600083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370.57939154170185</v>
      </c>
      <c r="Y76" s="2">
        <f>Y10/'Output-Calculation-sheet'!Y9*'Output-Calculation-sheet'!Y63</f>
        <v>7.0299625953515461</v>
      </c>
      <c r="AA76" s="2">
        <f t="shared" si="6"/>
        <v>26.880934961356488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9393.5246036703993</v>
      </c>
      <c r="D77" s="2">
        <f>D11/'Output-Calculation-sheet'!D10*'Output-Calculation-sheet'!D64</f>
        <v>2198.3046285868704</v>
      </c>
      <c r="E77" s="2">
        <f>E11/'Output-Calculation-sheet'!E10*'Output-Calculation-sheet'!E64</f>
        <v>2740.9863977181717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1165.0886720329997</v>
      </c>
      <c r="H77" s="2">
        <f>H11/'Output-Calculation-sheet'!H10*'Output-Calculation-sheet'!H64</f>
        <v>5829.6048218770138</v>
      </c>
      <c r="I77" s="2">
        <f>I11/'Output-Calculation-sheet'!I10*'Output-Calculation-sheet'!I64</f>
        <v>684.68571877635441</v>
      </c>
      <c r="J77" s="2">
        <f>J11/'Output-Calculation-sheet'!J10*'Output-Calculation-sheet'!J64</f>
        <v>479.52678461931038</v>
      </c>
      <c r="K77" s="2">
        <f>K11/'Output-Calculation-sheet'!K10*'Output-Calculation-sheet'!K64</f>
        <v>1042.7449869483994</v>
      </c>
      <c r="L77" s="2">
        <f>L11/'Output-Calculation-sheet'!L10*'Output-Calculation-sheet'!L64</f>
        <v>429.20735379170878</v>
      </c>
      <c r="M77" s="2">
        <f>M11/'Output-Calculation-sheet'!M10*'Output-Calculation-sheet'!M64</f>
        <v>4163.905579579784</v>
      </c>
      <c r="N77" s="2">
        <f>N11/'Output-Calculation-sheet'!N10*'Output-Calculation-sheet'!N64</f>
        <v>2931.6501704497437</v>
      </c>
      <c r="O77" s="2">
        <f>O11/'Output-Calculation-sheet'!O10*'Output-Calculation-sheet'!O64</f>
        <v>1067.6398752100356</v>
      </c>
      <c r="P77" s="2">
        <f>P11/'Output-Calculation-sheet'!P10*'Output-Calculation-sheet'!P64</f>
        <v>1299.8530093572449</v>
      </c>
      <c r="Q77" s="2">
        <f>Q11/'Output-Calculation-sheet'!Q10*'Output-Calculation-sheet'!Q64</f>
        <v>915.25271641989252</v>
      </c>
      <c r="R77" s="2">
        <f>R11/'Output-Calculation-sheet'!R10*'Output-Calculation-sheet'!R64</f>
        <v>1107.3159450028847</v>
      </c>
      <c r="S77" s="2">
        <f>S11/'Output-Calculation-sheet'!S10*'Output-Calculation-sheet'!S64</f>
        <v>1474.2249793107767</v>
      </c>
      <c r="T77" s="2">
        <f>T11/'Output-Calculation-sheet'!T10*'Output-Calculation-sheet'!T64</f>
        <v>305.2002750532709</v>
      </c>
      <c r="U77" s="2">
        <f>U11/'Output-Calculation-sheet'!U10*'Output-Calculation-sheet'!U64</f>
        <v>323.92345377418366</v>
      </c>
      <c r="V77" s="2">
        <f>V11/'Output-Calculation-sheet'!V10*'Output-Calculation-sheet'!V64</f>
        <v>161.42694845638869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416.8158775164178</v>
      </c>
      <c r="Y77" s="2">
        <f>Y11/'Output-Calculation-sheet'!Y10*'Output-Calculation-sheet'!Y64</f>
        <v>101.36633782583696</v>
      </c>
      <c r="AA77" s="2">
        <f t="shared" si="6"/>
        <v>56.404926031181766</v>
      </c>
    </row>
    <row r="78" spans="1:27" x14ac:dyDescent="0.25">
      <c r="A78" s="2">
        <v>2035</v>
      </c>
      <c r="B78" s="2">
        <f>B12/'Output-Calculation-sheet'!B11*'Output-Calculation-sheet'!B65</f>
        <v>18933.692367120122</v>
      </c>
      <c r="C78" s="2">
        <f>C12/'Output-Calculation-sheet'!C11*'Output-Calculation-sheet'!C65</f>
        <v>14673.094545459446</v>
      </c>
      <c r="D78" s="2">
        <f>D12/'Output-Calculation-sheet'!D11*'Output-Calculation-sheet'!D65</f>
        <v>2529.2151856953251</v>
      </c>
      <c r="E78" s="2">
        <f>E12/'Output-Calculation-sheet'!E11*'Output-Calculation-sheet'!E65</f>
        <v>4382.693850830954</v>
      </c>
      <c r="F78" s="2">
        <f>F12/'Output-Calculation-sheet'!F11*'Output-Calculation-sheet'!F65</f>
        <v>560.85533750887214</v>
      </c>
      <c r="G78" s="2">
        <f>G12/'Output-Calculation-sheet'!G11*'Output-Calculation-sheet'!G65</f>
        <v>1110.675026222834</v>
      </c>
      <c r="H78" s="2">
        <f>H12/'Output-Calculation-sheet'!H11*'Output-Calculation-sheet'!H65</f>
        <v>6022.7055976959873</v>
      </c>
      <c r="I78" s="2">
        <f>I12/'Output-Calculation-sheet'!I11*'Output-Calculation-sheet'!I65</f>
        <v>735.58998259489931</v>
      </c>
      <c r="J78" s="2">
        <f>J12/'Output-Calculation-sheet'!J11*'Output-Calculation-sheet'!J65</f>
        <v>1064.6950758660732</v>
      </c>
      <c r="K78" s="2">
        <f>K12/'Output-Calculation-sheet'!K11*'Output-Calculation-sheet'!K65</f>
        <v>1334.3345811468921</v>
      </c>
      <c r="L78" s="2">
        <f>L12/'Output-Calculation-sheet'!L11*'Output-Calculation-sheet'!L65</f>
        <v>1131.905021344473</v>
      </c>
      <c r="M78" s="2">
        <f>M12/'Output-Calculation-sheet'!M11*'Output-Calculation-sheet'!M65</f>
        <v>4388.4984464235604</v>
      </c>
      <c r="N78" s="2">
        <f>N12/'Output-Calculation-sheet'!N11*'Output-Calculation-sheet'!N65</f>
        <v>3112.7702550129402</v>
      </c>
      <c r="O78" s="2">
        <f>O12/'Output-Calculation-sheet'!O11*'Output-Calculation-sheet'!O65</f>
        <v>1747.4909805842065</v>
      </c>
      <c r="P78" s="2">
        <f>P12/'Output-Calculation-sheet'!P11*'Output-Calculation-sheet'!P65</f>
        <v>1528.4025832242814</v>
      </c>
      <c r="Q78" s="2">
        <f>Q12/'Output-Calculation-sheet'!Q11*'Output-Calculation-sheet'!Q65</f>
        <v>1052.1562141002521</v>
      </c>
      <c r="R78" s="2">
        <f>R12/'Output-Calculation-sheet'!R11*'Output-Calculation-sheet'!R65</f>
        <v>1424.2815895142894</v>
      </c>
      <c r="S78" s="2">
        <f>S12/'Output-Calculation-sheet'!S11*'Output-Calculation-sheet'!S65</f>
        <v>1484.1651115643549</v>
      </c>
      <c r="T78" s="2">
        <f>T12/'Output-Calculation-sheet'!T11*'Output-Calculation-sheet'!T65</f>
        <v>491.30671166570107</v>
      </c>
      <c r="U78" s="2">
        <f>U12/'Output-Calculation-sheet'!U11*'Output-Calculation-sheet'!U65</f>
        <v>336.12531874136982</v>
      </c>
      <c r="V78" s="2">
        <f>V12/'Output-Calculation-sheet'!V11*'Output-Calculation-sheet'!V65</f>
        <v>275.86957515431561</v>
      </c>
      <c r="W78" s="2">
        <f>W12/'Output-Calculation-sheet'!W11*'Output-Calculation-sheet'!W65</f>
        <v>132.8524708882419</v>
      </c>
      <c r="X78" s="2">
        <f>X12/'Output-Calculation-sheet'!X11*'Output-Calculation-sheet'!X65</f>
        <v>429.61843250692584</v>
      </c>
      <c r="Y78" s="2">
        <f>Y12/'Output-Calculation-sheet'!Y11*'Output-Calculation-sheet'!Y65</f>
        <v>117.54481470240491</v>
      </c>
      <c r="AA78" s="2">
        <f t="shared" si="6"/>
        <v>69.000539075568724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321.7747197394587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83.349562096579902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0.4051242818360386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605.73441473308947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117.67790114706119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0.72341231588015065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784.73210733889255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152.45233737469309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0.93718444471358564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820.82528868143993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42.112597951852671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159.46427152075412</v>
      </c>
      <c r="P88" s="2">
        <f>P11/'Output-Calculation-sheet'!P10*'Output-Calculation-sheet'!P73</f>
        <v>0</v>
      </c>
      <c r="Q88" s="2">
        <f>Q11/'Output-Calculation-sheet'!Q10*'Output-Calculation-sheet'!Q73</f>
        <v>24.953044423781794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7.9615458333132683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3.1789128769775381</v>
      </c>
      <c r="Y88" s="2">
        <f>Y11/'Output-Calculation-sheet'!Y10*'Output-Calculation-sheet'!Y73</f>
        <v>0</v>
      </c>
      <c r="AA88" s="2">
        <f t="shared" si="7"/>
        <v>1.0584956612881193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699.21822947150088</v>
      </c>
      <c r="D89" s="2">
        <f>D12/'Output-Calculation-sheet'!D11*'Output-Calculation-sheet'!D74</f>
        <v>123.87790496622056</v>
      </c>
      <c r="E89" s="2">
        <f>E12/'Output-Calculation-sheet'!E11*'Output-Calculation-sheet'!E74</f>
        <v>196.89978438937726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44.43766608877467</v>
      </c>
      <c r="H89" s="2">
        <f>H12/'Output-Calculation-sheet'!H11*'Output-Calculation-sheet'!H74</f>
        <v>86.096459018140564</v>
      </c>
      <c r="I89" s="2">
        <f>I12/'Output-Calculation-sheet'!I11*'Output-Calculation-sheet'!I74</f>
        <v>39.969027526347496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39.283262612149798</v>
      </c>
      <c r="L89" s="2">
        <f>L12/'Output-Calculation-sheet'!L11*'Output-Calculation-sheet'!L74</f>
        <v>31.236168042179894</v>
      </c>
      <c r="M89" s="2">
        <f>M12/'Output-Calculation-sheet'!M11*'Output-Calculation-sheet'!M74</f>
        <v>59.242788825384032</v>
      </c>
      <c r="N89" s="2">
        <f>N12/'Output-Calculation-sheet'!N11*'Output-Calculation-sheet'!N74</f>
        <v>29.113077581490273</v>
      </c>
      <c r="O89" s="2">
        <f>O12/'Output-Calculation-sheet'!O11*'Output-Calculation-sheet'!O74</f>
        <v>135.83929142316831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25.507435673598199</v>
      </c>
      <c r="R89" s="2">
        <f>R12/'Output-Calculation-sheet'!R11*'Output-Calculation-sheet'!R74</f>
        <v>25.295378636633565</v>
      </c>
      <c r="S89" s="2">
        <f>S12/'Output-Calculation-sheet'!S11*'Output-Calculation-sheet'!S74</f>
        <v>33.37715159871712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8.1384305160013035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12.998159959062571</v>
      </c>
      <c r="Y89" s="2">
        <f>Y12/'Output-Calculation-sheet'!Y11*'Output-Calculation-sheet'!Y74</f>
        <v>6.2717327234235887</v>
      </c>
      <c r="AA89" s="2">
        <f t="shared" si="7"/>
        <v>2.3624187441667184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9972590521.5816994</v>
      </c>
      <c r="C96" s="2">
        <f>C8/'Output-Calculation-sheet'!C7*'Output-Calculation-sheet'!C79</f>
        <v>2408213486.4852672</v>
      </c>
      <c r="D96" s="2">
        <f>D8/'Output-Calculation-sheet'!D7*'Output-Calculation-sheet'!D79</f>
        <v>1955111073.4588597</v>
      </c>
      <c r="E96" s="2">
        <f>E8/'Output-Calculation-sheet'!E7*'Output-Calculation-sheet'!E79</f>
        <v>7325089952.442028</v>
      </c>
      <c r="F96" s="2">
        <f>F8/'Output-Calculation-sheet'!F7*'Output-Calculation-sheet'!F79</f>
        <v>2136840827.2425222</v>
      </c>
      <c r="G96" s="2">
        <f>G8/'Output-Calculation-sheet'!G7*'Output-Calculation-sheet'!G79</f>
        <v>1371544075.3608444</v>
      </c>
      <c r="H96" s="2">
        <f>H8/'Output-Calculation-sheet'!H7*'Output-Calculation-sheet'!H79</f>
        <v>1689694546.2833841</v>
      </c>
      <c r="I96" s="2">
        <f>I8/'Output-Calculation-sheet'!I7*'Output-Calculation-sheet'!I79</f>
        <v>986273579.12731719</v>
      </c>
      <c r="J96" s="2">
        <f>J8/'Output-Calculation-sheet'!J7*'Output-Calculation-sheet'!J79</f>
        <v>747402143.40348661</v>
      </c>
      <c r="K96" s="2">
        <f>K8/'Output-Calculation-sheet'!K7*'Output-Calculation-sheet'!K79</f>
        <v>937339126.4922241</v>
      </c>
      <c r="L96" s="2">
        <f>L8/'Output-Calculation-sheet'!L7*'Output-Calculation-sheet'!L79</f>
        <v>850942178.05141664</v>
      </c>
      <c r="M96" s="2">
        <f>M8/'Output-Calculation-sheet'!M7*'Output-Calculation-sheet'!M79</f>
        <v>1303761098.9256518</v>
      </c>
      <c r="N96" s="2">
        <f>N8/'Output-Calculation-sheet'!N7*'Output-Calculation-sheet'!N79</f>
        <v>847532739.49599433</v>
      </c>
      <c r="O96" s="2">
        <f>O8/'Output-Calculation-sheet'!O7*'Output-Calculation-sheet'!O79</f>
        <v>318012544.3450067</v>
      </c>
      <c r="P96" s="2">
        <f>P8/'Output-Calculation-sheet'!P7*'Output-Calculation-sheet'!P79</f>
        <v>1614133913.3218019</v>
      </c>
      <c r="Q96" s="2">
        <f>Q8/'Output-Calculation-sheet'!Q7*'Output-Calculation-sheet'!Q79</f>
        <v>685309977.34927297</v>
      </c>
      <c r="R96" s="2">
        <f>R8/'Output-Calculation-sheet'!R7*'Output-Calculation-sheet'!R79</f>
        <v>909598219.09991109</v>
      </c>
      <c r="S96" s="2">
        <f>S8/'Output-Calculation-sheet'!S7*'Output-Calculation-sheet'!S79</f>
        <v>512977724.80999315</v>
      </c>
      <c r="T96" s="2">
        <f>T8/'Output-Calculation-sheet'!T7*'Output-Calculation-sheet'!T79</f>
        <v>309470095.87690842</v>
      </c>
      <c r="U96" s="2">
        <f>U8/'Output-Calculation-sheet'!U7*'Output-Calculation-sheet'!U79</f>
        <v>243591324.93863878</v>
      </c>
      <c r="V96" s="2">
        <f>V8/'Output-Calculation-sheet'!V7*'Output-Calculation-sheet'!V79</f>
        <v>111800420.50315447</v>
      </c>
      <c r="W96" s="2">
        <f>W8/'Output-Calculation-sheet'!W7*'Output-Calculation-sheet'!W79</f>
        <v>344220640.31426209</v>
      </c>
      <c r="X96" s="2">
        <f>X8/'Output-Calculation-sheet'!X7*'Output-Calculation-sheet'!X79</f>
        <v>155251129.40306818</v>
      </c>
      <c r="Y96" s="2">
        <f>Y8/'Output-Calculation-sheet'!Y7*'Output-Calculation-sheet'!Y79</f>
        <v>213653987.87816244</v>
      </c>
      <c r="AA96" s="2">
        <f t="shared" si="8"/>
        <v>37.950355326190881</v>
      </c>
    </row>
    <row r="97" spans="1:27" x14ac:dyDescent="0.25">
      <c r="A97" s="2">
        <v>2032</v>
      </c>
      <c r="B97" s="2">
        <f>B9/'Output-Calculation-sheet'!B8*'Output-Calculation-sheet'!B80</f>
        <v>12911136650.852774</v>
      </c>
      <c r="C97" s="2">
        <f>C9/'Output-Calculation-sheet'!C8*'Output-Calculation-sheet'!C80</f>
        <v>3049376075.9610243</v>
      </c>
      <c r="D97" s="2">
        <f>D9/'Output-Calculation-sheet'!D8*'Output-Calculation-sheet'!D80</f>
        <v>2329392950.5516186</v>
      </c>
      <c r="E97" s="2">
        <f>E9/'Output-Calculation-sheet'!E8*'Output-Calculation-sheet'!E80</f>
        <v>9806402158.4683247</v>
      </c>
      <c r="F97" s="2">
        <f>F9/'Output-Calculation-sheet'!F8*'Output-Calculation-sheet'!F80</f>
        <v>2689254095.0092344</v>
      </c>
      <c r="G97" s="2">
        <f>G9/'Output-Calculation-sheet'!G8*'Output-Calculation-sheet'!G80</f>
        <v>1647827316.4524312</v>
      </c>
      <c r="H97" s="2">
        <f>H9/'Output-Calculation-sheet'!H8*'Output-Calculation-sheet'!H80</f>
        <v>2157594505.0602212</v>
      </c>
      <c r="I97" s="2">
        <f>I9/'Output-Calculation-sheet'!I8*'Output-Calculation-sheet'!I80</f>
        <v>1242774115.4825234</v>
      </c>
      <c r="J97" s="2">
        <f>J9/'Output-Calculation-sheet'!J8*'Output-Calculation-sheet'!J80</f>
        <v>928697669.9903301</v>
      </c>
      <c r="K97" s="2">
        <f>K9/'Output-Calculation-sheet'!K8*'Output-Calculation-sheet'!K80</f>
        <v>1145398443.3145571</v>
      </c>
      <c r="L97" s="2">
        <f>L9/'Output-Calculation-sheet'!L8*'Output-Calculation-sheet'!L80</f>
        <v>1104813518.5975504</v>
      </c>
      <c r="M97" s="2">
        <f>M9/'Output-Calculation-sheet'!M8*'Output-Calculation-sheet'!M80</f>
        <v>1702197241.0997217</v>
      </c>
      <c r="N97" s="2">
        <f>N9/'Output-Calculation-sheet'!N8*'Output-Calculation-sheet'!N80</f>
        <v>1069500873.95428</v>
      </c>
      <c r="O97" s="2">
        <f>O9/'Output-Calculation-sheet'!O8*'Output-Calculation-sheet'!O80</f>
        <v>397552900.9357329</v>
      </c>
      <c r="P97" s="2">
        <f>P9/'Output-Calculation-sheet'!P8*'Output-Calculation-sheet'!P80</f>
        <v>2005045285.7499397</v>
      </c>
      <c r="Q97" s="2">
        <f>Q9/'Output-Calculation-sheet'!Q8*'Output-Calculation-sheet'!Q80</f>
        <v>867253339.5259093</v>
      </c>
      <c r="R97" s="2">
        <f>R9/'Output-Calculation-sheet'!R8*'Output-Calculation-sheet'!R80</f>
        <v>1162123325.9558077</v>
      </c>
      <c r="S97" s="2">
        <f>S9/'Output-Calculation-sheet'!S8*'Output-Calculation-sheet'!S80</f>
        <v>646794788.72871709</v>
      </c>
      <c r="T97" s="2">
        <f>T9/'Output-Calculation-sheet'!T8*'Output-Calculation-sheet'!T80</f>
        <v>377143300.3901158</v>
      </c>
      <c r="U97" s="2">
        <f>U9/'Output-Calculation-sheet'!U8*'Output-Calculation-sheet'!U80</f>
        <v>300101108.41408652</v>
      </c>
      <c r="V97" s="2">
        <f>V9/'Output-Calculation-sheet'!V8*'Output-Calculation-sheet'!V80</f>
        <v>138424648.69933733</v>
      </c>
      <c r="W97" s="2">
        <f>W9/'Output-Calculation-sheet'!W8*'Output-Calculation-sheet'!W80</f>
        <v>428350194.88900882</v>
      </c>
      <c r="X97" s="2">
        <f>X9/'Output-Calculation-sheet'!X8*'Output-Calculation-sheet'!X80</f>
        <v>207464134.40908518</v>
      </c>
      <c r="Y97" s="2">
        <f>Y9/'Output-Calculation-sheet'!Y8*'Output-Calculation-sheet'!Y80</f>
        <v>272339185.67364758</v>
      </c>
      <c r="AA97" s="2">
        <f t="shared" si="8"/>
        <v>48.586957828165978</v>
      </c>
    </row>
    <row r="98" spans="1:27" x14ac:dyDescent="0.25">
      <c r="A98" s="2">
        <v>2033</v>
      </c>
      <c r="B98" s="2">
        <f>B10/'Output-Calculation-sheet'!B9*'Output-Calculation-sheet'!B81</f>
        <v>15258012428.729137</v>
      </c>
      <c r="C98" s="2">
        <f>C10/'Output-Calculation-sheet'!C9*'Output-Calculation-sheet'!C81</f>
        <v>3533156913.8931007</v>
      </c>
      <c r="D98" s="2">
        <f>D10/'Output-Calculation-sheet'!D9*'Output-Calculation-sheet'!D81</f>
        <v>2541742678.3775816</v>
      </c>
      <c r="E98" s="2">
        <f>E10/'Output-Calculation-sheet'!E9*'Output-Calculation-sheet'!E81</f>
        <v>11997997263.509331</v>
      </c>
      <c r="F98" s="2">
        <f>F10/'Output-Calculation-sheet'!F9*'Output-Calculation-sheet'!F81</f>
        <v>3091290643.2318697</v>
      </c>
      <c r="G98" s="2">
        <f>G10/'Output-Calculation-sheet'!G9*'Output-Calculation-sheet'!G81</f>
        <v>1805995360.6334002</v>
      </c>
      <c r="H98" s="2">
        <f>H10/'Output-Calculation-sheet'!H9*'Output-Calculation-sheet'!H81</f>
        <v>2514222830.7667117</v>
      </c>
      <c r="I98" s="2">
        <f>I10/'Output-Calculation-sheet'!I9*'Output-Calculation-sheet'!I81</f>
        <v>1432837610.5896182</v>
      </c>
      <c r="J98" s="2">
        <f>J10/'Output-Calculation-sheet'!J9*'Output-Calculation-sheet'!J81</f>
        <v>1056995340.7633988</v>
      </c>
      <c r="K98" s="2">
        <f>K10/'Output-Calculation-sheet'!K9*'Output-Calculation-sheet'!K81</f>
        <v>1279968167.2208912</v>
      </c>
      <c r="L98" s="2">
        <f>L10/'Output-Calculation-sheet'!L9*'Output-Calculation-sheet'!L81</f>
        <v>1311839072.4954572</v>
      </c>
      <c r="M98" s="2">
        <f>M10/'Output-Calculation-sheet'!M9*'Output-Calculation-sheet'!M81</f>
        <v>2032882316.1600988</v>
      </c>
      <c r="N98" s="2">
        <f>N10/'Output-Calculation-sheet'!N9*'Output-Calculation-sheet'!N81</f>
        <v>1235413596.1564758</v>
      </c>
      <c r="O98" s="2">
        <f>O10/'Output-Calculation-sheet'!O9*'Output-Calculation-sheet'!O81</f>
        <v>455657676.73680931</v>
      </c>
      <c r="P98" s="2">
        <f>P10/'Output-Calculation-sheet'!P9*'Output-Calculation-sheet'!P81</f>
        <v>2260522173.974916</v>
      </c>
      <c r="Q98" s="2">
        <f>Q10/'Output-Calculation-sheet'!Q9*'Output-Calculation-sheet'!Q81</f>
        <v>1004425416.9498224</v>
      </c>
      <c r="R98" s="2">
        <f>R10/'Output-Calculation-sheet'!R9*'Output-Calculation-sheet'!R81</f>
        <v>1355747676.6530626</v>
      </c>
      <c r="S98" s="2">
        <f>S10/'Output-Calculation-sheet'!S9*'Output-Calculation-sheet'!S81</f>
        <v>744576829.20541298</v>
      </c>
      <c r="T98" s="2">
        <f>T10/'Output-Calculation-sheet'!T9*'Output-Calculation-sheet'!T81</f>
        <v>419506246.09514636</v>
      </c>
      <c r="U98" s="2">
        <f>U10/'Output-Calculation-sheet'!U9*'Output-Calculation-sheet'!U81</f>
        <v>337085552.54329866</v>
      </c>
      <c r="V98" s="2">
        <f>V10/'Output-Calculation-sheet'!V9*'Output-Calculation-sheet'!V81</f>
        <v>156558745.58050686</v>
      </c>
      <c r="W98" s="2">
        <f>W10/'Output-Calculation-sheet'!W9*'Output-Calculation-sheet'!W81</f>
        <v>484154586.50433189</v>
      </c>
      <c r="X98" s="2">
        <f>X10/'Output-Calculation-sheet'!X9*'Output-Calculation-sheet'!X81</f>
        <v>253811811.64247182</v>
      </c>
      <c r="Y98" s="2">
        <f>Y10/'Output-Calculation-sheet'!Y9*'Output-Calculation-sheet'!Y81</f>
        <v>315989926.54086047</v>
      </c>
      <c r="AA98" s="2">
        <f t="shared" si="8"/>
        <v>56.880390864953704</v>
      </c>
    </row>
    <row r="99" spans="1:27" x14ac:dyDescent="0.25">
      <c r="A99" s="2">
        <v>2034</v>
      </c>
      <c r="B99" s="2">
        <f>B11/'Output-Calculation-sheet'!B10*'Output-Calculation-sheet'!B82</f>
        <v>16895665118.848951</v>
      </c>
      <c r="C99" s="2">
        <f>C11/'Output-Calculation-sheet'!C10*'Output-Calculation-sheet'!C82</f>
        <v>3846008355.0862861</v>
      </c>
      <c r="D99" s="2">
        <f>D11/'Output-Calculation-sheet'!D10*'Output-Calculation-sheet'!D82</f>
        <v>2608859225.4346747</v>
      </c>
      <c r="E99" s="2">
        <f>E11/'Output-Calculation-sheet'!E10*'Output-Calculation-sheet'!E82</f>
        <v>13769113061.515644</v>
      </c>
      <c r="F99" s="2">
        <f>F11/'Output-Calculation-sheet'!F10*'Output-Calculation-sheet'!F82</f>
        <v>3332898983.5695987</v>
      </c>
      <c r="G99" s="2">
        <f>G11/'Output-Calculation-sheet'!G10*'Output-Calculation-sheet'!G82</f>
        <v>1854959319.3707979</v>
      </c>
      <c r="H99" s="2">
        <f>H11/'Output-Calculation-sheet'!H10*'Output-Calculation-sheet'!H82</f>
        <v>2744856179.6518464</v>
      </c>
      <c r="I99" s="2">
        <f>I11/'Output-Calculation-sheet'!I10*'Output-Calculation-sheet'!I82</f>
        <v>1552098185.0738764</v>
      </c>
      <c r="J99" s="2">
        <f>J11/'Output-Calculation-sheet'!J10*'Output-Calculation-sheet'!J82</f>
        <v>1131471928.9188077</v>
      </c>
      <c r="K99" s="2">
        <f>K11/'Output-Calculation-sheet'!K10*'Output-Calculation-sheet'!K82</f>
        <v>1343458975.6680887</v>
      </c>
      <c r="L99" s="2">
        <f>L11/'Output-Calculation-sheet'!L10*'Output-Calculation-sheet'!L82</f>
        <v>1462471652.3346002</v>
      </c>
      <c r="M99" s="2">
        <f>M11/'Output-Calculation-sheet'!M10*'Output-Calculation-sheet'!M82</f>
        <v>2279773222.8138866</v>
      </c>
      <c r="N99" s="2">
        <f>N11/'Output-Calculation-sheet'!N10*'Output-Calculation-sheet'!N82</f>
        <v>1341352703.157903</v>
      </c>
      <c r="O99" s="2">
        <f>O11/'Output-Calculation-sheet'!O10*'Output-Calculation-sheet'!O82</f>
        <v>491603632.13639921</v>
      </c>
      <c r="P99" s="2">
        <f>P11/'Output-Calculation-sheet'!P10*'Output-Calculation-sheet'!P82</f>
        <v>2376225703.8375669</v>
      </c>
      <c r="Q99" s="2">
        <f>Q11/'Output-Calculation-sheet'!Q10*'Output-Calculation-sheet'!Q82</f>
        <v>1093037917.8000088</v>
      </c>
      <c r="R99" s="2">
        <f>R11/'Output-Calculation-sheet'!R10*'Output-Calculation-sheet'!R82</f>
        <v>1482677441.6704154</v>
      </c>
      <c r="S99" s="2">
        <f>S11/'Output-Calculation-sheet'!S10*'Output-Calculation-sheet'!S82</f>
        <v>803486408.25047708</v>
      </c>
      <c r="T99" s="2">
        <f>T11/'Output-Calculation-sheet'!T10*'Output-Calculation-sheet'!T82</f>
        <v>437532155.41998076</v>
      </c>
      <c r="U99" s="2">
        <f>U11/'Output-Calculation-sheet'!U10*'Output-Calculation-sheet'!U82</f>
        <v>354591009.86227304</v>
      </c>
      <c r="V99" s="2">
        <f>V11/'Output-Calculation-sheet'!V10*'Output-Calculation-sheet'!V82</f>
        <v>166098476.74799883</v>
      </c>
      <c r="W99" s="2">
        <f>W11/'Output-Calculation-sheet'!W10*'Output-Calculation-sheet'!W82</f>
        <v>510582409.5286054</v>
      </c>
      <c r="X99" s="2">
        <f>X11/'Output-Calculation-sheet'!X10*'Output-Calculation-sheet'!X82</f>
        <v>291819274.79157871</v>
      </c>
      <c r="Y99" s="2">
        <f>Y11/'Output-Calculation-sheet'!Y10*'Output-Calculation-sheet'!Y82</f>
        <v>342705835.64572734</v>
      </c>
      <c r="AA99" s="2">
        <f t="shared" si="8"/>
        <v>62.513347177136019</v>
      </c>
    </row>
    <row r="100" spans="1:27" x14ac:dyDescent="0.25">
      <c r="A100" s="2">
        <v>2035</v>
      </c>
      <c r="B100" s="2">
        <f>B12/'Output-Calculation-sheet'!B11*'Output-Calculation-sheet'!B83</f>
        <v>17816138983.162804</v>
      </c>
      <c r="C100" s="2">
        <f>C12/'Output-Calculation-sheet'!C11*'Output-Calculation-sheet'!C83</f>
        <v>3997995586.2179837</v>
      </c>
      <c r="D100" s="2">
        <f>D12/'Output-Calculation-sheet'!D11*'Output-Calculation-sheet'!D83</f>
        <v>2561049329.7135444</v>
      </c>
      <c r="E100" s="2">
        <f>E12/'Output-Calculation-sheet'!E11*'Output-Calculation-sheet'!E83</f>
        <v>15060421483.428591</v>
      </c>
      <c r="F100" s="2">
        <f>F12/'Output-Calculation-sheet'!F11*'Output-Calculation-sheet'!F83</f>
        <v>3426426739.5884681</v>
      </c>
      <c r="G100" s="2">
        <f>G12/'Output-Calculation-sheet'!G11*'Output-Calculation-sheet'!G83</f>
        <v>1815894121.4017749</v>
      </c>
      <c r="H100" s="2">
        <f>H12/'Output-Calculation-sheet'!H11*'Output-Calculation-sheet'!H83</f>
        <v>2853503550.8841343</v>
      </c>
      <c r="I100" s="2">
        <f>I12/'Output-Calculation-sheet'!I11*'Output-Calculation-sheet'!I83</f>
        <v>1605810038.7484465</v>
      </c>
      <c r="J100" s="2">
        <f>J12/'Output-Calculation-sheet'!J11*'Output-Calculation-sheet'!J83</f>
        <v>1157982079.3293662</v>
      </c>
      <c r="K100" s="2">
        <f>K12/'Output-Calculation-sheet'!K11*'Output-Calculation-sheet'!K83</f>
        <v>1346623564.189851</v>
      </c>
      <c r="L100" s="2">
        <f>L12/'Output-Calculation-sheet'!L11*'Output-Calculation-sheet'!L83</f>
        <v>1555816680.3551438</v>
      </c>
      <c r="M100" s="2">
        <f>M12/'Output-Calculation-sheet'!M11*'Output-Calculation-sheet'!M83</f>
        <v>2439876342.3885932</v>
      </c>
      <c r="N100" s="2">
        <f>N12/'Output-Calculation-sheet'!N11*'Output-Calculation-sheet'!N83</f>
        <v>1391519807.0779214</v>
      </c>
      <c r="O100" s="2">
        <f>O12/'Output-Calculation-sheet'!O11*'Output-Calculation-sheet'!O83</f>
        <v>507444245.50479889</v>
      </c>
      <c r="P100" s="2">
        <f>P12/'Output-Calculation-sheet'!P11*'Output-Calculation-sheet'!P83</f>
        <v>2369014590.6643476</v>
      </c>
      <c r="Q100" s="2">
        <f>Q12/'Output-Calculation-sheet'!Q11*'Output-Calculation-sheet'!Q83</f>
        <v>1135944314.1726711</v>
      </c>
      <c r="R100" s="2">
        <f>R12/'Output-Calculation-sheet'!R11*'Output-Calculation-sheet'!R83</f>
        <v>1544966093.9434545</v>
      </c>
      <c r="S100" s="2">
        <f>S12/'Output-Calculation-sheet'!S11*'Output-Calculation-sheet'!S83</f>
        <v>826169947.57634139</v>
      </c>
      <c r="T100" s="2">
        <f>T12/'Output-Calculation-sheet'!T11*'Output-Calculation-sheet'!T83</f>
        <v>435146477.33663851</v>
      </c>
      <c r="U100" s="2">
        <f>U12/'Output-Calculation-sheet'!U11*'Output-Calculation-sheet'!U83</f>
        <v>355234923.283077</v>
      </c>
      <c r="V100" s="2">
        <f>V12/'Output-Calculation-sheet'!V11*'Output-Calculation-sheet'!V83</f>
        <v>168050946.97781327</v>
      </c>
      <c r="W100" s="2">
        <f>W12/'Output-Calculation-sheet'!W11*'Output-Calculation-sheet'!W83</f>
        <v>510987783.0347802</v>
      </c>
      <c r="X100" s="2">
        <f>X12/'Output-Calculation-sheet'!X11*'Output-Calculation-sheet'!X83</f>
        <v>320447244.46015823</v>
      </c>
      <c r="Y100" s="2">
        <f>Y12/'Output-Calculation-sheet'!Y11*'Output-Calculation-sheet'!Y83</f>
        <v>353230258.71593994</v>
      </c>
      <c r="AA100" s="2">
        <f t="shared" si="8"/>
        <v>65.555695132156629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1655756937.9634998</v>
      </c>
      <c r="C107" s="2">
        <f>C8/'Output-Calculation-sheet'!C7*'Output-Calculation-sheet'!C88</f>
        <v>21351490238.19968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8507910702.9718447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5869746899.5454102</v>
      </c>
      <c r="N107" s="2">
        <f>N8/'Output-Calculation-sheet'!N7*'Output-Calculation-sheet'!N88</f>
        <v>1959506590.4366505</v>
      </c>
      <c r="O107" s="2">
        <f>O8/'Output-Calculation-sheet'!O7*'Output-Calculation-sheet'!O88</f>
        <v>3363990409.9570174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588708314.47671866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635694953.49304771</v>
      </c>
      <c r="Y107" s="2">
        <f>Y8/'Output-Calculation-sheet'!Y7*'Output-Calculation-sheet'!Y88</f>
        <v>0</v>
      </c>
      <c r="AA107" s="2">
        <f t="shared" si="9"/>
        <v>43932.805047043868</v>
      </c>
    </row>
    <row r="108" spans="1:27" x14ac:dyDescent="0.25">
      <c r="A108" s="2">
        <v>2032</v>
      </c>
      <c r="B108" s="2">
        <f>B9/'Output-Calculation-sheet'!B8*'Output-Calculation-sheet'!B89</f>
        <v>7680371865.8069305</v>
      </c>
      <c r="C108" s="2">
        <f>C9/'Output-Calculation-sheet'!C8*'Output-Calculation-sheet'!C89</f>
        <v>26089853500.111378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12012080176.731659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8287290834.3629494</v>
      </c>
      <c r="N108" s="2">
        <f>N9/'Output-Calculation-sheet'!N8*'Output-Calculation-sheet'!N89</f>
        <v>3899825736.2908564</v>
      </c>
      <c r="O108" s="2">
        <f>O9/'Output-Calculation-sheet'!O8*'Output-Calculation-sheet'!O89</f>
        <v>4175228407.6038918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1160532920.3909774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897538368.89149094</v>
      </c>
      <c r="Y108" s="2">
        <f>Y9/'Output-Calculation-sheet'!Y8*'Output-Calculation-sheet'!Y89</f>
        <v>0</v>
      </c>
      <c r="AA108" s="2">
        <f t="shared" si="9"/>
        <v>64202.721810190124</v>
      </c>
    </row>
    <row r="109" spans="1:27" x14ac:dyDescent="0.25">
      <c r="A109" s="2">
        <v>2033</v>
      </c>
      <c r="B109" s="2">
        <f>B10/'Output-Calculation-sheet'!B9*'Output-Calculation-sheet'!B90</f>
        <v>21265769845.581024</v>
      </c>
      <c r="C109" s="2">
        <f>C10/'Output-Calculation-sheet'!C9*'Output-Calculation-sheet'!C90</f>
        <v>31367821870.419979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15562179818.134218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10736551709.232141</v>
      </c>
      <c r="N109" s="2">
        <f>N10/'Output-Calculation-sheet'!N9*'Output-Calculation-sheet'!N90</f>
        <v>6324710384.6227016</v>
      </c>
      <c r="O109" s="2">
        <f>O10/'Output-Calculation-sheet'!O9*'Output-Calculation-sheet'!O90</f>
        <v>4900275480.2347593</v>
      </c>
      <c r="P109" s="2">
        <f>P10/'Output-Calculation-sheet'!P9*'Output-Calculation-sheet'!P90</f>
        <v>0</v>
      </c>
      <c r="Q109" s="2">
        <f>Q10/'Output-Calculation-sheet'!Q9*'Output-Calculation-sheet'!Q90</f>
        <v>205848211.27831087</v>
      </c>
      <c r="R109" s="2">
        <f>R10/'Output-Calculation-sheet'!R9*'Output-Calculation-sheet'!R90</f>
        <v>-4.2413143494421673E-7</v>
      </c>
      <c r="S109" s="2">
        <f>S10/'Output-Calculation-sheet'!S9*'Output-Calculation-sheet'!S90</f>
        <v>2542305877.8289285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1162801034.0005596</v>
      </c>
      <c r="Y109" s="2">
        <f>Y10/'Output-Calculation-sheet'!Y9*'Output-Calculation-sheet'!Y90</f>
        <v>0</v>
      </c>
      <c r="AA109" s="2">
        <f t="shared" si="9"/>
        <v>94068.264231332621</v>
      </c>
    </row>
    <row r="110" spans="1:27" x14ac:dyDescent="0.25">
      <c r="A110" s="2">
        <v>2034</v>
      </c>
      <c r="B110" s="2">
        <f>B11/'Output-Calculation-sheet'!B10*'Output-Calculation-sheet'!B91</f>
        <v>50785558363.170189</v>
      </c>
      <c r="C110" s="2">
        <f>C11/'Output-Calculation-sheet'!C10*'Output-Calculation-sheet'!C91</f>
        <v>37436377611.662323</v>
      </c>
      <c r="D110" s="2">
        <f>D11/'Output-Calculation-sheet'!D10*'Output-Calculation-sheet'!D91</f>
        <v>0</v>
      </c>
      <c r="E110" s="2">
        <f>E11/'Output-Calculation-sheet'!E10*'Output-Calculation-sheet'!E91</f>
        <v>1074886580.0873241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18512874932.545834</v>
      </c>
      <c r="I110" s="2">
        <f>I11/'Output-Calculation-sheet'!I10*'Output-Calculation-sheet'!I91</f>
        <v>-1.7823451165627014E-6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863945267.09949052</v>
      </c>
      <c r="M110" s="2">
        <f>M11/'Output-Calculation-sheet'!M10*'Output-Calculation-sheet'!M91</f>
        <v>13102378844.47677</v>
      </c>
      <c r="N110" s="2">
        <f>N11/'Output-Calculation-sheet'!N10*'Output-Calculation-sheet'!N91</f>
        <v>9067737859.7752876</v>
      </c>
      <c r="O110" s="2">
        <f>O11/'Output-Calculation-sheet'!O10*'Output-Calculation-sheet'!O91</f>
        <v>5749505571.5836592</v>
      </c>
      <c r="P110" s="2">
        <f>P11/'Output-Calculation-sheet'!P10*'Output-Calculation-sheet'!P91</f>
        <v>0</v>
      </c>
      <c r="Q110" s="2">
        <f>Q11/'Output-Calculation-sheet'!Q10*'Output-Calculation-sheet'!Q91</f>
        <v>1451594451.3864353</v>
      </c>
      <c r="R110" s="2">
        <f>R11/'Output-Calculation-sheet'!R10*'Output-Calculation-sheet'!R91</f>
        <v>0</v>
      </c>
      <c r="S110" s="2">
        <f>S11/'Output-Calculation-sheet'!S10*'Output-Calculation-sheet'!S91</f>
        <v>4439044875.7701473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1279079465.0496147</v>
      </c>
      <c r="Y110" s="2">
        <f>Y11/'Output-Calculation-sheet'!Y10*'Output-Calculation-sheet'!Y91</f>
        <v>56878531.739925437</v>
      </c>
      <c r="AA110" s="2">
        <f t="shared" si="9"/>
        <v>143819.86235434702</v>
      </c>
    </row>
    <row r="111" spans="1:27" x14ac:dyDescent="0.25">
      <c r="A111" s="2">
        <v>2035</v>
      </c>
      <c r="B111" s="2">
        <f>B12/'Output-Calculation-sheet'!B11*'Output-Calculation-sheet'!B92</f>
        <v>53513845143.186554</v>
      </c>
      <c r="C111" s="2">
        <f>C12/'Output-Calculation-sheet'!C11*'Output-Calculation-sheet'!C92</f>
        <v>46918270384.496361</v>
      </c>
      <c r="D111" s="2">
        <f>D12/'Output-Calculation-sheet'!D11*'Output-Calculation-sheet'!D92</f>
        <v>-1.4006626958720626E-6</v>
      </c>
      <c r="E111" s="2">
        <f>E12/'Output-Calculation-sheet'!E11*'Output-Calculation-sheet'!E92</f>
        <v>4340413560.1290226</v>
      </c>
      <c r="F111" s="2">
        <f>F12/'Output-Calculation-sheet'!F11*'Output-Calculation-sheet'!F92</f>
        <v>-3.0770141119933646E-7</v>
      </c>
      <c r="G111" s="2">
        <f>G12/'Output-Calculation-sheet'!G11*'Output-Calculation-sheet'!G92</f>
        <v>0</v>
      </c>
      <c r="H111" s="2">
        <f>H12/'Output-Calculation-sheet'!H11*'Output-Calculation-sheet'!H92</f>
        <v>19502501019.621986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2111940106.0295475</v>
      </c>
      <c r="M111" s="2">
        <f>M12/'Output-Calculation-sheet'!M11*'Output-Calculation-sheet'!M92</f>
        <v>13897519972.973215</v>
      </c>
      <c r="N111" s="2">
        <f>N12/'Output-Calculation-sheet'!N11*'Output-Calculation-sheet'!N92</f>
        <v>9784625889.594099</v>
      </c>
      <c r="O111" s="2">
        <f>O12/'Output-Calculation-sheet'!O11*'Output-Calculation-sheet'!O92</f>
        <v>7089669962.2414312</v>
      </c>
      <c r="P111" s="2">
        <f>P12/'Output-Calculation-sheet'!P11*'Output-Calculation-sheet'!P92</f>
        <v>420445455.5288952</v>
      </c>
      <c r="Q111" s="2">
        <f>Q12/'Output-Calculation-sheet'!Q11*'Output-Calculation-sheet'!Q92</f>
        <v>1859508640.4384966</v>
      </c>
      <c r="R111" s="2">
        <f>R12/'Output-Calculation-sheet'!R11*'Output-Calculation-sheet'!R92</f>
        <v>0</v>
      </c>
      <c r="S111" s="2">
        <f>S12/'Output-Calculation-sheet'!S11*'Output-Calculation-sheet'!S92</f>
        <v>4674356599.084897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1358470842.6295249</v>
      </c>
      <c r="Y111" s="2">
        <f>Y12/'Output-Calculation-sheet'!Y11*'Output-Calculation-sheet'!Y92</f>
        <v>91991862.708696559</v>
      </c>
      <c r="AA111" s="2">
        <f t="shared" si="9"/>
        <v>165563.55943866272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56221670748.802635</v>
      </c>
      <c r="C118" s="2">
        <f>C8/'Output-Calculation-sheet'!C7*'Output-Calculation-sheet'!C97</f>
        <v>0</v>
      </c>
      <c r="D118" s="2">
        <f>D8/'Output-Calculation-sheet'!D7*'Output-Calculation-sheet'!D97</f>
        <v>24309186545.576733</v>
      </c>
      <c r="E118" s="2">
        <f>E8/'Output-Calculation-sheet'!E7*'Output-Calculation-sheet'!E97</f>
        <v>19286872705.49115</v>
      </c>
      <c r="F118" s="2">
        <f>F8/'Output-Calculation-sheet'!F7*'Output-Calculation-sheet'!F97</f>
        <v>12415652063.251659</v>
      </c>
      <c r="G118" s="2">
        <f>G8/'Output-Calculation-sheet'!G7*'Output-Calculation-sheet'!G97</f>
        <v>8723577878.0145607</v>
      </c>
      <c r="H118" s="2">
        <f>H8/'Output-Calculation-sheet'!H7*'Output-Calculation-sheet'!H97</f>
        <v>0</v>
      </c>
      <c r="I118" s="2">
        <f>I8/'Output-Calculation-sheet'!I7*'Output-Calculation-sheet'!I97</f>
        <v>7947866142.5059605</v>
      </c>
      <c r="J118" s="2">
        <f>J8/'Output-Calculation-sheet'!J7*'Output-Calculation-sheet'!J97</f>
        <v>7735905487.448595</v>
      </c>
      <c r="K118" s="2">
        <f>K8/'Output-Calculation-sheet'!K7*'Output-Calculation-sheet'!K97</f>
        <v>7661741454.8884315</v>
      </c>
      <c r="L118" s="2">
        <f>L8/'Output-Calculation-sheet'!L7*'Output-Calculation-sheet'!L97</f>
        <v>6146348618.9847517</v>
      </c>
      <c r="M118" s="2">
        <f>M8/'Output-Calculation-sheet'!M7*'Output-Calculation-sheet'!M97</f>
        <v>0</v>
      </c>
      <c r="N118" s="2">
        <f>N8/'Output-Calculation-sheet'!N7*'Output-Calculation-sheet'!N97</f>
        <v>3802645569.1843925</v>
      </c>
      <c r="O118" s="2">
        <f>O8/'Output-Calculation-sheet'!O7*'Output-Calculation-sheet'!O97</f>
        <v>0</v>
      </c>
      <c r="P118" s="2">
        <f>P8/'Output-Calculation-sheet'!P7*'Output-Calculation-sheet'!P97</f>
        <v>5245591654.053937</v>
      </c>
      <c r="Q118" s="2">
        <f>Q8/'Output-Calculation-sheet'!Q7*'Output-Calculation-sheet'!Q97</f>
        <v>5160813437.0071316</v>
      </c>
      <c r="R118" s="2">
        <f>R8/'Output-Calculation-sheet'!R7*'Output-Calculation-sheet'!R97</f>
        <v>4964939873.6305485</v>
      </c>
      <c r="S118" s="2">
        <f>S8/'Output-Calculation-sheet'!S7*'Output-Calculation-sheet'!S97</f>
        <v>2711245451.8933783</v>
      </c>
      <c r="T118" s="2">
        <f>T8/'Output-Calculation-sheet'!T7*'Output-Calculation-sheet'!T97</f>
        <v>1825069562.0191336</v>
      </c>
      <c r="U118" s="2">
        <f>U8/'Output-Calculation-sheet'!U7*'Output-Calculation-sheet'!U97</f>
        <v>1589572916.397728</v>
      </c>
      <c r="V118" s="2">
        <f>V8/'Output-Calculation-sheet'!V7*'Output-Calculation-sheet'!V97</f>
        <v>1224003418.0705693</v>
      </c>
      <c r="W118" s="2">
        <f>W8/'Output-Calculation-sheet'!W7*'Output-Calculation-sheet'!W97</f>
        <v>1059715277.2739319</v>
      </c>
      <c r="X118" s="2">
        <f>X8/'Output-Calculation-sheet'!X7*'Output-Calculation-sheet'!X97</f>
        <v>0</v>
      </c>
      <c r="Y118" s="2">
        <f>Y8/'Output-Calculation-sheet'!Y7*'Output-Calculation-sheet'!Y97</f>
        <v>618337747.85246551</v>
      </c>
      <c r="AA118" s="2">
        <f t="shared" si="10"/>
        <v>178650.75655234768</v>
      </c>
    </row>
    <row r="119" spans="1:27" x14ac:dyDescent="0.25">
      <c r="A119" s="2">
        <v>2032</v>
      </c>
      <c r="B119" s="2">
        <f>B9/'Output-Calculation-sheet'!B8*'Output-Calculation-sheet'!B98</f>
        <v>74034445348.656693</v>
      </c>
      <c r="C119" s="2">
        <f>C9/'Output-Calculation-sheet'!C8*'Output-Calculation-sheet'!C98</f>
        <v>0</v>
      </c>
      <c r="D119" s="2">
        <f>D9/'Output-Calculation-sheet'!D8*'Output-Calculation-sheet'!D98</f>
        <v>34321167417.521381</v>
      </c>
      <c r="E119" s="2">
        <f>E9/'Output-Calculation-sheet'!E8*'Output-Calculation-sheet'!E98</f>
        <v>27230357150.641823</v>
      </c>
      <c r="F119" s="2">
        <f>F9/'Output-Calculation-sheet'!F8*'Output-Calculation-sheet'!F98</f>
        <v>17529163476.897747</v>
      </c>
      <c r="G119" s="2">
        <f>G9/'Output-Calculation-sheet'!G8*'Output-Calculation-sheet'!G98</f>
        <v>12316471374.15432</v>
      </c>
      <c r="H119" s="2">
        <f>H9/'Output-Calculation-sheet'!H8*'Output-Calculation-sheet'!H98</f>
        <v>2.58587713831318E-7</v>
      </c>
      <c r="I119" s="2">
        <f>I9/'Output-Calculation-sheet'!I8*'Output-Calculation-sheet'!I98</f>
        <v>11221275783.239069</v>
      </c>
      <c r="J119" s="2">
        <f>J9/'Output-Calculation-sheet'!J8*'Output-Calculation-sheet'!J98</f>
        <v>10922012731.998352</v>
      </c>
      <c r="K119" s="2">
        <f>K9/'Output-Calculation-sheet'!K8*'Output-Calculation-sheet'!K98</f>
        <v>10817305224.686934</v>
      </c>
      <c r="L119" s="2">
        <f>L9/'Output-Calculation-sheet'!L8*'Output-Calculation-sheet'!L98</f>
        <v>8677784935.689188</v>
      </c>
      <c r="M119" s="2">
        <f>M9/'Output-Calculation-sheet'!M8*'Output-Calculation-sheet'!M98</f>
        <v>0</v>
      </c>
      <c r="N119" s="2">
        <f>N9/'Output-Calculation-sheet'!N8*'Output-Calculation-sheet'!N98</f>
        <v>4234845281.0817642</v>
      </c>
      <c r="O119" s="2">
        <f>O9/'Output-Calculation-sheet'!O8*'Output-Calculation-sheet'!O98</f>
        <v>0</v>
      </c>
      <c r="P119" s="2">
        <f>P9/'Output-Calculation-sheet'!P8*'Output-Calculation-sheet'!P98</f>
        <v>7405991956.7143974</v>
      </c>
      <c r="Q119" s="2">
        <f>Q9/'Output-Calculation-sheet'!Q8*'Output-Calculation-sheet'!Q98</f>
        <v>7286345893.6896963</v>
      </c>
      <c r="R119" s="2">
        <f>R9/'Output-Calculation-sheet'!R8*'Output-Calculation-sheet'!R98</f>
        <v>7009800414.9920025</v>
      </c>
      <c r="S119" s="2">
        <f>S9/'Output-Calculation-sheet'!S8*'Output-Calculation-sheet'!S98</f>
        <v>3498293389.429204</v>
      </c>
      <c r="T119" s="2">
        <f>T9/'Output-Calculation-sheet'!T8*'Output-Calculation-sheet'!T98</f>
        <v>2576742255.2698717</v>
      </c>
      <c r="U119" s="2">
        <f>U9/'Output-Calculation-sheet'!U8*'Output-Calculation-sheet'!U98</f>
        <v>2244254901.6566768</v>
      </c>
      <c r="V119" s="2">
        <f>V9/'Output-Calculation-sheet'!V8*'Output-Calculation-sheet'!V98</f>
        <v>1728121159.6567545</v>
      </c>
      <c r="W119" s="2">
        <f>W9/'Output-Calculation-sheet'!W8*'Output-Calculation-sheet'!W98</f>
        <v>1496169699.3347487</v>
      </c>
      <c r="X119" s="2">
        <f>X9/'Output-Calculation-sheet'!X8*'Output-Calculation-sheet'!X98</f>
        <v>0</v>
      </c>
      <c r="Y119" s="2">
        <f>Y9/'Output-Calculation-sheet'!Y8*'Output-Calculation-sheet'!Y98</f>
        <v>873006042.92143095</v>
      </c>
      <c r="AA119" s="2">
        <f t="shared" si="10"/>
        <v>245423.55443823201</v>
      </c>
    </row>
    <row r="120" spans="1:27" x14ac:dyDescent="0.25">
      <c r="A120" s="2">
        <v>2033</v>
      </c>
      <c r="B120" s="2">
        <f>B10/'Output-Calculation-sheet'!B9*'Output-Calculation-sheet'!B99</f>
        <v>84589765636.408264</v>
      </c>
      <c r="C120" s="2">
        <f>C10/'Output-Calculation-sheet'!C9*'Output-Calculation-sheet'!C99</f>
        <v>0</v>
      </c>
      <c r="D120" s="2">
        <f>D10/'Output-Calculation-sheet'!D9*'Output-Calculation-sheet'!D99</f>
        <v>44463254493.008171</v>
      </c>
      <c r="E120" s="2">
        <f>E10/'Output-Calculation-sheet'!E9*'Output-Calculation-sheet'!E99</f>
        <v>35277075855.458473</v>
      </c>
      <c r="F120" s="2">
        <f>F10/'Output-Calculation-sheet'!F9*'Output-Calculation-sheet'!F99</f>
        <v>22709119633.770859</v>
      </c>
      <c r="G120" s="2">
        <f>G10/'Output-Calculation-sheet'!G9*'Output-Calculation-sheet'!G99</f>
        <v>15956050689.653906</v>
      </c>
      <c r="H120" s="2">
        <f>H10/'Output-Calculation-sheet'!H9*'Output-Calculation-sheet'!H99</f>
        <v>0</v>
      </c>
      <c r="I120" s="2">
        <f>I10/'Output-Calculation-sheet'!I9*'Output-Calculation-sheet'!I99</f>
        <v>14537220062.977062</v>
      </c>
      <c r="J120" s="2">
        <f>J10/'Output-Calculation-sheet'!J9*'Output-Calculation-sheet'!J99</f>
        <v>14149523227.8918</v>
      </c>
      <c r="K120" s="2">
        <f>K10/'Output-Calculation-sheet'!K9*'Output-Calculation-sheet'!K99</f>
        <v>14013875583.471741</v>
      </c>
      <c r="L120" s="2">
        <f>L10/'Output-Calculation-sheet'!L9*'Output-Calculation-sheet'!L99</f>
        <v>11242114672.963104</v>
      </c>
      <c r="M120" s="2">
        <f>M10/'Output-Calculation-sheet'!M9*'Output-Calculation-sheet'!M99</f>
        <v>0</v>
      </c>
      <c r="N120" s="2">
        <f>N10/'Output-Calculation-sheet'!N9*'Output-Calculation-sheet'!N99</f>
        <v>4213182633.5919642</v>
      </c>
      <c r="O120" s="2">
        <f>O10/'Output-Calculation-sheet'!O9*'Output-Calculation-sheet'!O99</f>
        <v>0</v>
      </c>
      <c r="P120" s="2">
        <f>P10/'Output-Calculation-sheet'!P9*'Output-Calculation-sheet'!P99</f>
        <v>9594001821.569334</v>
      </c>
      <c r="Q120" s="2">
        <f>Q10/'Output-Calculation-sheet'!Q9*'Output-Calculation-sheet'!Q99</f>
        <v>9233559668.2678776</v>
      </c>
      <c r="R120" s="2">
        <f>R10/'Output-Calculation-sheet'!R9*'Output-Calculation-sheet'!R99</f>
        <v>9080801171.7275982</v>
      </c>
      <c r="S120" s="2">
        <f>S10/'Output-Calculation-sheet'!S9*'Output-Calculation-sheet'!S99</f>
        <v>3492819394.2060008</v>
      </c>
      <c r="T120" s="2">
        <f>T10/'Output-Calculation-sheet'!T9*'Output-Calculation-sheet'!T99</f>
        <v>3338154031.4960136</v>
      </c>
      <c r="U120" s="2">
        <f>U10/'Output-Calculation-sheet'!U9*'Output-Calculation-sheet'!U99</f>
        <v>2908075580.4326496</v>
      </c>
      <c r="V120" s="2">
        <f>V10/'Output-Calculation-sheet'!V9*'Output-Calculation-sheet'!V99</f>
        <v>2238789897.4656734</v>
      </c>
      <c r="W120" s="2">
        <f>W10/'Output-Calculation-sheet'!W9*'Output-Calculation-sheet'!W99</f>
        <v>1938295886.2457986</v>
      </c>
      <c r="X120" s="2">
        <f>X10/'Output-Calculation-sheet'!X9*'Output-Calculation-sheet'!X99</f>
        <v>0</v>
      </c>
      <c r="Y120" s="2">
        <f>Y10/'Output-Calculation-sheet'!Y9*'Output-Calculation-sheet'!Y99</f>
        <v>1130985485.4419155</v>
      </c>
      <c r="AA120" s="2">
        <f t="shared" si="10"/>
        <v>304106.66542604822</v>
      </c>
    </row>
    <row r="121" spans="1:27" x14ac:dyDescent="0.25">
      <c r="A121" s="2">
        <v>2034</v>
      </c>
      <c r="B121" s="2">
        <f>B11/'Output-Calculation-sheet'!B10*'Output-Calculation-sheet'!B100</f>
        <v>78384295522.354477</v>
      </c>
      <c r="C121" s="2">
        <f>C11/'Output-Calculation-sheet'!C10*'Output-Calculation-sheet'!C100</f>
        <v>0</v>
      </c>
      <c r="D121" s="2">
        <f>D11/'Output-Calculation-sheet'!D10*'Output-Calculation-sheet'!D100</f>
        <v>54259684291.465721</v>
      </c>
      <c r="E121" s="2">
        <f>E11/'Output-Calculation-sheet'!E10*'Output-Calculation-sheet'!E100</f>
        <v>41981779787.00444</v>
      </c>
      <c r="F121" s="2">
        <f>F11/'Output-Calculation-sheet'!F10*'Output-Calculation-sheet'!F100</f>
        <v>27712752855.359016</v>
      </c>
      <c r="G121" s="2">
        <f>G11/'Output-Calculation-sheet'!G10*'Output-Calculation-sheet'!G100</f>
        <v>19470535341.362347</v>
      </c>
      <c r="H121" s="2">
        <f>H11/'Output-Calculation-sheet'!H10*'Output-Calculation-sheet'!H100</f>
        <v>0</v>
      </c>
      <c r="I121" s="2">
        <f>I11/'Output-Calculation-sheet'!I10*'Output-Calculation-sheet'!I100</f>
        <v>17739534056.973148</v>
      </c>
      <c r="J121" s="2">
        <f>J11/'Output-Calculation-sheet'!J10*'Output-Calculation-sheet'!J100</f>
        <v>17266605585.097038</v>
      </c>
      <c r="K121" s="2">
        <f>K11/'Output-Calculation-sheet'!K10*'Output-Calculation-sheet'!K100</f>
        <v>17101509683.050859</v>
      </c>
      <c r="L121" s="2">
        <f>L11/'Output-Calculation-sheet'!L10*'Output-Calculation-sheet'!L100</f>
        <v>12854717465.889721</v>
      </c>
      <c r="M121" s="2">
        <f>M11/'Output-Calculation-sheet'!M10*'Output-Calculation-sheet'!M100</f>
        <v>9.1841771342291429E-7</v>
      </c>
      <c r="N121" s="2">
        <f>N11/'Output-Calculation-sheet'!N10*'Output-Calculation-sheet'!N100</f>
        <v>3792208657.1336284</v>
      </c>
      <c r="O121" s="2">
        <f>O11/'Output-Calculation-sheet'!O10*'Output-Calculation-sheet'!O100</f>
        <v>0</v>
      </c>
      <c r="P121" s="2">
        <f>P11/'Output-Calculation-sheet'!P10*'Output-Calculation-sheet'!P100</f>
        <v>11707320143.756413</v>
      </c>
      <c r="Q121" s="2">
        <f>Q11/'Output-Calculation-sheet'!Q10*'Output-Calculation-sheet'!Q100</f>
        <v>9701923333.8862133</v>
      </c>
      <c r="R121" s="2">
        <f>R11/'Output-Calculation-sheet'!R10*'Output-Calculation-sheet'!R100</f>
        <v>11081063193.499706</v>
      </c>
      <c r="S121" s="2">
        <f>S11/'Output-Calculation-sheet'!S10*'Output-Calculation-sheet'!S100</f>
        <v>2925719466.498692</v>
      </c>
      <c r="T121" s="2">
        <f>T11/'Output-Calculation-sheet'!T10*'Output-Calculation-sheet'!T100</f>
        <v>4073396023.0763011</v>
      </c>
      <c r="U121" s="2">
        <f>U11/'Output-Calculation-sheet'!U10*'Output-Calculation-sheet'!U100</f>
        <v>3432797232.3505154</v>
      </c>
      <c r="V121" s="2">
        <f>V11/'Output-Calculation-sheet'!V10*'Output-Calculation-sheet'!V100</f>
        <v>2732828395.9534698</v>
      </c>
      <c r="W121" s="2">
        <f>W11/'Output-Calculation-sheet'!W10*'Output-Calculation-sheet'!W100</f>
        <v>2365423941.4807749</v>
      </c>
      <c r="X121" s="2">
        <f>X11/'Output-Calculation-sheet'!X10*'Output-Calculation-sheet'!X100</f>
        <v>91095881.076531425</v>
      </c>
      <c r="Y121" s="2">
        <f>Y11/'Output-Calculation-sheet'!Y10*'Output-Calculation-sheet'!Y100</f>
        <v>1323268010.6716924</v>
      </c>
      <c r="AA121" s="2">
        <f t="shared" si="10"/>
        <v>339998.45886794076</v>
      </c>
    </row>
    <row r="122" spans="1:27" x14ac:dyDescent="0.25">
      <c r="A122" s="2">
        <v>2035</v>
      </c>
      <c r="B122" s="2">
        <f>B12/'Output-Calculation-sheet'!B11*'Output-Calculation-sheet'!B101</f>
        <v>80169926503.876511</v>
      </c>
      <c r="C122" s="2">
        <f>C12/'Output-Calculation-sheet'!C11*'Output-Calculation-sheet'!C101</f>
        <v>0</v>
      </c>
      <c r="D122" s="2">
        <f>D12/'Output-Calculation-sheet'!D11*'Output-Calculation-sheet'!D101</f>
        <v>56101639784.244514</v>
      </c>
      <c r="E122" s="2">
        <f>E12/'Output-Calculation-sheet'!E11*'Output-Calculation-sheet'!E101</f>
        <v>43568015291.837509</v>
      </c>
      <c r="F122" s="2">
        <f>F12/'Output-Calculation-sheet'!F11*'Output-Calculation-sheet'!F101</f>
        <v>29680857022.554832</v>
      </c>
      <c r="G122" s="2">
        <f>G12/'Output-Calculation-sheet'!G11*'Output-Calculation-sheet'!G101</f>
        <v>20111092329.064228</v>
      </c>
      <c r="H122" s="2">
        <f>H12/'Output-Calculation-sheet'!H11*'Output-Calculation-sheet'!H101</f>
        <v>0</v>
      </c>
      <c r="I122" s="2">
        <f>I12/'Output-Calculation-sheet'!I11*'Output-Calculation-sheet'!I101</f>
        <v>18453504160.67976</v>
      </c>
      <c r="J122" s="2">
        <f>J12/'Output-Calculation-sheet'!J11*'Output-Calculation-sheet'!J101</f>
        <v>18473650208.339958</v>
      </c>
      <c r="K122" s="2">
        <f>K12/'Output-Calculation-sheet'!K11*'Output-Calculation-sheet'!K101</f>
        <v>18136936999.957897</v>
      </c>
      <c r="L122" s="2">
        <f>L12/'Output-Calculation-sheet'!L11*'Output-Calculation-sheet'!L101</f>
        <v>13139031791.655949</v>
      </c>
      <c r="M122" s="2">
        <f>M12/'Output-Calculation-sheet'!M11*'Output-Calculation-sheet'!M101</f>
        <v>0</v>
      </c>
      <c r="N122" s="2">
        <f>N12/'Output-Calculation-sheet'!N11*'Output-Calculation-sheet'!N101</f>
        <v>3825700032.7517481</v>
      </c>
      <c r="O122" s="2">
        <f>O12/'Output-Calculation-sheet'!O11*'Output-Calculation-sheet'!O101</f>
        <v>0</v>
      </c>
      <c r="P122" s="2">
        <f>P12/'Output-Calculation-sheet'!P11*'Output-Calculation-sheet'!P101</f>
        <v>12196358380.226398</v>
      </c>
      <c r="Q122" s="2">
        <f>Q12/'Output-Calculation-sheet'!Q11*'Output-Calculation-sheet'!Q101</f>
        <v>9860128826.5504456</v>
      </c>
      <c r="R122" s="2">
        <f>R12/'Output-Calculation-sheet'!R11*'Output-Calculation-sheet'!R101</f>
        <v>12080528986.215504</v>
      </c>
      <c r="S122" s="2">
        <f>S12/'Output-Calculation-sheet'!S11*'Output-Calculation-sheet'!S101</f>
        <v>2889636912.8044143</v>
      </c>
      <c r="T122" s="2">
        <f>T12/'Output-Calculation-sheet'!T11*'Output-Calculation-sheet'!T101</f>
        <v>4508043929.4562826</v>
      </c>
      <c r="U122" s="2">
        <f>U12/'Output-Calculation-sheet'!U11*'Output-Calculation-sheet'!U101</f>
        <v>3560415231.3151789</v>
      </c>
      <c r="V122" s="2">
        <f>V12/'Output-Calculation-sheet'!V11*'Output-Calculation-sheet'!V101</f>
        <v>3100295206.5228543</v>
      </c>
      <c r="W122" s="2">
        <f>W12/'Output-Calculation-sheet'!W11*'Output-Calculation-sheet'!W101</f>
        <v>2612846409.7808185</v>
      </c>
      <c r="X122" s="2">
        <f>X12/'Output-Calculation-sheet'!X11*'Output-Calculation-sheet'!X101</f>
        <v>92125758.525851876</v>
      </c>
      <c r="Y122" s="2">
        <f>Y12/'Output-Calculation-sheet'!Y11*'Output-Calculation-sheet'!Y101</f>
        <v>1380219593.2705569</v>
      </c>
      <c r="AA122" s="2">
        <f t="shared" si="10"/>
        <v>353940.9533596313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57877428740.767235</v>
      </c>
      <c r="C129" s="2">
        <f>C8/'Output-Calculation-sheet'!C7*'Output-Calculation-sheet'!C106</f>
        <v>33923024747.764496</v>
      </c>
      <c r="D129" s="2">
        <f>D8/'Output-Calculation-sheet'!D7*'Output-Calculation-sheet'!D106</f>
        <v>24309186545.576733</v>
      </c>
      <c r="E129" s="2">
        <f>E8/'Output-Calculation-sheet'!E7*'Output-Calculation-sheet'!E106</f>
        <v>19286872705.49115</v>
      </c>
      <c r="F129" s="2">
        <f>F8/'Output-Calculation-sheet'!F7*'Output-Calculation-sheet'!F106</f>
        <v>12415652063.251659</v>
      </c>
      <c r="G129" s="2">
        <f>G8/'Output-Calculation-sheet'!G7*'Output-Calculation-sheet'!G106</f>
        <v>8723577878.0145607</v>
      </c>
      <c r="H129" s="2">
        <f>H8/'Output-Calculation-sheet'!H7*'Output-Calculation-sheet'!H106</f>
        <v>8509515349.9097233</v>
      </c>
      <c r="I129" s="2">
        <f>I8/'Output-Calculation-sheet'!I7*'Output-Calculation-sheet'!I106</f>
        <v>7947866142.5059605</v>
      </c>
      <c r="J129" s="2">
        <f>J8/'Output-Calculation-sheet'!J7*'Output-Calculation-sheet'!J106</f>
        <v>7735905487.448595</v>
      </c>
      <c r="K129" s="2">
        <f>K8/'Output-Calculation-sheet'!K7*'Output-Calculation-sheet'!K106</f>
        <v>7661741454.8884315</v>
      </c>
      <c r="L129" s="2">
        <f>L8/'Output-Calculation-sheet'!L7*'Output-Calculation-sheet'!L106</f>
        <v>6146348618.9847517</v>
      </c>
      <c r="M129" s="2">
        <f>M8/'Output-Calculation-sheet'!M7*'Output-Calculation-sheet'!M106</f>
        <v>5870823790.5977478</v>
      </c>
      <c r="N129" s="2">
        <f>N8/'Output-Calculation-sheet'!N7*'Output-Calculation-sheet'!N106</f>
        <v>5762197711.4913282</v>
      </c>
      <c r="O129" s="2">
        <f>O8/'Output-Calculation-sheet'!O7*'Output-Calculation-sheet'!O106</f>
        <v>7390482730.4996471</v>
      </c>
      <c r="P129" s="2">
        <f>P8/'Output-Calculation-sheet'!P7*'Output-Calculation-sheet'!P106</f>
        <v>5245591654.053937</v>
      </c>
      <c r="Q129" s="2">
        <f>Q8/'Output-Calculation-sheet'!Q7*'Output-Calculation-sheet'!Q106</f>
        <v>5160813437.0071316</v>
      </c>
      <c r="R129" s="2">
        <f>R8/'Output-Calculation-sheet'!R7*'Output-Calculation-sheet'!R106</f>
        <v>4964939873.6305485</v>
      </c>
      <c r="S129" s="2">
        <f>S8/'Output-Calculation-sheet'!S7*'Output-Calculation-sheet'!S106</f>
        <v>3299953382.3725429</v>
      </c>
      <c r="T129" s="2">
        <f>T8/'Output-Calculation-sheet'!T7*'Output-Calculation-sheet'!T106</f>
        <v>1825069562.0191336</v>
      </c>
      <c r="U129" s="2">
        <f>U8/'Output-Calculation-sheet'!U7*'Output-Calculation-sheet'!U106</f>
        <v>1589572916.397728</v>
      </c>
      <c r="V129" s="2">
        <f>V8/'Output-Calculation-sheet'!V7*'Output-Calculation-sheet'!V106</f>
        <v>1224003418.0705693</v>
      </c>
      <c r="W129" s="2">
        <f>W8/'Output-Calculation-sheet'!W7*'Output-Calculation-sheet'!W106</f>
        <v>1059715277.2739319</v>
      </c>
      <c r="X129" s="2">
        <f>X8/'Output-Calculation-sheet'!X7*'Output-Calculation-sheet'!X106</f>
        <v>635829291.40047777</v>
      </c>
      <c r="Y129" s="2">
        <f>Y8/'Output-Calculation-sheet'!Y7*'Output-Calculation-sheet'!Y106</f>
        <v>618337747.85246551</v>
      </c>
      <c r="AA129" s="2">
        <f t="shared" si="11"/>
        <v>239184.45052727047</v>
      </c>
    </row>
    <row r="130" spans="1:27" x14ac:dyDescent="0.25">
      <c r="A130" s="2">
        <v>2032</v>
      </c>
      <c r="B130" s="2">
        <f>B9/'Output-Calculation-sheet'!B8*'Output-Calculation-sheet'!B107</f>
        <v>49028897475.651031</v>
      </c>
      <c r="C130" s="2">
        <f>C9/'Output-Calculation-sheet'!C8*'Output-Calculation-sheet'!C107</f>
        <v>36871053824.803154</v>
      </c>
      <c r="D130" s="2">
        <f>D9/'Output-Calculation-sheet'!D8*'Output-Calculation-sheet'!D107</f>
        <v>20592696157.883884</v>
      </c>
      <c r="E130" s="2">
        <f>E9/'Output-Calculation-sheet'!E8*'Output-Calculation-sheet'!E107</f>
        <v>16338212584.637581</v>
      </c>
      <c r="F130" s="2">
        <f>F9/'Output-Calculation-sheet'!F8*'Output-Calculation-sheet'!F107</f>
        <v>10517499158.936867</v>
      </c>
      <c r="G130" s="2">
        <f>G9/'Output-Calculation-sheet'!G8*'Output-Calculation-sheet'!G107</f>
        <v>7389883594.4217072</v>
      </c>
      <c r="H130" s="2">
        <f>H9/'Output-Calculation-sheet'!H8*'Output-Calculation-sheet'!H107</f>
        <v>7208545894.9075842</v>
      </c>
      <c r="I130" s="2">
        <f>I9/'Output-Calculation-sheet'!I8*'Output-Calculation-sheet'!I107</f>
        <v>6732764777.4381695</v>
      </c>
      <c r="J130" s="2">
        <f>J9/'Output-Calculation-sheet'!J8*'Output-Calculation-sheet'!J107</f>
        <v>6553206953.8461533</v>
      </c>
      <c r="K130" s="2">
        <f>K9/'Output-Calculation-sheet'!K8*'Output-Calculation-sheet'!K107</f>
        <v>6490383134.8121605</v>
      </c>
      <c r="L130" s="2">
        <f>L9/'Output-Calculation-sheet'!L8*'Output-Calculation-sheet'!L107</f>
        <v>5206670420.21418</v>
      </c>
      <c r="M130" s="2">
        <f>M9/'Output-Calculation-sheet'!M8*'Output-Calculation-sheet'!M107</f>
        <v>4973269559.2420244</v>
      </c>
      <c r="N130" s="2">
        <f>N9/'Output-Calculation-sheet'!N8*'Output-Calculation-sheet'!N107</f>
        <v>4881247504.0713396</v>
      </c>
      <c r="O130" s="2">
        <f>O9/'Output-Calculation-sheet'!O8*'Output-Calculation-sheet'!O107</f>
        <v>8029153781.0318937</v>
      </c>
      <c r="P130" s="2">
        <f>P9/'Output-Calculation-sheet'!P8*'Output-Calculation-sheet'!P107</f>
        <v>4443623599.3071308</v>
      </c>
      <c r="Q130" s="2">
        <f>Q9/'Output-Calculation-sheet'!Q8*'Output-Calculation-sheet'!Q107</f>
        <v>4371808862.0429478</v>
      </c>
      <c r="R130" s="2">
        <f>R9/'Output-Calculation-sheet'!R8*'Output-Calculation-sheet'!R107</f>
        <v>4205880687.2641344</v>
      </c>
      <c r="S130" s="2">
        <f>S9/'Output-Calculation-sheet'!S8*'Output-Calculation-sheet'!S107</f>
        <v>2795443395.4651737</v>
      </c>
      <c r="T130" s="2">
        <f>T9/'Output-Calculation-sheet'!T8*'Output-Calculation-sheet'!T107</f>
        <v>1546045677.4501362</v>
      </c>
      <c r="U130" s="2">
        <f>U9/'Output-Calculation-sheet'!U8*'Output-Calculation-sheet'!U107</f>
        <v>1346552517.9735038</v>
      </c>
      <c r="V130" s="2">
        <f>V9/'Output-Calculation-sheet'!V8*'Output-Calculation-sheet'!V107</f>
        <v>1036872369.6068795</v>
      </c>
      <c r="W130" s="2">
        <f>W9/'Output-Calculation-sheet'!W8*'Output-Calculation-sheet'!W107</f>
        <v>897701913.75203669</v>
      </c>
      <c r="X130" s="2">
        <f>X9/'Output-Calculation-sheet'!X8*'Output-Calculation-sheet'!X107</f>
        <v>538621042.56742156</v>
      </c>
      <c r="Y130" s="2">
        <f>Y9/'Output-Calculation-sheet'!Y8*'Output-Calculation-sheet'!Y107</f>
        <v>523803680.08502829</v>
      </c>
      <c r="AA130" s="2">
        <f t="shared" si="11"/>
        <v>212519.83856741214</v>
      </c>
    </row>
    <row r="131" spans="1:27" x14ac:dyDescent="0.25">
      <c r="A131" s="2">
        <v>2033</v>
      </c>
      <c r="B131" s="2">
        <f>B10/'Output-Calculation-sheet'!B9*'Output-Calculation-sheet'!B108</f>
        <v>35287338913.511795</v>
      </c>
      <c r="C131" s="2">
        <f>C10/'Output-Calculation-sheet'!C9*'Output-Calculation-sheet'!C108</f>
        <v>36925634705.173866</v>
      </c>
      <c r="D131" s="2">
        <f>D10/'Output-Calculation-sheet'!D9*'Output-Calculation-sheet'!D108</f>
        <v>14821088692.893894</v>
      </c>
      <c r="E131" s="2">
        <f>E10/'Output-Calculation-sheet'!E9*'Output-Calculation-sheet'!E108</f>
        <v>11759025285.152824</v>
      </c>
      <c r="F131" s="2">
        <f>F10/'Output-Calculation-sheet'!F9*'Output-Calculation-sheet'!F108</f>
        <v>7569706544.5902863</v>
      </c>
      <c r="G131" s="2">
        <f>G10/'Output-Calculation-sheet'!G9*'Output-Calculation-sheet'!G108</f>
        <v>5318683563.2179689</v>
      </c>
      <c r="H131" s="2">
        <f>H10/'Output-Calculation-sheet'!H9*'Output-Calculation-sheet'!H108</f>
        <v>5188171648.7658215</v>
      </c>
      <c r="I131" s="2">
        <f>I10/'Output-Calculation-sheet'!I9*'Output-Calculation-sheet'!I108</f>
        <v>4845741267.0259752</v>
      </c>
      <c r="J131" s="2">
        <f>J10/'Output-Calculation-sheet'!J9*'Output-Calculation-sheet'!J108</f>
        <v>4716508975.7947903</v>
      </c>
      <c r="K131" s="2">
        <f>K10/'Output-Calculation-sheet'!K9*'Output-Calculation-sheet'!K108</f>
        <v>4671291861.1572475</v>
      </c>
      <c r="L131" s="2">
        <f>L10/'Output-Calculation-sheet'!L9*'Output-Calculation-sheet'!L108</f>
        <v>3747372531.4412723</v>
      </c>
      <c r="M131" s="2">
        <f>M10/'Output-Calculation-sheet'!M9*'Output-Calculation-sheet'!M108</f>
        <v>3579386168.6379428</v>
      </c>
      <c r="N131" s="2">
        <f>N10/'Output-Calculation-sheet'!N9*'Output-Calculation-sheet'!N108</f>
        <v>3513156506.2410579</v>
      </c>
      <c r="O131" s="2">
        <f>O10/'Output-Calculation-sheet'!O9*'Output-Calculation-sheet'!O108</f>
        <v>8320076148.7347164</v>
      </c>
      <c r="P131" s="2">
        <f>P10/'Output-Calculation-sheet'!P9*'Output-Calculation-sheet'!P108</f>
        <v>3198189260.3516068</v>
      </c>
      <c r="Q131" s="2">
        <f>Q10/'Output-Calculation-sheet'!Q9*'Output-Calculation-sheet'!Q108</f>
        <v>3146500712.1474638</v>
      </c>
      <c r="R131" s="2">
        <f>R10/'Output-Calculation-sheet'!R9*'Output-Calculation-sheet'!R108</f>
        <v>3027077245.9997091</v>
      </c>
      <c r="S131" s="2">
        <f>S10/'Output-Calculation-sheet'!S9*'Output-Calculation-sheet'!S108</f>
        <v>2011951388.23895</v>
      </c>
      <c r="T131" s="2">
        <f>T10/'Output-Calculation-sheet'!T9*'Output-Calculation-sheet'!T108</f>
        <v>1112727346.4337561</v>
      </c>
      <c r="U131" s="2">
        <f>U10/'Output-Calculation-sheet'!U9*'Output-Calculation-sheet'!U108</f>
        <v>969147689.30855584</v>
      </c>
      <c r="V131" s="2">
        <f>V10/'Output-Calculation-sheet'!V9*'Output-Calculation-sheet'!V108</f>
        <v>746263103.51763582</v>
      </c>
      <c r="W131" s="2">
        <f>W10/'Output-Calculation-sheet'!W9*'Output-Calculation-sheet'!W108</f>
        <v>646098459.34116006</v>
      </c>
      <c r="X131" s="2">
        <f>X10/'Output-Calculation-sheet'!X9*'Output-Calculation-sheet'!X108</f>
        <v>387658999.88152939</v>
      </c>
      <c r="Y131" s="2">
        <f>Y10/'Output-Calculation-sheet'!Y9*'Output-Calculation-sheet'!Y108</f>
        <v>376994575.25055134</v>
      </c>
      <c r="AA131" s="2">
        <f t="shared" si="11"/>
        <v>165885.79159281033</v>
      </c>
    </row>
    <row r="132" spans="1:27" x14ac:dyDescent="0.25">
      <c r="A132" s="2">
        <v>2034</v>
      </c>
      <c r="B132" s="2">
        <f>B11/'Output-Calculation-sheet'!B10*'Output-Calculation-sheet'!B109</f>
        <v>18455171409.462856</v>
      </c>
      <c r="C132" s="2">
        <f>C11/'Output-Calculation-sheet'!C10*'Output-Calculation-sheet'!C109</f>
        <v>34123444664.015167</v>
      </c>
      <c r="D132" s="2">
        <f>D11/'Output-Calculation-sheet'!D10*'Output-Calculation-sheet'!D109</f>
        <v>7751384508.9420853</v>
      </c>
      <c r="E132" s="2">
        <f>E11/'Output-Calculation-sheet'!E10*'Output-Calculation-sheet'!E109</f>
        <v>6149936541.4199791</v>
      </c>
      <c r="F132" s="2">
        <f>F11/'Output-Calculation-sheet'!F10*'Output-Calculation-sheet'!F109</f>
        <v>3958934840.0484152</v>
      </c>
      <c r="G132" s="2">
        <f>G11/'Output-Calculation-sheet'!G10*'Output-Calculation-sheet'!G109</f>
        <v>2781656703.3704677</v>
      </c>
      <c r="H132" s="2">
        <f>H11/'Output-Calculation-sheet'!H10*'Output-Calculation-sheet'!H109</f>
        <v>3296364868.0592065</v>
      </c>
      <c r="I132" s="2">
        <f>I11/'Output-Calculation-sheet'!I10*'Output-Calculation-sheet'!I109</f>
        <v>2534308020.4397445</v>
      </c>
      <c r="J132" s="2">
        <f>J11/'Output-Calculation-sheet'!J10*'Output-Calculation-sheet'!J109</f>
        <v>2466720297.3422136</v>
      </c>
      <c r="K132" s="2">
        <f>K11/'Output-Calculation-sheet'!K10*'Output-Calculation-sheet'!K109</f>
        <v>2443072647.1667194</v>
      </c>
      <c r="L132" s="2">
        <f>L11/'Output-Calculation-sheet'!L10*'Output-Calculation-sheet'!L109</f>
        <v>1959864794.3453293</v>
      </c>
      <c r="M132" s="2">
        <f>M11/'Output-Calculation-sheet'!M10*'Output-Calculation-sheet'!M109</f>
        <v>1872008713.35431</v>
      </c>
      <c r="N132" s="2">
        <f>N11/'Output-Calculation-sheet'!N10*'Output-Calculation-sheet'!N109</f>
        <v>1837371359.2362926</v>
      </c>
      <c r="O132" s="2">
        <f>O11/'Output-Calculation-sheet'!O10*'Output-Calculation-sheet'!O109</f>
        <v>8098557808.9287357</v>
      </c>
      <c r="P132" s="2">
        <f>P11/'Output-Calculation-sheet'!P10*'Output-Calculation-sheet'!P109</f>
        <v>1672643296.0125914</v>
      </c>
      <c r="Q132" s="2">
        <f>Q11/'Output-Calculation-sheet'!Q10*'Output-Calculation-sheet'!Q109</f>
        <v>2059966642.5084436</v>
      </c>
      <c r="R132" s="2">
        <f>R11/'Output-Calculation-sheet'!R10*'Output-Calculation-sheet'!R109</f>
        <v>1583152976.3118076</v>
      </c>
      <c r="S132" s="2">
        <f>S11/'Output-Calculation-sheet'!S10*'Output-Calculation-sheet'!S109</f>
        <v>1052244649.7289584</v>
      </c>
      <c r="T132" s="2">
        <f>T11/'Output-Calculation-sheet'!T10*'Output-Calculation-sheet'!T109</f>
        <v>581953397.97325051</v>
      </c>
      <c r="U132" s="2">
        <f>U11/'Output-Calculation-sheet'!U10*'Output-Calculation-sheet'!U109</f>
        <v>640091008.44392848</v>
      </c>
      <c r="V132" s="2">
        <f>V11/'Output-Calculation-sheet'!V10*'Output-Calculation-sheet'!V109</f>
        <v>390293526.92408943</v>
      </c>
      <c r="W132" s="2">
        <f>W11/'Output-Calculation-sheet'!W10*'Output-Calculation-sheet'!W109</f>
        <v>337907696.70181143</v>
      </c>
      <c r="X132" s="2">
        <f>X11/'Output-Calculation-sheet'!X10*'Output-Calculation-sheet'!X109</f>
        <v>268313280.35969982</v>
      </c>
      <c r="Y132" s="2">
        <f>Y11/'Output-Calculation-sheet'!Y10*'Output-Calculation-sheet'!Y109</f>
        <v>197167144.34175146</v>
      </c>
      <c r="AA132" s="2">
        <f t="shared" si="11"/>
        <v>106512.53079543785</v>
      </c>
    </row>
    <row r="133" spans="1:27" x14ac:dyDescent="0.25">
      <c r="A133" s="2">
        <v>2035</v>
      </c>
      <c r="B133" s="2">
        <f>B12/'Output-Calculation-sheet'!B11*'Output-Calculation-sheet'!B110</f>
        <v>20174473858.122265</v>
      </c>
      <c r="C133" s="2">
        <f>C12/'Output-Calculation-sheet'!C11*'Output-Calculation-sheet'!C110</f>
        <v>26007422045.192474</v>
      </c>
      <c r="D133" s="2">
        <f>D12/'Output-Calculation-sheet'!D11*'Output-Calculation-sheet'!D110</f>
        <v>7671592658.1653843</v>
      </c>
      <c r="E133" s="2">
        <f>E12/'Output-Calculation-sheet'!E11*'Output-Calculation-sheet'!E110</f>
        <v>3786556125.6179872</v>
      </c>
      <c r="F133" s="2">
        <f>F12/'Output-Calculation-sheet'!F11*'Output-Calculation-sheet'!F110</f>
        <v>3101392557.9509706</v>
      </c>
      <c r="G133" s="2">
        <f>G12/'Output-Calculation-sheet'!G11*'Output-Calculation-sheet'!G110</f>
        <v>2926950422.7996507</v>
      </c>
      <c r="H133" s="2">
        <f>H12/'Output-Calculation-sheet'!H11*'Output-Calculation-sheet'!H110</f>
        <v>3193702946.6369395</v>
      </c>
      <c r="I133" s="2">
        <f>I12/'Output-Calculation-sheet'!I11*'Output-Calculation-sheet'!I110</f>
        <v>2512161696.0955367</v>
      </c>
      <c r="J133" s="2">
        <f>J12/'Output-Calculation-sheet'!J11*'Output-Calculation-sheet'!J110</f>
        <v>1827924327.9771116</v>
      </c>
      <c r="K133" s="2">
        <f>K12/'Output-Calculation-sheet'!K11*'Output-Calculation-sheet'!K110</f>
        <v>2016375300.6105504</v>
      </c>
      <c r="L133" s="2">
        <f>L12/'Output-Calculation-sheet'!L11*'Output-Calculation-sheet'!L110</f>
        <v>882045976.0900346</v>
      </c>
      <c r="M133" s="2">
        <f>M12/'Output-Calculation-sheet'!M11*'Output-Calculation-sheet'!M110</f>
        <v>1756708347.9885209</v>
      </c>
      <c r="N133" s="2">
        <f>N12/'Output-Calculation-sheet'!N11*'Output-Calculation-sheet'!N110</f>
        <v>1596900924.1843026</v>
      </c>
      <c r="O133" s="2">
        <f>O12/'Output-Calculation-sheet'!O11*'Output-Calculation-sheet'!O110</f>
        <v>7048814936.9529991</v>
      </c>
      <c r="P133" s="2">
        <f>P12/'Output-Calculation-sheet'!P11*'Output-Calculation-sheet'!P110</f>
        <v>1350311192.8311877</v>
      </c>
      <c r="Q133" s="2">
        <f>Q12/'Output-Calculation-sheet'!Q11*'Output-Calculation-sheet'!Q110</f>
        <v>1940666413.7442541</v>
      </c>
      <c r="R133" s="2">
        <f>R12/'Output-Calculation-sheet'!R11*'Output-Calculation-sheet'!R110</f>
        <v>1015019816.9848177</v>
      </c>
      <c r="S133" s="2">
        <f>S12/'Output-Calculation-sheet'!S11*'Output-Calculation-sheet'!S110</f>
        <v>1180539004.4723549</v>
      </c>
      <c r="T133" s="2">
        <f>T12/'Output-Calculation-sheet'!T11*'Output-Calculation-sheet'!T110</f>
        <v>282624001.0572682</v>
      </c>
      <c r="U133" s="2">
        <f>U12/'Output-Calculation-sheet'!U11*'Output-Calculation-sheet'!U110</f>
        <v>654094612.84459233</v>
      </c>
      <c r="V133" s="2">
        <f>V12/'Output-Calculation-sheet'!V11*'Output-Calculation-sheet'!V110</f>
        <v>97810951.024868056</v>
      </c>
      <c r="W133" s="2">
        <f>W12/'Output-Calculation-sheet'!W11*'Output-Calculation-sheet'!W110</f>
        <v>195941581.37747172</v>
      </c>
      <c r="X133" s="2">
        <f>X12/'Output-Calculation-sheet'!X11*'Output-Calculation-sheet'!X110</f>
        <v>272508698.21973962</v>
      </c>
      <c r="Y133" s="2">
        <f>Y12/'Output-Calculation-sheet'!Y11*'Output-Calculation-sheet'!Y110</f>
        <v>192421463.75417826</v>
      </c>
      <c r="AA133" s="2">
        <f t="shared" si="11"/>
        <v>91684.959860695482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1245.2060664341511</v>
      </c>
      <c r="C19" s="2">
        <f>C8/'Output-Calculation-sheet'!C7*'Output-Calculation-sheet'!C25</f>
        <v>14249.129077698815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5586.673746855442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3881.0852552761767</v>
      </c>
      <c r="N19" s="2">
        <f>N8/'Output-Calculation-sheet'!N7*'Output-Calculation-sheet'!N25</f>
        <v>1329.0342402712099</v>
      </c>
      <c r="O19" s="2">
        <f>O8/'Output-Calculation-sheet'!O7*'Output-Calculation-sheet'!O25</f>
        <v>2190.5946387814615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474.22039729743619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434.12746191211727</v>
      </c>
      <c r="Y19" s="2">
        <f>Y8/'Output-Calculation-sheet'!Y7*'Output-Calculation-sheet'!Y25</f>
        <v>0</v>
      </c>
      <c r="AA19" s="2">
        <f t="shared" si="0"/>
        <v>29.390070884526807</v>
      </c>
    </row>
    <row r="20" spans="1:27" x14ac:dyDescent="0.25">
      <c r="A20" s="2">
        <v>2032</v>
      </c>
      <c r="B20" s="2">
        <f>B9/'Output-Calculation-sheet'!B8*'Output-Calculation-sheet'!B26</f>
        <v>6641.5939850749764</v>
      </c>
      <c r="C20" s="2">
        <f>C9/'Output-Calculation-sheet'!C8*'Output-Calculation-sheet'!C26</f>
        <v>15707.027075732107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7216.2219407333696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5020.8212698103434</v>
      </c>
      <c r="N20" s="2">
        <f>N9/'Output-Calculation-sheet'!N8*'Output-Calculation-sheet'!N26</f>
        <v>2265.8065838188249</v>
      </c>
      <c r="O20" s="2">
        <f>O9/'Output-Calculation-sheet'!O8*'Output-Calculation-sheet'!O26</f>
        <v>2488.5553696858919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819.24884370662619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561.70658537649399</v>
      </c>
      <c r="Y20" s="2">
        <f>Y9/'Output-Calculation-sheet'!Y8*'Output-Calculation-sheet'!Y26</f>
        <v>0</v>
      </c>
      <c r="AA20" s="2">
        <f t="shared" si="0"/>
        <v>40.720981653938637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16228.714432893275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8086.7612807625883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5616.3346954077806</v>
      </c>
      <c r="N21" s="2">
        <f>N10/'Output-Calculation-sheet'!N9*'Output-Calculation-sheet'!N27</f>
        <v>3072.0670588442099</v>
      </c>
      <c r="O21" s="2">
        <f>O10/'Output-Calculation-sheet'!O9*'Output-Calculation-sheet'!O27</f>
        <v>2491.3069838403417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1337.4456194999054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660.48066484648587</v>
      </c>
      <c r="Y21" s="2">
        <f>Y10/'Output-Calculation-sheet'!Y9*'Output-Calculation-sheet'!Y27</f>
        <v>0</v>
      </c>
      <c r="AA21" s="2">
        <f t="shared" si="0"/>
        <v>51.689841714358366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15752.946422102883</v>
      </c>
      <c r="D22" s="2">
        <f>D11/'Output-Calculation-sheet'!D10*'Output-Calculation-sheet'!D28</f>
        <v>0</v>
      </c>
      <c r="E22" s="2">
        <f>E11/'Output-Calculation-sheet'!E10*'Output-Calculation-sheet'!E28</f>
        <v>1163.9384566533786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8297.2900362666933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682.40578192227713</v>
      </c>
      <c r="M22" s="2">
        <f>M11/'Output-Calculation-sheet'!M10*'Output-Calculation-sheet'!M28</f>
        <v>6203.025166106926</v>
      </c>
      <c r="N22" s="2">
        <f>N11/'Output-Calculation-sheet'!N10*'Output-Calculation-sheet'!N28</f>
        <v>3569.8755359517713</v>
      </c>
      <c r="O22" s="2">
        <f>O11/'Output-Calculation-sheet'!O10*'Output-Calculation-sheet'!O28</f>
        <v>2371.9054194011619</v>
      </c>
      <c r="P22" s="2">
        <f>P11/'Output-Calculation-sheet'!P10*'Output-Calculation-sheet'!P28</f>
        <v>0</v>
      </c>
      <c r="Q22" s="2">
        <f>Q11/'Output-Calculation-sheet'!Q10*'Output-Calculation-sheet'!Q28</f>
        <v>1031.0619415015785</v>
      </c>
      <c r="R22" s="2">
        <f>R11/'Output-Calculation-sheet'!R10*'Output-Calculation-sheet'!R28</f>
        <v>0</v>
      </c>
      <c r="S22" s="2">
        <f>S11/'Output-Calculation-sheet'!S10*'Output-Calculation-sheet'!S28</f>
        <v>1810.434109437316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597.41978734643726</v>
      </c>
      <c r="Y22" s="2">
        <f>Y11/'Output-Calculation-sheet'!Y10*'Output-Calculation-sheet'!Y28</f>
        <v>62.34075859329522</v>
      </c>
      <c r="AA22" s="2">
        <f t="shared" si="0"/>
        <v>63.953069153457839</v>
      </c>
    </row>
    <row r="23" spans="1:27" x14ac:dyDescent="0.25">
      <c r="A23" s="2">
        <v>2035</v>
      </c>
      <c r="B23" s="2">
        <f>B12/'Output-Calculation-sheet'!B11*'Output-Calculation-sheet'!B29</f>
        <v>17401.76167475283</v>
      </c>
      <c r="C23" s="2">
        <f>C12/'Output-Calculation-sheet'!C11*'Output-Calculation-sheet'!C29</f>
        <v>14785.22251896602</v>
      </c>
      <c r="D23" s="2">
        <f>D12/'Output-Calculation-sheet'!D11*'Output-Calculation-sheet'!D29</f>
        <v>0</v>
      </c>
      <c r="E23" s="2">
        <f>E12/'Output-Calculation-sheet'!E11*'Output-Calculation-sheet'!E29</f>
        <v>2927.2160395434848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6417.7369378296189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1059.2794676117853</v>
      </c>
      <c r="M23" s="2">
        <f>M12/'Output-Calculation-sheet'!M11*'Output-Calculation-sheet'!M29</f>
        <v>4864.8837072147771</v>
      </c>
      <c r="N23" s="2">
        <f>N12/'Output-Calculation-sheet'!N11*'Output-Calculation-sheet'!N29</f>
        <v>2864.7930489213118</v>
      </c>
      <c r="O23" s="2">
        <f>O12/'Output-Calculation-sheet'!O11*'Output-Calculation-sheet'!O29</f>
        <v>2215.2437189362909</v>
      </c>
      <c r="P23" s="2">
        <f>P12/'Output-Calculation-sheet'!P11*'Output-Calculation-sheet'!P29</f>
        <v>338.08093309398004</v>
      </c>
      <c r="Q23" s="2">
        <f>Q12/'Output-Calculation-sheet'!Q11*'Output-Calculation-sheet'!Q29</f>
        <v>904.12386667167914</v>
      </c>
      <c r="R23" s="2">
        <f>R12/'Output-Calculation-sheet'!R11*'Output-Calculation-sheet'!R29</f>
        <v>0</v>
      </c>
      <c r="S23" s="2">
        <f>S12/'Output-Calculation-sheet'!S11*'Output-Calculation-sheet'!S29</f>
        <v>1377.4172046201397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456.04392530096135</v>
      </c>
      <c r="Y23" s="2">
        <f>Y12/'Output-Calculation-sheet'!Y11*'Output-Calculation-sheet'!Y29</f>
        <v>64.366350652351997</v>
      </c>
      <c r="AA23" s="2">
        <f t="shared" si="0"/>
        <v>55.676169394115242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21703.537237293542</v>
      </c>
      <c r="C30" s="2">
        <f>C8/'Output-Calculation-sheet'!C7*'Output-Calculation-sheet'!C16</f>
        <v>0</v>
      </c>
      <c r="D30" s="2">
        <f>D8/'Output-Calculation-sheet'!D7*'Output-Calculation-sheet'!D16</f>
        <v>3654.5887574843405</v>
      </c>
      <c r="E30" s="2">
        <f>E8/'Output-Calculation-sheet'!E7*'Output-Calculation-sheet'!E16</f>
        <v>3932.1310266165328</v>
      </c>
      <c r="F30" s="2">
        <f>F8/'Output-Calculation-sheet'!F7*'Output-Calculation-sheet'!F16</f>
        <v>1983.7810268674946</v>
      </c>
      <c r="G30" s="2">
        <f>G8/'Output-Calculation-sheet'!G7*'Output-Calculation-sheet'!G16</f>
        <v>1299.1409557209163</v>
      </c>
      <c r="H30" s="2">
        <f>H8/'Output-Calculation-sheet'!H7*'Output-Calculation-sheet'!H16</f>
        <v>0</v>
      </c>
      <c r="I30" s="2">
        <f>I8/'Output-Calculation-sheet'!I7*'Output-Calculation-sheet'!I16</f>
        <v>1266.4679097525275</v>
      </c>
      <c r="J30" s="2">
        <f>J8/'Output-Calculation-sheet'!J7*'Output-Calculation-sheet'!J16</f>
        <v>1127.3999609545099</v>
      </c>
      <c r="K30" s="2">
        <f>K8/'Output-Calculation-sheet'!K7*'Output-Calculation-sheet'!K16</f>
        <v>1505.2944388867145</v>
      </c>
      <c r="L30" s="2">
        <f>L8/'Output-Calculation-sheet'!L7*'Output-Calculation-sheet'!L16</f>
        <v>1271.4844100012049</v>
      </c>
      <c r="M30" s="2">
        <f>M8/'Output-Calculation-sheet'!M7*'Output-Calculation-sheet'!M16</f>
        <v>0</v>
      </c>
      <c r="N30" s="2">
        <f>N8/'Output-Calculation-sheet'!N7*'Output-Calculation-sheet'!N16</f>
        <v>1806.0364834064092</v>
      </c>
      <c r="O30" s="2">
        <f>O8/'Output-Calculation-sheet'!O7*'Output-Calculation-sheet'!O16</f>
        <v>0</v>
      </c>
      <c r="P30" s="2">
        <f>P8/'Output-Calculation-sheet'!P7*'Output-Calculation-sheet'!P16</f>
        <v>1623.2063304962246</v>
      </c>
      <c r="Q30" s="2">
        <f>Q8/'Output-Calculation-sheet'!Q7*'Output-Calculation-sheet'!Q16</f>
        <v>1784.9908836911525</v>
      </c>
      <c r="R30" s="2">
        <f>R8/'Output-Calculation-sheet'!R7*'Output-Calculation-sheet'!R16</f>
        <v>1132.5844739581023</v>
      </c>
      <c r="S30" s="2">
        <f>S8/'Output-Calculation-sheet'!S7*'Output-Calculation-sheet'!S16</f>
        <v>1139.0478700885742</v>
      </c>
      <c r="T30" s="2">
        <f>T8/'Output-Calculation-sheet'!T7*'Output-Calculation-sheet'!T16</f>
        <v>339.98557904038717</v>
      </c>
      <c r="U30" s="2">
        <f>U8/'Output-Calculation-sheet'!U7*'Output-Calculation-sheet'!U16</f>
        <v>339.37786343910676</v>
      </c>
      <c r="V30" s="2">
        <f>V8/'Output-Calculation-sheet'!V7*'Output-Calculation-sheet'!V16</f>
        <v>264.13134006004032</v>
      </c>
      <c r="W30" s="2">
        <f>W8/'Output-Calculation-sheet'!W7*'Output-Calculation-sheet'!W16</f>
        <v>160.20897327707809</v>
      </c>
      <c r="X30" s="2">
        <f>X8/'Output-Calculation-sheet'!X7*'Output-Calculation-sheet'!X16</f>
        <v>0</v>
      </c>
      <c r="Y30" s="2">
        <f>Y8/'Output-Calculation-sheet'!Y7*'Output-Calculation-sheet'!Y16</f>
        <v>135.59868214589898</v>
      </c>
      <c r="AA30" s="2">
        <f t="shared" si="1"/>
        <v>46.468994203180742</v>
      </c>
    </row>
    <row r="31" spans="1:27" x14ac:dyDescent="0.25">
      <c r="A31" s="2">
        <v>2032</v>
      </c>
      <c r="B31" s="2">
        <f>B9/'Output-Calculation-sheet'!B8*'Output-Calculation-sheet'!B17</f>
        <v>28122.703232383756</v>
      </c>
      <c r="C31" s="2">
        <f>C9/'Output-Calculation-sheet'!C8*'Output-Calculation-sheet'!C17</f>
        <v>0</v>
      </c>
      <c r="D31" s="2">
        <f>D9/'Output-Calculation-sheet'!D8*'Output-Calculation-sheet'!D17</f>
        <v>4716.5465730263959</v>
      </c>
      <c r="E31" s="2">
        <f>E9/'Output-Calculation-sheet'!E8*'Output-Calculation-sheet'!E17</f>
        <v>5543.6560832625137</v>
      </c>
      <c r="F31" s="2">
        <f>F9/'Output-Calculation-sheet'!F8*'Output-Calculation-sheet'!F17</f>
        <v>2560.2945035527182</v>
      </c>
      <c r="G31" s="2">
        <f>G9/'Output-Calculation-sheet'!G8*'Output-Calculation-sheet'!G17</f>
        <v>1676.6732754109948</v>
      </c>
      <c r="H31" s="2">
        <f>H9/'Output-Calculation-sheet'!H8*'Output-Calculation-sheet'!H17</f>
        <v>0</v>
      </c>
      <c r="I31" s="2">
        <f>I9/'Output-Calculation-sheet'!I8*'Output-Calculation-sheet'!I17</f>
        <v>1634.5130489843473</v>
      </c>
      <c r="J31" s="2">
        <f>J9/'Output-Calculation-sheet'!J8*'Output-Calculation-sheet'!J17</f>
        <v>1455.0316656009397</v>
      </c>
      <c r="K31" s="2">
        <f>K9/'Output-Calculation-sheet'!K8*'Output-Calculation-sheet'!K17</f>
        <v>2071.5787598862325</v>
      </c>
      <c r="L31" s="2">
        <f>L9/'Output-Calculation-sheet'!L8*'Output-Calculation-sheet'!L17</f>
        <v>1766.6925078445104</v>
      </c>
      <c r="M31" s="2">
        <f>M9/'Output-Calculation-sheet'!M8*'Output-Calculation-sheet'!M17</f>
        <v>0</v>
      </c>
      <c r="N31" s="2">
        <f>N9/'Output-Calculation-sheet'!N8*'Output-Calculation-sheet'!N17</f>
        <v>1920.5754461929221</v>
      </c>
      <c r="O31" s="2">
        <f>O9/'Output-Calculation-sheet'!O8*'Output-Calculation-sheet'!O17</f>
        <v>0</v>
      </c>
      <c r="P31" s="2">
        <f>P9/'Output-Calculation-sheet'!P8*'Output-Calculation-sheet'!P17</f>
        <v>2383.7322232882889</v>
      </c>
      <c r="Q31" s="2">
        <f>Q9/'Output-Calculation-sheet'!Q8*'Output-Calculation-sheet'!Q17</f>
        <v>2541.2775600705536</v>
      </c>
      <c r="R31" s="2">
        <f>R9/'Output-Calculation-sheet'!R8*'Output-Calculation-sheet'!R17</f>
        <v>1662.6380847600949</v>
      </c>
      <c r="S31" s="2">
        <f>S9/'Output-Calculation-sheet'!S8*'Output-Calculation-sheet'!S17</f>
        <v>1435.7153457556633</v>
      </c>
      <c r="T31" s="2">
        <f>T9/'Output-Calculation-sheet'!T8*'Output-Calculation-sheet'!T17</f>
        <v>451.16899165494476</v>
      </c>
      <c r="U31" s="2">
        <f>U9/'Output-Calculation-sheet'!U8*'Output-Calculation-sheet'!U17</f>
        <v>518.53700479066026</v>
      </c>
      <c r="V31" s="2">
        <f>V9/'Output-Calculation-sheet'!V8*'Output-Calculation-sheet'!V17</f>
        <v>371.40345251312772</v>
      </c>
      <c r="W31" s="2">
        <f>W9/'Output-Calculation-sheet'!W8*'Output-Calculation-sheet'!W17</f>
        <v>206.76906501013983</v>
      </c>
      <c r="X31" s="2">
        <f>X9/'Output-Calculation-sheet'!X8*'Output-Calculation-sheet'!X17</f>
        <v>0</v>
      </c>
      <c r="Y31" s="2">
        <f>Y9/'Output-Calculation-sheet'!Y8*'Output-Calculation-sheet'!Y17</f>
        <v>199.78371384608005</v>
      </c>
      <c r="AA31" s="2">
        <f t="shared" si="1"/>
        <v>61.23929053783489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1728.9455295712055</v>
      </c>
      <c r="O32" s="2">
        <f>O10/'Output-Calculation-sheet'!O9*'Output-Calculation-sheet'!O18</f>
        <v>0</v>
      </c>
      <c r="P32" s="2">
        <f>P10/'Output-Calculation-sheet'!P9*'Output-Calculation-sheet'!P18</f>
        <v>2782.809997527575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1997.9638479499586</v>
      </c>
      <c r="S32" s="2">
        <f>S10/'Output-Calculation-sheet'!S9*'Output-Calculation-sheet'!S18</f>
        <v>1307.661696844423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644.97442956576606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68.153267952081436</v>
      </c>
    </row>
    <row r="33" spans="1:27" x14ac:dyDescent="0.25">
      <c r="A33" s="2">
        <v>2034</v>
      </c>
      <c r="B33" s="2">
        <f>B11/'Output-Calculation-sheet'!B10*'Output-Calculation-sheet'!B19</f>
        <v>22604.117703659984</v>
      </c>
      <c r="C33" s="2">
        <f>C11/'Output-Calculation-sheet'!C10*'Output-Calculation-sheet'!C19</f>
        <v>0</v>
      </c>
      <c r="D33" s="2">
        <f>D11/'Output-Calculation-sheet'!D10*'Output-Calculation-sheet'!D19</f>
        <v>6754.118519940127</v>
      </c>
      <c r="E33" s="2">
        <f>E11/'Output-Calculation-sheet'!E10*'Output-Calculation-sheet'!E19</f>
        <v>8340.4261093883542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2295.2463005496011</v>
      </c>
      <c r="H33" s="2">
        <f>H11/'Output-Calculation-sheet'!H10*'Output-Calculation-sheet'!H19</f>
        <v>0</v>
      </c>
      <c r="I33" s="2">
        <f>I11/'Output-Calculation-sheet'!I10*'Output-Calculation-sheet'!I19</f>
        <v>2507.9184413655466</v>
      </c>
      <c r="J33" s="2">
        <f>J11/'Output-Calculation-sheet'!J10*'Output-Calculation-sheet'!J19</f>
        <v>2117.9431756887611</v>
      </c>
      <c r="K33" s="2">
        <f>K11/'Output-Calculation-sheet'!K10*'Output-Calculation-sheet'!K19</f>
        <v>2938.4717056996196</v>
      </c>
      <c r="L33" s="2">
        <f>L11/'Output-Calculation-sheet'!L10*'Output-Calculation-sheet'!L19</f>
        <v>2392.1519968434559</v>
      </c>
      <c r="M33" s="2">
        <f>M11/'Output-Calculation-sheet'!M10*'Output-Calculation-sheet'!M19</f>
        <v>0</v>
      </c>
      <c r="N33" s="2">
        <f>N11/'Output-Calculation-sheet'!N10*'Output-Calculation-sheet'!N19</f>
        <v>1351.2219225675958</v>
      </c>
      <c r="O33" s="2">
        <f>O11/'Output-Calculation-sheet'!O10*'Output-Calculation-sheet'!O19</f>
        <v>0</v>
      </c>
      <c r="P33" s="2">
        <f>P11/'Output-Calculation-sheet'!P10*'Output-Calculation-sheet'!P19</f>
        <v>2975.3147745431033</v>
      </c>
      <c r="Q33" s="2">
        <f>Q11/'Output-Calculation-sheet'!Q10*'Output-Calculation-sheet'!Q19</f>
        <v>2423.717586121732</v>
      </c>
      <c r="R33" s="2">
        <f>R11/'Output-Calculation-sheet'!R10*'Output-Calculation-sheet'!R19</f>
        <v>2122.656849406434</v>
      </c>
      <c r="S33" s="2">
        <f>S11/'Output-Calculation-sheet'!S10*'Output-Calculation-sheet'!S19</f>
        <v>992.1665039123634</v>
      </c>
      <c r="T33" s="2">
        <f>T11/'Output-Calculation-sheet'!T10*'Output-Calculation-sheet'!T19</f>
        <v>622.88915691788065</v>
      </c>
      <c r="U33" s="2">
        <f>U11/'Output-Calculation-sheet'!U10*'Output-Calculation-sheet'!U19</f>
        <v>667.41236892898132</v>
      </c>
      <c r="V33" s="2">
        <f>V11/'Output-Calculation-sheet'!V10*'Output-Calculation-sheet'!V19</f>
        <v>488.44406352116556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78.681845194887941</v>
      </c>
      <c r="Y33" s="2">
        <f>Y11/'Output-Calculation-sheet'!Y10*'Output-Calculation-sheet'!Y19</f>
        <v>274.1287733142571</v>
      </c>
      <c r="AA33" s="2">
        <f t="shared" si="1"/>
        <v>66.083789469345916</v>
      </c>
    </row>
    <row r="34" spans="1:27" x14ac:dyDescent="0.25">
      <c r="A34" s="2">
        <v>2035</v>
      </c>
      <c r="B34" s="2">
        <f>B12/'Output-Calculation-sheet'!B11*'Output-Calculation-sheet'!B20</f>
        <v>15917.271486302798</v>
      </c>
      <c r="C34" s="2">
        <f>C12/'Output-Calculation-sheet'!C11*'Output-Calculation-sheet'!C20</f>
        <v>0</v>
      </c>
      <c r="D34" s="2">
        <f>D12/'Output-Calculation-sheet'!D11*'Output-Calculation-sheet'!D20</f>
        <v>5123.0804443030947</v>
      </c>
      <c r="E34" s="2">
        <f>E12/'Output-Calculation-sheet'!E11*'Output-Calculation-sheet'!E20</f>
        <v>5692.4595178247846</v>
      </c>
      <c r="F34" s="2">
        <f>F12/'Output-Calculation-sheet'!F11*'Output-Calculation-sheet'!F20</f>
        <v>3184.0163662087798</v>
      </c>
      <c r="G34" s="2">
        <f>G12/'Output-Calculation-sheet'!G11*'Output-Calculation-sheet'!G20</f>
        <v>1718.6928357829931</v>
      </c>
      <c r="H34" s="2">
        <f>H12/'Output-Calculation-sheet'!H11*'Output-Calculation-sheet'!H20</f>
        <v>0</v>
      </c>
      <c r="I34" s="2">
        <f>I12/'Output-Calculation-sheet'!I11*'Output-Calculation-sheet'!I20</f>
        <v>1910.7795735402624</v>
      </c>
      <c r="J34" s="2">
        <f>J12/'Output-Calculation-sheet'!J11*'Output-Calculation-sheet'!J20</f>
        <v>1771.1043974216627</v>
      </c>
      <c r="K34" s="2">
        <f>K12/'Output-Calculation-sheet'!K11*'Output-Calculation-sheet'!K20</f>
        <v>2355.3903812942758</v>
      </c>
      <c r="L34" s="2">
        <f>L12/'Output-Calculation-sheet'!L11*'Output-Calculation-sheet'!L20</f>
        <v>1879.7002710854576</v>
      </c>
      <c r="M34" s="2">
        <f>M12/'Output-Calculation-sheet'!M11*'Output-Calculation-sheet'!M20</f>
        <v>0</v>
      </c>
      <c r="N34" s="2">
        <f>N12/'Output-Calculation-sheet'!N11*'Output-Calculation-sheet'!N20</f>
        <v>1008.0052569368116</v>
      </c>
      <c r="O34" s="2">
        <f>O12/'Output-Calculation-sheet'!O11*'Output-Calculation-sheet'!O20</f>
        <v>0</v>
      </c>
      <c r="P34" s="2">
        <f>P12/'Output-Calculation-sheet'!P11*'Output-Calculation-sheet'!P20</f>
        <v>2146.9708228314225</v>
      </c>
      <c r="Q34" s="2">
        <f>Q12/'Output-Calculation-sheet'!Q11*'Output-Calculation-sheet'!Q20</f>
        <v>1790.5536458620986</v>
      </c>
      <c r="R34" s="2">
        <f>R12/'Output-Calculation-sheet'!R11*'Output-Calculation-sheet'!R20</f>
        <v>1803.7108350554247</v>
      </c>
      <c r="S34" s="2">
        <f>S12/'Output-Calculation-sheet'!S11*'Output-Calculation-sheet'!S20</f>
        <v>689.01165439957617</v>
      </c>
      <c r="T34" s="2">
        <f>T12/'Output-Calculation-sheet'!T11*'Output-Calculation-sheet'!T20</f>
        <v>547.08445834415545</v>
      </c>
      <c r="U34" s="2">
        <f>U12/'Output-Calculation-sheet'!U11*'Output-Calculation-sheet'!U20</f>
        <v>503.56485642518959</v>
      </c>
      <c r="V34" s="2">
        <f>V12/'Output-Calculation-sheet'!V11*'Output-Calculation-sheet'!V20</f>
        <v>495.79628381176082</v>
      </c>
      <c r="W34" s="2">
        <f>W12/'Output-Calculation-sheet'!W11*'Output-Calculation-sheet'!W20</f>
        <v>269.0085534629232</v>
      </c>
      <c r="X34" s="2">
        <f>X12/'Output-Calculation-sheet'!X11*'Output-Calculation-sheet'!X20</f>
        <v>56.794901499549425</v>
      </c>
      <c r="Y34" s="2">
        <f>Y12/'Output-Calculation-sheet'!Y11*'Output-Calculation-sheet'!Y20</f>
        <v>195.24445461631532</v>
      </c>
      <c r="AA34" s="2">
        <f t="shared" si="1"/>
        <v>49.058240997009328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1.1830429001126419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0.22983340894298207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1.412876309055624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1.2214695598956713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0.23729867517414319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1.4587682350698146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1.1362552022145862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0.22074381793704256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1.3569990201516289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0.95708493685632223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0.2946205511018094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0.18593585546620764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0.17457198219420469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5.5699128885727582E-2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1.690152190575424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0.7237450479037677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0.14060419241727151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6.0662939010946051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14217.269939950169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7922.4567949826151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5407.462422607141</v>
      </c>
      <c r="N52" s="2">
        <f>N8/'Output-Calculation-sheet'!N7*'Output-Calculation-sheet'!N43</f>
        <v>172.83472734641936</v>
      </c>
      <c r="O52" s="2">
        <f>O8/'Output-Calculation-sheet'!O7*'Output-Calculation-sheet'!O43</f>
        <v>665.30723641389545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696.90347939832964</v>
      </c>
      <c r="Y52" s="2">
        <f>Y8/'Output-Calculation-sheet'!Y7*'Output-Calculation-sheet'!Y43</f>
        <v>0</v>
      </c>
      <c r="AA52" s="2">
        <f t="shared" si="3"/>
        <v>29.082234600698577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18429.189851057497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14479.543627023435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9895.2562939871605</v>
      </c>
      <c r="N53" s="2">
        <f>N9/'Output-Calculation-sheet'!N8*'Output-Calculation-sheet'!N44</f>
        <v>3524.3600016083633</v>
      </c>
      <c r="O53" s="2">
        <f>O9/'Output-Calculation-sheet'!O8*'Output-Calculation-sheet'!O44</f>
        <v>1373.8344352187237</v>
      </c>
      <c r="P53" s="2">
        <f>P9/'Output-Calculation-sheet'!P8*'Output-Calculation-sheet'!P44</f>
        <v>164.85435986675233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1086.8591361936481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1237.4091802653177</v>
      </c>
      <c r="Y53" s="2">
        <f>Y9/'Output-Calculation-sheet'!Y8*'Output-Calculation-sheet'!Y44</f>
        <v>0</v>
      </c>
      <c r="AA53" s="2">
        <f t="shared" si="3"/>
        <v>50.191306885220904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24220.176678784599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2149.3477009659405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481.44540662960088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103.32212189723074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29552.096295914511</v>
      </c>
      <c r="D55" s="2">
        <f>D11/'Output-Calculation-sheet'!D10*'Output-Calculation-sheet'!D46</f>
        <v>5875.2159602201118</v>
      </c>
      <c r="E55" s="2">
        <f>E11/'Output-Calculation-sheet'!E10*'Output-Calculation-sheet'!E46</f>
        <v>7328.9173119899933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19227.867545591773</v>
      </c>
      <c r="I55" s="2">
        <f>I11/'Output-Calculation-sheet'!I10*'Output-Calculation-sheet'!I46</f>
        <v>1415.7236434318556</v>
      </c>
      <c r="J55" s="2">
        <f>J11/'Output-Calculation-sheet'!J10*'Output-Calculation-sheet'!J46</f>
        <v>1044.8893293824758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13586.3171793234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2968.4496223552446</v>
      </c>
      <c r="P55" s="2">
        <f>P11/'Output-Calculation-sheet'!P10*'Output-Calculation-sheet'!P46</f>
        <v>3810.5730004459347</v>
      </c>
      <c r="Q55" s="2">
        <f>Q11/'Output-Calculation-sheet'!Q10*'Output-Calculation-sheet'!Q46</f>
        <v>2970.786363655764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5089.6261093970516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908.77526076713423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1367.5486829717456</v>
      </c>
      <c r="Y55" s="2">
        <f>Y11/'Output-Calculation-sheet'!Y10*'Output-Calculation-sheet'!Y46</f>
        <v>359.57857375488879</v>
      </c>
      <c r="AA55" s="2">
        <f t="shared" si="3"/>
        <v>181.22691479296913</v>
      </c>
    </row>
    <row r="56" spans="1:27" x14ac:dyDescent="0.25">
      <c r="A56" s="2">
        <v>2035</v>
      </c>
      <c r="B56" s="2">
        <f>B12/'Output-Calculation-sheet'!B11*'Output-Calculation-sheet'!B47</f>
        <v>49625.685701474307</v>
      </c>
      <c r="C56" s="2">
        <f>C12/'Output-Calculation-sheet'!C11*'Output-Calculation-sheet'!C47</f>
        <v>37012.575695429521</v>
      </c>
      <c r="D56" s="2">
        <f>D12/'Output-Calculation-sheet'!D11*'Output-Calculation-sheet'!D47</f>
        <v>5061.4433124097495</v>
      </c>
      <c r="E56" s="2">
        <f>E12/'Output-Calculation-sheet'!E11*'Output-Calculation-sheet'!E47</f>
        <v>12737.908377406988</v>
      </c>
      <c r="F56" s="2">
        <f>F12/'Output-Calculation-sheet'!F11*'Output-Calculation-sheet'!F47</f>
        <v>702.74306005261269</v>
      </c>
      <c r="G56" s="2">
        <f>G12/'Output-Calculation-sheet'!G11*'Output-Calculation-sheet'!G47</f>
        <v>1876.1700792053239</v>
      </c>
      <c r="H56" s="2">
        <f>H12/'Output-Calculation-sheet'!H11*'Output-Calculation-sheet'!H47</f>
        <v>14676.863233269212</v>
      </c>
      <c r="I56" s="2">
        <f>I12/'Output-Calculation-sheet'!I11*'Output-Calculation-sheet'!I47</f>
        <v>1197.5827534652419</v>
      </c>
      <c r="J56" s="2">
        <f>J12/'Output-Calculation-sheet'!J11*'Output-Calculation-sheet'!J47</f>
        <v>1957.3984478632535</v>
      </c>
      <c r="K56" s="2">
        <f>K12/'Output-Calculation-sheet'!K11*'Output-Calculation-sheet'!K47</f>
        <v>2692.9141812577463</v>
      </c>
      <c r="L56" s="2">
        <f>L12/'Output-Calculation-sheet'!L11*'Output-Calculation-sheet'!L47</f>
        <v>2892.8501237339751</v>
      </c>
      <c r="M56" s="2">
        <f>M12/'Output-Calculation-sheet'!M11*'Output-Calculation-sheet'!M47</f>
        <v>10314.279089673006</v>
      </c>
      <c r="N56" s="2">
        <f>N12/'Output-Calculation-sheet'!N11*'Output-Calculation-sheet'!N47</f>
        <v>8247.2796927710606</v>
      </c>
      <c r="O56" s="2">
        <f>O12/'Output-Calculation-sheet'!O11*'Output-Calculation-sheet'!O47</f>
        <v>4082.4550605365671</v>
      </c>
      <c r="P56" s="2">
        <f>P12/'Output-Calculation-sheet'!P11*'Output-Calculation-sheet'!P47</f>
        <v>3577.5114087376269</v>
      </c>
      <c r="Q56" s="2">
        <f>Q12/'Output-Calculation-sheet'!Q11*'Output-Calculation-sheet'!Q47</f>
        <v>2605.4775414158821</v>
      </c>
      <c r="R56" s="2">
        <f>R12/'Output-Calculation-sheet'!R11*'Output-Calculation-sheet'!R47</f>
        <v>3031.6783842325112</v>
      </c>
      <c r="S56" s="2">
        <f>S12/'Output-Calculation-sheet'!S11*'Output-Calculation-sheet'!S47</f>
        <v>3841.1852344939703</v>
      </c>
      <c r="T56" s="2">
        <f>T12/'Output-Calculation-sheet'!T11*'Output-Calculation-sheet'!T47</f>
        <v>994.15829193548473</v>
      </c>
      <c r="U56" s="2">
        <f>U12/'Output-Calculation-sheet'!U11*'Output-Calculation-sheet'!U47</f>
        <v>694.60279255092405</v>
      </c>
      <c r="V56" s="2">
        <f>V12/'Output-Calculation-sheet'!V11*'Output-Calculation-sheet'!V47</f>
        <v>683.74691494944841</v>
      </c>
      <c r="W56" s="2">
        <f>W12/'Output-Calculation-sheet'!W11*'Output-Calculation-sheet'!W47</f>
        <v>244.23028128855691</v>
      </c>
      <c r="X56" s="2">
        <f>X12/'Output-Calculation-sheet'!X11*'Output-Calculation-sheet'!X47</f>
        <v>1041.5127784794902</v>
      </c>
      <c r="Y56" s="2">
        <f>Y12/'Output-Calculation-sheet'!Y11*'Output-Calculation-sheet'!Y47</f>
        <v>317.46834307554229</v>
      </c>
      <c r="AA56" s="2">
        <f t="shared" si="3"/>
        <v>170.10972077970803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8.4525310900621591</v>
      </c>
      <c r="C63" s="2">
        <f>C8*'Output-Calculation-sheet'!C52/10^9</f>
        <v>5.2983607298208248</v>
      </c>
      <c r="D63" s="2">
        <f>D8*'Output-Calculation-sheet'!D52/10^9</f>
        <v>2.8985344311188306</v>
      </c>
      <c r="E63" s="2">
        <f>E8*'Output-Calculation-sheet'!E52/10^9</f>
        <v>2.8819352072479685</v>
      </c>
      <c r="F63" s="2">
        <f>F8*'Output-Calculation-sheet'!F52/10^9</f>
        <v>1.220500293780368</v>
      </c>
      <c r="G63" s="2">
        <f>G8*'Output-Calculation-sheet'!G52/10^9</f>
        <v>0.87748350899474103</v>
      </c>
      <c r="H63" s="2">
        <f>H8*'Output-Calculation-sheet'!H52/10^9</f>
        <v>1.5327823677918841</v>
      </c>
      <c r="I63" s="2">
        <f>I8*'Output-Calculation-sheet'!I52/10^9</f>
        <v>0.81626349345038129</v>
      </c>
      <c r="J63" s="2">
        <f>J8*'Output-Calculation-sheet'!J52/10^9</f>
        <v>1.1232349919549025</v>
      </c>
      <c r="K63" s="2">
        <f>K8*'Output-Calculation-sheet'!K52/10^9</f>
        <v>0.98685928827043445</v>
      </c>
      <c r="L63" s="2">
        <f>L8*'Output-Calculation-sheet'!L52/10^9</f>
        <v>1.3273713546816268</v>
      </c>
      <c r="M63" s="2">
        <f>M8*'Output-Calculation-sheet'!M52/10^9</f>
        <v>1.244138729130954</v>
      </c>
      <c r="N63" s="2">
        <f>N8*'Output-Calculation-sheet'!N52/10^9</f>
        <v>1.0383305543753252</v>
      </c>
      <c r="O63" s="2">
        <f>O8*'Output-Calculation-sheet'!O52/10^9</f>
        <v>1.0878749087799802</v>
      </c>
      <c r="P63" s="2">
        <f>P8*'Output-Calculation-sheet'!P52/10^9</f>
        <v>0.68189440055627093</v>
      </c>
      <c r="Q63" s="2">
        <f>Q8*'Output-Calculation-sheet'!Q52/10^9</f>
        <v>0.77170042635047309</v>
      </c>
      <c r="R63" s="2">
        <f>R8*'Output-Calculation-sheet'!R52/10^9</f>
        <v>0.69283457543085059</v>
      </c>
      <c r="S63" s="2">
        <f>S8*'Output-Calculation-sheet'!S52/10^9</f>
        <v>0.51341802509353385</v>
      </c>
      <c r="T63" s="2">
        <f>T8*'Output-Calculation-sheet'!T52/10^9</f>
        <v>0.26340688361260745</v>
      </c>
      <c r="U63" s="2">
        <f>U8*'Output-Calculation-sheet'!U52/10^9</f>
        <v>0.18090491885551507</v>
      </c>
      <c r="V63" s="2">
        <f>V8*'Output-Calculation-sheet'!V52/10^9</f>
        <v>0.32106372551180112</v>
      </c>
      <c r="W63" s="2">
        <f>W8*'Output-Calculation-sheet'!W52/10^9</f>
        <v>0.11621025119060319</v>
      </c>
      <c r="X63" s="2">
        <f>X8*'Output-Calculation-sheet'!X52/10^9</f>
        <v>0.13376491560574677</v>
      </c>
      <c r="Y63" s="2">
        <f>Y8*'Output-Calculation-sheet'!Y52/10^9</f>
        <v>7.582388297587353E-2</v>
      </c>
      <c r="AA63" s="2">
        <f t="shared" si="4"/>
        <v>34.53722295464366</v>
      </c>
    </row>
    <row r="64" spans="1:27" x14ac:dyDescent="0.25">
      <c r="A64" s="2">
        <v>2032</v>
      </c>
      <c r="B64" s="2">
        <f>B9*'Output-Calculation-sheet'!B53/10^9</f>
        <v>8.3273124427413627</v>
      </c>
      <c r="C64" s="2">
        <f>C9*'Output-Calculation-sheet'!C53/10^9</f>
        <v>5.5560823811008877</v>
      </c>
      <c r="D64" s="2">
        <f>D9*'Output-Calculation-sheet'!D53/10^9</f>
        <v>2.4643829672149433</v>
      </c>
      <c r="E64" s="2">
        <f>E9*'Output-Calculation-sheet'!E53/10^9</f>
        <v>2.5236483092816018</v>
      </c>
      <c r="F64" s="2">
        <f>F9*'Output-Calculation-sheet'!F53/10^9</f>
        <v>1.0644599259358898</v>
      </c>
      <c r="G64" s="2">
        <f>G9*'Output-Calculation-sheet'!G53/10^9</f>
        <v>0.75764920744445075</v>
      </c>
      <c r="H64" s="2">
        <f>H9*'Output-Calculation-sheet'!H53/10^9</f>
        <v>1.5567659261796472</v>
      </c>
      <c r="I64" s="2">
        <f>I9*'Output-Calculation-sheet'!I53/10^9</f>
        <v>0.70827829931527708</v>
      </c>
      <c r="J64" s="2">
        <f>J9*'Output-Calculation-sheet'!J53/10^9</f>
        <v>0.93761747250452288</v>
      </c>
      <c r="K64" s="2">
        <f>K9*'Output-Calculation-sheet'!K53/10^9</f>
        <v>0.86997921381693522</v>
      </c>
      <c r="L64" s="2">
        <f>L9*'Output-Calculation-sheet'!L53/10^9</f>
        <v>1.1192210519197527</v>
      </c>
      <c r="M64" s="2">
        <f>M9*'Output-Calculation-sheet'!M53/10^9</f>
        <v>1.220115953092147</v>
      </c>
      <c r="N64" s="2">
        <f>N9*'Output-Calculation-sheet'!N53/10^9</f>
        <v>1.0271339396200936</v>
      </c>
      <c r="O64" s="2">
        <f>O9*'Output-Calculation-sheet'!O53/10^9</f>
        <v>1.1309068259818591</v>
      </c>
      <c r="P64" s="2">
        <f>P9*'Output-Calculation-sheet'!P53/10^9</f>
        <v>0.66328887875618237</v>
      </c>
      <c r="Q64" s="2">
        <f>Q9*'Output-Calculation-sheet'!Q53/10^9</f>
        <v>0.73304552167074577</v>
      </c>
      <c r="R64" s="2">
        <f>R9*'Output-Calculation-sheet'!R53/10^9</f>
        <v>0.62839226577575391</v>
      </c>
      <c r="S64" s="2">
        <f>S9*'Output-Calculation-sheet'!S53/10^9</f>
        <v>0.51919245293292571</v>
      </c>
      <c r="T64" s="2">
        <f>T9*'Output-Calculation-sheet'!T53/10^9</f>
        <v>0.22589066336001035</v>
      </c>
      <c r="U64" s="2">
        <f>U9*'Output-Calculation-sheet'!U53/10^9</f>
        <v>0.17002311095431194</v>
      </c>
      <c r="V64" s="2">
        <f>V9*'Output-Calculation-sheet'!V53/10^9</f>
        <v>0.26811703533834913</v>
      </c>
      <c r="W64" s="2">
        <f>W9*'Output-Calculation-sheet'!W53/10^9</f>
        <v>9.9627457721264343E-2</v>
      </c>
      <c r="X64" s="2">
        <f>X9*'Output-Calculation-sheet'!X53/10^9</f>
        <v>0.13523123051840719</v>
      </c>
      <c r="Y64" s="2">
        <f>Y9*'Output-Calculation-sheet'!Y53/10^9</f>
        <v>6.9802236688581543E-2</v>
      </c>
      <c r="AA64" s="2">
        <f t="shared" si="4"/>
        <v>32.776164769865908</v>
      </c>
    </row>
    <row r="65" spans="1:27" x14ac:dyDescent="0.25">
      <c r="A65" s="2">
        <v>2033</v>
      </c>
      <c r="B65" s="2">
        <f>B10*'Output-Calculation-sheet'!B54/10^9</f>
        <v>7.7059314891670398</v>
      </c>
      <c r="C65" s="2">
        <f>C10*'Output-Calculation-sheet'!C54/10^9</f>
        <v>5.2098909560360793</v>
      </c>
      <c r="D65" s="2">
        <f>D10*'Output-Calculation-sheet'!D54/10^9</f>
        <v>1.8205243675273333</v>
      </c>
      <c r="E65" s="2">
        <f>E10*'Output-Calculation-sheet'!E54/10^9</f>
        <v>2.0498896192058376</v>
      </c>
      <c r="F65" s="2">
        <f>F10*'Output-Calculation-sheet'!F54/10^9</f>
        <v>0.83222010560094639</v>
      </c>
      <c r="G65" s="2">
        <f>G10*'Output-Calculation-sheet'!G54/10^9</f>
        <v>0.57139438072276116</v>
      </c>
      <c r="H65" s="2">
        <f>H10*'Output-Calculation-sheet'!H54/10^9</f>
        <v>1.4120956721556905</v>
      </c>
      <c r="I65" s="2">
        <f>I10*'Output-Calculation-sheet'!I54/10^9</f>
        <v>0.55638207698762931</v>
      </c>
      <c r="J65" s="2">
        <f>J10*'Output-Calculation-sheet'!J54/10^9</f>
        <v>0.66500067610236457</v>
      </c>
      <c r="K65" s="2">
        <f>K10*'Output-Calculation-sheet'!K54/10^9</f>
        <v>0.70946763166827909</v>
      </c>
      <c r="L65" s="2">
        <f>L10*'Output-Calculation-sheet'!L54/10^9</f>
        <v>0.83803048281782089</v>
      </c>
      <c r="M65" s="2">
        <f>M10*'Output-Calculation-sheet'!M54/10^9</f>
        <v>1.066194702643972</v>
      </c>
      <c r="N65" s="2">
        <f>N10*'Output-Calculation-sheet'!N54/10^9</f>
        <v>0.92073228520464145</v>
      </c>
      <c r="O65" s="2">
        <f>O10*'Output-Calculation-sheet'!O54/10^9</f>
        <v>1.0538396232581524</v>
      </c>
      <c r="P65" s="2">
        <f>P10*'Output-Calculation-sheet'!P54/10^9</f>
        <v>0.60029011071357574</v>
      </c>
      <c r="Q65" s="2">
        <f>Q10*'Output-Calculation-sheet'!Q54/10^9</f>
        <v>0.65504582292286406</v>
      </c>
      <c r="R65" s="2">
        <f>R10*'Output-Calculation-sheet'!R54/10^9</f>
        <v>0.52849041455019408</v>
      </c>
      <c r="S65" s="2">
        <f>S10*'Output-Calculation-sheet'!S54/10^9</f>
        <v>0.48004869173145376</v>
      </c>
      <c r="T65" s="2">
        <f>T10*'Output-Calculation-sheet'!T54/10^9</f>
        <v>0.17669764417120468</v>
      </c>
      <c r="U65" s="2">
        <f>U10*'Output-Calculation-sheet'!U54/10^9</f>
        <v>0.15257654120488884</v>
      </c>
      <c r="V65" s="2">
        <f>V10*'Output-Calculation-sheet'!V54/10^9</f>
        <v>0.19554261495569505</v>
      </c>
      <c r="W65" s="2">
        <f>W10*'Output-Calculation-sheet'!W54/10^9</f>
        <v>7.4450428200323174E-2</v>
      </c>
      <c r="X65" s="2">
        <f>X10*'Output-Calculation-sheet'!X54/10^9</f>
        <v>0.1226277876758852</v>
      </c>
      <c r="Y65" s="2">
        <f>Y10*'Output-Calculation-sheet'!Y54/10^9</f>
        <v>6.1276693019610806E-2</v>
      </c>
      <c r="AA65" s="2">
        <f t="shared" si="4"/>
        <v>28.458640818244252</v>
      </c>
    </row>
    <row r="66" spans="1:27" x14ac:dyDescent="0.25">
      <c r="A66" s="2">
        <v>2034</v>
      </c>
      <c r="B66" s="2">
        <f>B11*'Output-Calculation-sheet'!B55/10^9</f>
        <v>6.6583173052236182</v>
      </c>
      <c r="C66" s="2">
        <f>C11*'Output-Calculation-sheet'!C55/10^9</f>
        <v>4.3918899895555095</v>
      </c>
      <c r="D66" s="2">
        <f>D11*'Output-Calculation-sheet'!D55/10^9</f>
        <v>1.3927159128847093</v>
      </c>
      <c r="E66" s="2">
        <f>E11*'Output-Calculation-sheet'!E55/10^9</f>
        <v>1.686486475785496</v>
      </c>
      <c r="F66" s="2">
        <f>F11*'Output-Calculation-sheet'!F55/10^9</f>
        <v>0.64813817214006431</v>
      </c>
      <c r="G66" s="2">
        <f>G11*'Output-Calculation-sheet'!G55/10^9</f>
        <v>0.4632771278197832</v>
      </c>
      <c r="H66" s="2">
        <f>H11*'Output-Calculation-sheet'!H55/10^9</f>
        <v>1.1843944949333363</v>
      </c>
      <c r="I66" s="2">
        <f>I11*'Output-Calculation-sheet'!I55/10^9</f>
        <v>0.45303281308478255</v>
      </c>
      <c r="J66" s="2">
        <f>J11*'Output-Calculation-sheet'!J55/10^9</f>
        <v>0.46587416417078709</v>
      </c>
      <c r="K66" s="2">
        <f>K11*'Output-Calculation-sheet'!K55/10^9</f>
        <v>0.55721151516156719</v>
      </c>
      <c r="L66" s="2">
        <f>L11*'Output-Calculation-sheet'!L55/10^9</f>
        <v>0.59009120765224043</v>
      </c>
      <c r="M66" s="2">
        <f>M11*'Output-Calculation-sheet'!M55/10^9</f>
        <v>0.85806738277897976</v>
      </c>
      <c r="N66" s="2">
        <f>N11*'Output-Calculation-sheet'!N55/10^9</f>
        <v>0.74972206983578216</v>
      </c>
      <c r="O66" s="2">
        <f>O11*'Output-Calculation-sheet'!O55/10^9</f>
        <v>0.88476615487372534</v>
      </c>
      <c r="P66" s="2">
        <f>P11*'Output-Calculation-sheet'!P55/10^9</f>
        <v>0.51536430412071565</v>
      </c>
      <c r="Q66" s="2">
        <f>Q11*'Output-Calculation-sheet'!Q55/10^9</f>
        <v>0.56130179848223993</v>
      </c>
      <c r="R66" s="2">
        <f>R11*'Output-Calculation-sheet'!R55/10^9</f>
        <v>0.41740309584197505</v>
      </c>
      <c r="S66" s="2">
        <f>S11*'Output-Calculation-sheet'!S55/10^9</f>
        <v>0.41071451616390298</v>
      </c>
      <c r="T66" s="2">
        <f>T11*'Output-Calculation-sheet'!T55/10^9</f>
        <v>0.13083765230346012</v>
      </c>
      <c r="U66" s="2">
        <f>U11*'Output-Calculation-sheet'!U55/10^9</f>
        <v>0.13304463718218054</v>
      </c>
      <c r="V66" s="2">
        <f>V11*'Output-Calculation-sheet'!V55/10^9</f>
        <v>0.12412245001622664</v>
      </c>
      <c r="W66" s="2">
        <f>W11*'Output-Calculation-sheet'!W55/10^9</f>
        <v>5.619985120249197E-2</v>
      </c>
      <c r="X66" s="2">
        <f>X11*'Output-Calculation-sheet'!X55/10^9</f>
        <v>0.10570189536565677</v>
      </c>
      <c r="Y66" s="2">
        <f>Y11*'Output-Calculation-sheet'!Y55/10^9</f>
        <v>5.5148939009094608E-2</v>
      </c>
      <c r="AA66" s="2">
        <f t="shared" si="4"/>
        <v>23.493823925588327</v>
      </c>
    </row>
    <row r="67" spans="1:27" x14ac:dyDescent="0.25">
      <c r="A67" s="2">
        <v>2035</v>
      </c>
      <c r="B67" s="2">
        <f>B12*'Output-Calculation-sheet'!B56/10^9</f>
        <v>5.2311591507747242</v>
      </c>
      <c r="C67" s="2">
        <f>C12*'Output-Calculation-sheet'!C56/10^9</f>
        <v>3.2991623594516093</v>
      </c>
      <c r="D67" s="2">
        <f>D12*'Output-Calculation-sheet'!D56/10^9</f>
        <v>1.0894624500473529</v>
      </c>
      <c r="E67" s="2">
        <f>E12*'Output-Calculation-sheet'!E56/10^9</f>
        <v>1.4782568396630795</v>
      </c>
      <c r="F67" s="2">
        <f>F12*'Output-Calculation-sheet'!F56/10^9</f>
        <v>0.53988925146867661</v>
      </c>
      <c r="G67" s="2">
        <f>G12*'Output-Calculation-sheet'!G56/10^9</f>
        <v>0.37820810000107757</v>
      </c>
      <c r="H67" s="2">
        <f>H12*'Output-Calculation-sheet'!H56/10^9</f>
        <v>0.91279896709005504</v>
      </c>
      <c r="I67" s="2">
        <f>I12*'Output-Calculation-sheet'!I56/10^9</f>
        <v>0.36737104340455368</v>
      </c>
      <c r="J67" s="2">
        <f>J12*'Output-Calculation-sheet'!J56/10^9</f>
        <v>0.36393542473613782</v>
      </c>
      <c r="K67" s="2">
        <f>K12*'Output-Calculation-sheet'!K56/10^9</f>
        <v>0.43831143608878931</v>
      </c>
      <c r="L67" s="2">
        <f>L12*'Output-Calculation-sheet'!L56/10^9</f>
        <v>0.44031530122673057</v>
      </c>
      <c r="M67" s="2">
        <f>M12*'Output-Calculation-sheet'!M56/10^9</f>
        <v>0.66787539629466763</v>
      </c>
      <c r="N67" s="2">
        <f>N12*'Output-Calculation-sheet'!N56/10^9</f>
        <v>0.57349877645398162</v>
      </c>
      <c r="O67" s="2">
        <f>O12*'Output-Calculation-sheet'!O56/10^9</f>
        <v>0.66340553236487099</v>
      </c>
      <c r="P67" s="2">
        <f>P12*'Output-Calculation-sheet'!P56/10^9</f>
        <v>0.42451190072563794</v>
      </c>
      <c r="Q67" s="2">
        <f>Q12*'Output-Calculation-sheet'!Q56/10^9</f>
        <v>0.43655432405843048</v>
      </c>
      <c r="R67" s="2">
        <f>R12*'Output-Calculation-sheet'!R56/10^9</f>
        <v>0.3323622201999813</v>
      </c>
      <c r="S67" s="2">
        <f>S12*'Output-Calculation-sheet'!S56/10^9</f>
        <v>0.31672179149910984</v>
      </c>
      <c r="T67" s="2">
        <f>T12*'Output-Calculation-sheet'!T56/10^9</f>
        <v>0.10079046341722966</v>
      </c>
      <c r="U67" s="2">
        <f>U12*'Output-Calculation-sheet'!U56/10^9</f>
        <v>0.10525170954490512</v>
      </c>
      <c r="V67" s="2">
        <f>V12*'Output-Calculation-sheet'!V56/10^9</f>
        <v>8.0851590288976732E-2</v>
      </c>
      <c r="W67" s="2">
        <f>W12*'Output-Calculation-sheet'!W56/10^9</f>
        <v>4.8780926509860108E-2</v>
      </c>
      <c r="X67" s="2">
        <f>X12*'Output-Calculation-sheet'!X56/10^9</f>
        <v>8.2941955638409295E-2</v>
      </c>
      <c r="Y67" s="2">
        <f>Y12*'Output-Calculation-sheet'!Y56/10^9</f>
        <v>4.7125322501363316E-2</v>
      </c>
      <c r="AA67" s="2">
        <f t="shared" si="4"/>
        <v>18.419542233450205</v>
      </c>
    </row>
    <row r="68" spans="1:27" x14ac:dyDescent="0.25">
      <c r="B68" s="2">
        <f>SUM(B60:B67)</f>
        <v>56.219989917493805</v>
      </c>
      <c r="C68" s="2">
        <f t="shared" ref="C68:Y68" si="5">SUM(C60:C67)</f>
        <v>34.257400902325777</v>
      </c>
      <c r="D68" s="2">
        <f t="shared" si="5"/>
        <v>17.450890119483468</v>
      </c>
      <c r="E68" s="2">
        <f t="shared" si="5"/>
        <v>18.29583738867143</v>
      </c>
      <c r="F68" s="2">
        <f t="shared" si="5"/>
        <v>7.4863935290133314</v>
      </c>
      <c r="G68" s="2">
        <f t="shared" si="5"/>
        <v>5.3628512574649401</v>
      </c>
      <c r="H68" s="2">
        <f t="shared" si="5"/>
        <v>9.8704398613373421</v>
      </c>
      <c r="I68" s="2">
        <f t="shared" si="5"/>
        <v>5.0420260064296691</v>
      </c>
      <c r="J68" s="2">
        <f t="shared" si="5"/>
        <v>6.6355551537841144</v>
      </c>
      <c r="K68" s="2">
        <f t="shared" si="5"/>
        <v>6.1555650094147518</v>
      </c>
      <c r="L68" s="2">
        <f t="shared" si="5"/>
        <v>7.9679167911347797</v>
      </c>
      <c r="M68" s="2">
        <f t="shared" si="5"/>
        <v>7.8611807761337458</v>
      </c>
      <c r="N68" s="2">
        <f t="shared" si="5"/>
        <v>6.743395856965849</v>
      </c>
      <c r="O68" s="2">
        <f t="shared" si="5"/>
        <v>7.0111007161801675</v>
      </c>
      <c r="P68" s="2">
        <f t="shared" si="5"/>
        <v>4.5325558618788531</v>
      </c>
      <c r="Q68" s="2">
        <f t="shared" si="5"/>
        <v>5.0379830061835937</v>
      </c>
      <c r="R68" s="2">
        <f t="shared" si="5"/>
        <v>4.4024489409935388</v>
      </c>
      <c r="S68" s="2">
        <f t="shared" si="5"/>
        <v>3.4194817588227773</v>
      </c>
      <c r="T68" s="2">
        <f t="shared" si="5"/>
        <v>1.6034000776949588</v>
      </c>
      <c r="U68" s="2">
        <f t="shared" si="5"/>
        <v>1.203439587260319</v>
      </c>
      <c r="V68" s="2">
        <f t="shared" si="5"/>
        <v>1.8827189625231733</v>
      </c>
      <c r="W68" s="2">
        <f t="shared" si="5"/>
        <v>0.70441787668168132</v>
      </c>
      <c r="X68" s="2">
        <f t="shared" si="5"/>
        <v>0.86590009029643911</v>
      </c>
      <c r="Y68" s="2">
        <f t="shared" si="5"/>
        <v>0.50409649387400757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3259.1794141173359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1705.4046612909149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1144.0300072544255</v>
      </c>
      <c r="N74" s="2">
        <f>N8/'Output-Calculation-sheet'!N7*'Output-Calculation-sheet'!N61</f>
        <v>47.507945679347017</v>
      </c>
      <c r="O74" s="2">
        <f>O8/'Output-Calculation-sheet'!O7*'Output-Calculation-sheet'!O61</f>
        <v>184.85460759633355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142.92308761404706</v>
      </c>
      <c r="Y74" s="2">
        <f>Y8/'Output-Calculation-sheet'!Y7*'Output-Calculation-sheet'!Y61</f>
        <v>0</v>
      </c>
      <c r="AA74" s="2">
        <f t="shared" si="6"/>
        <v>6.4838997235524038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4067.1721950947185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2756.7863677309169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1870.2261351055322</v>
      </c>
      <c r="N75" s="2">
        <f>N9/'Output-Calculation-sheet'!N8*'Output-Calculation-sheet'!N62</f>
        <v>722.71686108930999</v>
      </c>
      <c r="O75" s="2">
        <f>O9/'Output-Calculation-sheet'!O8*'Output-Calculation-sheet'!O62</f>
        <v>353.26279091056</v>
      </c>
      <c r="P75" s="2">
        <f>P9/'Output-Calculation-sheet'!P8*'Output-Calculation-sheet'!P62</f>
        <v>48.384754620891805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239.05786365031113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225.8782154149103</v>
      </c>
      <c r="Y75" s="2">
        <f>Y9/'Output-Calculation-sheet'!Y8*'Output-Calculation-sheet'!Y62</f>
        <v>0</v>
      </c>
      <c r="AA75" s="2">
        <f t="shared" si="6"/>
        <v>10.283485183617149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5097.7989975848441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3521.6793445534904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2398.2842550991363</v>
      </c>
      <c r="N76" s="2">
        <f>N10/'Output-Calculation-sheet'!N9*'Output-Calculation-sheet'!N63</f>
        <v>1372.2959158718684</v>
      </c>
      <c r="O76" s="2">
        <f>O10/'Output-Calculation-sheet'!O9*'Output-Calculation-sheet'!O63</f>
        <v>506.85878757193206</v>
      </c>
      <c r="P76" s="2">
        <f>P10/'Output-Calculation-sheet'!P9*'Output-Calculation-sheet'!P63</f>
        <v>470.43100997667733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362.25489619977009</v>
      </c>
      <c r="S76" s="2">
        <f>S10/'Output-Calculation-sheet'!S9*'Output-Calculation-sheet'!S63</f>
        <v>608.51265939769542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128.73734162334171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282.4113360570077</v>
      </c>
      <c r="Y76" s="2">
        <f>Y10/'Output-Calculation-sheet'!Y9*'Output-Calculation-sheet'!Y63</f>
        <v>5.357397562569548</v>
      </c>
      <c r="AA76" s="2">
        <f t="shared" si="6"/>
        <v>20.485436940558891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5764.6736933598686</v>
      </c>
      <c r="D77" s="2">
        <f>D11/'Output-Calculation-sheet'!D10*'Output-Calculation-sheet'!D64</f>
        <v>1349.0685761821876</v>
      </c>
      <c r="E77" s="2">
        <f>E11/'Output-Calculation-sheet'!E10*'Output-Calculation-sheet'!E64</f>
        <v>1682.1047314454454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714.99850178450458</v>
      </c>
      <c r="H77" s="2">
        <f>H11/'Output-Calculation-sheet'!H10*'Output-Calculation-sheet'!H64</f>
        <v>3577.5463393396817</v>
      </c>
      <c r="I77" s="2">
        <f>I11/'Output-Calculation-sheet'!I10*'Output-Calculation-sheet'!I64</f>
        <v>420.18197830737671</v>
      </c>
      <c r="J77" s="2">
        <f>J11/'Output-Calculation-sheet'!J10*'Output-Calculation-sheet'!J64</f>
        <v>294.27883112971909</v>
      </c>
      <c r="K77" s="2">
        <f>K11/'Output-Calculation-sheet'!K10*'Output-Calculation-sheet'!K64</f>
        <v>639.91790608559916</v>
      </c>
      <c r="L77" s="2">
        <f>L11/'Output-Calculation-sheet'!L10*'Output-Calculation-sheet'!L64</f>
        <v>263.398505437766</v>
      </c>
      <c r="M77" s="2">
        <f>M11/'Output-Calculation-sheet'!M10*'Output-Calculation-sheet'!M64</f>
        <v>2555.3301842482938</v>
      </c>
      <c r="N77" s="2">
        <f>N11/'Output-Calculation-sheet'!N10*'Output-Calculation-sheet'!N64</f>
        <v>1799.1124022948914</v>
      </c>
      <c r="O77" s="2">
        <f>O11/'Output-Calculation-sheet'!O10*'Output-Calculation-sheet'!O64</f>
        <v>655.1955482397392</v>
      </c>
      <c r="P77" s="2">
        <f>P11/'Output-Calculation-sheet'!P10*'Output-Calculation-sheet'!P64</f>
        <v>797.70147675436851</v>
      </c>
      <c r="Q77" s="2">
        <f>Q11/'Output-Calculation-sheet'!Q10*'Output-Calculation-sheet'!Q64</f>
        <v>561.6776960439679</v>
      </c>
      <c r="R77" s="2">
        <f>R11/'Output-Calculation-sheet'!R10*'Output-Calculation-sheet'!R64</f>
        <v>679.54419323092588</v>
      </c>
      <c r="S77" s="2">
        <f>S11/'Output-Calculation-sheet'!S10*'Output-Calculation-sheet'!S64</f>
        <v>904.71109779242863</v>
      </c>
      <c r="T77" s="2">
        <f>T11/'Output-Calculation-sheet'!T10*'Output-Calculation-sheet'!T64</f>
        <v>187.29710849092064</v>
      </c>
      <c r="U77" s="2">
        <f>U11/'Output-Calculation-sheet'!U10*'Output-Calculation-sheet'!U64</f>
        <v>198.7872594600625</v>
      </c>
      <c r="V77" s="2">
        <f>V11/'Output-Calculation-sheet'!V10*'Output-Calculation-sheet'!V64</f>
        <v>99.065443742202348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255.79403104503896</v>
      </c>
      <c r="Y77" s="2">
        <f>Y11/'Output-Calculation-sheet'!Y10*'Output-Calculation-sheet'!Y64</f>
        <v>62.207093259595759</v>
      </c>
      <c r="AA77" s="2">
        <f t="shared" si="6"/>
        <v>34.614908353017185</v>
      </c>
    </row>
    <row r="78" spans="1:27" x14ac:dyDescent="0.25">
      <c r="A78" s="2">
        <v>2035</v>
      </c>
      <c r="B78" s="2">
        <f>B12/'Output-Calculation-sheet'!B11*'Output-Calculation-sheet'!B65</f>
        <v>8595.5432969723424</v>
      </c>
      <c r="C78" s="2">
        <f>C12/'Output-Calculation-sheet'!C11*'Output-Calculation-sheet'!C65</f>
        <v>6661.3113290616502</v>
      </c>
      <c r="D78" s="2">
        <f>D12/'Output-Calculation-sheet'!D11*'Output-Calculation-sheet'!D65</f>
        <v>1148.2165345496651</v>
      </c>
      <c r="E78" s="2">
        <f>E12/'Output-Calculation-sheet'!E11*'Output-Calculation-sheet'!E65</f>
        <v>1989.6612885509714</v>
      </c>
      <c r="F78" s="2">
        <f>F12/'Output-Calculation-sheet'!F11*'Output-Calculation-sheet'!F65</f>
        <v>254.61786551826265</v>
      </c>
      <c r="G78" s="2">
        <f>G12/'Output-Calculation-sheet'!G11*'Output-Calculation-sheet'!G65</f>
        <v>504.22575225438567</v>
      </c>
      <c r="H78" s="2">
        <f>H12/'Output-Calculation-sheet'!H11*'Output-Calculation-sheet'!H65</f>
        <v>2734.1960419624002</v>
      </c>
      <c r="I78" s="2">
        <f>I12/'Output-Calculation-sheet'!I11*'Output-Calculation-sheet'!I65</f>
        <v>333.94413628445926</v>
      </c>
      <c r="J78" s="2">
        <f>J12/'Output-Calculation-sheet'!J11*'Output-Calculation-sheet'!J65</f>
        <v>483.35171213474615</v>
      </c>
      <c r="K78" s="2">
        <f>K12/'Output-Calculation-sheet'!K11*'Output-Calculation-sheet'!K65</f>
        <v>605.76301983299254</v>
      </c>
      <c r="L78" s="2">
        <f>L12/'Output-Calculation-sheet'!L11*'Output-Calculation-sheet'!L65</f>
        <v>513.86377418503946</v>
      </c>
      <c r="M78" s="2">
        <f>M12/'Output-Calculation-sheet'!M11*'Output-Calculation-sheet'!M65</f>
        <v>1992.2964667175027</v>
      </c>
      <c r="N78" s="2">
        <f>N12/'Output-Calculation-sheet'!N11*'Output-Calculation-sheet'!N65</f>
        <v>1413.1396550498107</v>
      </c>
      <c r="O78" s="2">
        <f>O12/'Output-Calculation-sheet'!O11*'Output-Calculation-sheet'!O65</f>
        <v>793.32832146173143</v>
      </c>
      <c r="P78" s="2">
        <f>P12/'Output-Calculation-sheet'!P11*'Output-Calculation-sheet'!P65</f>
        <v>693.86627418341936</v>
      </c>
      <c r="Q78" s="2">
        <f>Q12/'Output-Calculation-sheet'!Q11*'Output-Calculation-sheet'!Q65</f>
        <v>477.65930269272764</v>
      </c>
      <c r="R78" s="2">
        <f>R12/'Output-Calculation-sheet'!R11*'Output-Calculation-sheet'!R65</f>
        <v>646.59728447952943</v>
      </c>
      <c r="S78" s="2">
        <f>S12/'Output-Calculation-sheet'!S11*'Output-Calculation-sheet'!S65</f>
        <v>673.78328690187834</v>
      </c>
      <c r="T78" s="2">
        <f>T12/'Output-Calculation-sheet'!T11*'Output-Calculation-sheet'!T65</f>
        <v>223.04408618940604</v>
      </c>
      <c r="U78" s="2">
        <f>U12/'Output-Calculation-sheet'!U11*'Output-Calculation-sheet'!U65</f>
        <v>152.59462731460485</v>
      </c>
      <c r="V78" s="2">
        <f>V12/'Output-Calculation-sheet'!V11*'Output-Calculation-sheet'!V65</f>
        <v>125.23964325490729</v>
      </c>
      <c r="W78" s="2">
        <f>W12/'Output-Calculation-sheet'!W11*'Output-Calculation-sheet'!W65</f>
        <v>60.312544615582212</v>
      </c>
      <c r="X78" s="2">
        <f>X12/'Output-Calculation-sheet'!X11*'Output-Calculation-sheet'!X65</f>
        <v>195.03875769121092</v>
      </c>
      <c r="Y78" s="2">
        <f>Y12/'Output-Calculation-sheet'!Y11*'Output-Calculation-sheet'!Y65</f>
        <v>53.363154133827926</v>
      </c>
      <c r="AA78" s="2">
        <f t="shared" si="6"/>
        <v>31.324958155993059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311.32707897701101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80.643301383502475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0.39197038036051352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535.73226311213648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104.07836630444876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0.63981062941658529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598.0290537971506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116.18095680896977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0.71421001060612033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503.7289141349064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25.843907991386789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97.86097656116192</v>
      </c>
      <c r="P88" s="2">
        <f>P11/'Output-Calculation-sheet'!P10*'Output-Calculation-sheet'!P73</f>
        <v>0</v>
      </c>
      <c r="Q88" s="2">
        <f>Q11/'Output-Calculation-sheet'!Q10*'Output-Calculation-sheet'!Q73</f>
        <v>15.313331771421463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4.8858884987480335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1.9508540413291664</v>
      </c>
      <c r="Y88" s="2">
        <f>Y11/'Output-Calculation-sheet'!Y10*'Output-Calculation-sheet'!Y73</f>
        <v>0</v>
      </c>
      <c r="AA88" s="2">
        <f t="shared" si="7"/>
        <v>0.64958387299895382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317.43203855428408</v>
      </c>
      <c r="D89" s="2">
        <f>D12/'Output-Calculation-sheet'!D11*'Output-Calculation-sheet'!D74</f>
        <v>56.23825902677499</v>
      </c>
      <c r="E89" s="2">
        <f>E12/'Output-Calculation-sheet'!E11*'Output-Calculation-sheet'!E74</f>
        <v>89.388830718645522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20.173871819412085</v>
      </c>
      <c r="H89" s="2">
        <f>H12/'Output-Calculation-sheet'!H11*'Output-Calculation-sheet'!H74</f>
        <v>39.086187039332124</v>
      </c>
      <c r="I89" s="2">
        <f>I12/'Output-Calculation-sheet'!I11*'Output-Calculation-sheet'!I74</f>
        <v>18.145193234321848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17.833868750051302</v>
      </c>
      <c r="L89" s="2">
        <f>L12/'Output-Calculation-sheet'!L11*'Output-Calculation-sheet'!L74</f>
        <v>14.180637861441054</v>
      </c>
      <c r="M89" s="2">
        <f>M12/'Output-Calculation-sheet'!M11*'Output-Calculation-sheet'!M74</f>
        <v>26.89512148545764</v>
      </c>
      <c r="N89" s="2">
        <f>N12/'Output-Calculation-sheet'!N11*'Output-Calculation-sheet'!N74</f>
        <v>13.216794379440802</v>
      </c>
      <c r="O89" s="2">
        <f>O12/'Output-Calculation-sheet'!O11*'Output-Calculation-sheet'!O74</f>
        <v>61.668505446171707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11.579900184070587</v>
      </c>
      <c r="R89" s="2">
        <f>R12/'Output-Calculation-sheet'!R11*'Output-Calculation-sheet'!R74</f>
        <v>11.483630243304967</v>
      </c>
      <c r="S89" s="2">
        <f>S12/'Output-Calculation-sheet'!S11*'Output-Calculation-sheet'!S74</f>
        <v>15.152604475321382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3.6946957050581064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5.9009222576741651</v>
      </c>
      <c r="Y89" s="2">
        <f>Y12/'Output-Calculation-sheet'!Y11*'Output-Calculation-sheet'!Y74</f>
        <v>2.8472497136819936</v>
      </c>
      <c r="AA89" s="2">
        <f t="shared" si="7"/>
        <v>1.0724940601827628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9648792420.4603958</v>
      </c>
      <c r="C96" s="2">
        <f>C8/'Output-Calculation-sheet'!C7*'Output-Calculation-sheet'!C79</f>
        <v>2330021671.3965864</v>
      </c>
      <c r="D96" s="2">
        <f>D8/'Output-Calculation-sheet'!D7*'Output-Calculation-sheet'!D79</f>
        <v>1891630952.4514644</v>
      </c>
      <c r="E96" s="2">
        <f>E8/'Output-Calculation-sheet'!E7*'Output-Calculation-sheet'!E79</f>
        <v>7087253032.1342554</v>
      </c>
      <c r="F96" s="2">
        <f>F8/'Output-Calculation-sheet'!F7*'Output-Calculation-sheet'!F79</f>
        <v>2067460158.2215443</v>
      </c>
      <c r="G96" s="2">
        <f>G8/'Output-Calculation-sheet'!G7*'Output-Calculation-sheet'!G79</f>
        <v>1327011677.6608758</v>
      </c>
      <c r="H96" s="2">
        <f>H8/'Output-Calculation-sheet'!H7*'Output-Calculation-sheet'!H79</f>
        <v>1634832182.8505769</v>
      </c>
      <c r="I96" s="2">
        <f>I8/'Output-Calculation-sheet'!I7*'Output-Calculation-sheet'!I79</f>
        <v>954250454.20140922</v>
      </c>
      <c r="J96" s="2">
        <f>J8/'Output-Calculation-sheet'!J7*'Output-Calculation-sheet'!J79</f>
        <v>723134888.64311993</v>
      </c>
      <c r="K96" s="2">
        <f>K8/'Output-Calculation-sheet'!K7*'Output-Calculation-sheet'!K79</f>
        <v>906904844.78697813</v>
      </c>
      <c r="L96" s="2">
        <f>L8/'Output-Calculation-sheet'!L7*'Output-Calculation-sheet'!L79</f>
        <v>823313102.0534811</v>
      </c>
      <c r="M96" s="2">
        <f>M8/'Output-Calculation-sheet'!M7*'Output-Calculation-sheet'!M79</f>
        <v>1261429533.4979565</v>
      </c>
      <c r="N96" s="2">
        <f>N8/'Output-Calculation-sheet'!N7*'Output-Calculation-sheet'!N79</f>
        <v>820014363.89508665</v>
      </c>
      <c r="O96" s="2">
        <f>O8/'Output-Calculation-sheet'!O7*'Output-Calculation-sheet'!O79</f>
        <v>307687056.92337573</v>
      </c>
      <c r="P96" s="2">
        <f>P8/'Output-Calculation-sheet'!P7*'Output-Calculation-sheet'!P79</f>
        <v>1561724913.3776028</v>
      </c>
      <c r="Q96" s="2">
        <f>Q8/'Output-Calculation-sheet'!Q7*'Output-Calculation-sheet'!Q79</f>
        <v>663058781.04627037</v>
      </c>
      <c r="R96" s="2">
        <f>R8/'Output-Calculation-sheet'!R7*'Output-Calculation-sheet'!R79</f>
        <v>880064651.51880121</v>
      </c>
      <c r="S96" s="2">
        <f>S8/'Output-Calculation-sheet'!S7*'Output-Calculation-sheet'!S79</f>
        <v>496321950.88128906</v>
      </c>
      <c r="T96" s="2">
        <f>T8/'Output-Calculation-sheet'!T7*'Output-Calculation-sheet'!T79</f>
        <v>299421971.55234957</v>
      </c>
      <c r="U96" s="2">
        <f>U8/'Output-Calculation-sheet'!U7*'Output-Calculation-sheet'!U79</f>
        <v>235682205.608605</v>
      </c>
      <c r="V96" s="2">
        <f>V8/'Output-Calculation-sheet'!V7*'Output-Calculation-sheet'!V79</f>
        <v>108170394.40460539</v>
      </c>
      <c r="W96" s="2">
        <f>W8/'Output-Calculation-sheet'!W7*'Output-Calculation-sheet'!W79</f>
        <v>333044207.32432723</v>
      </c>
      <c r="X96" s="2">
        <f>X8/'Output-Calculation-sheet'!X7*'Output-Calculation-sheet'!X79</f>
        <v>150210310.69213629</v>
      </c>
      <c r="Y96" s="2">
        <f>Y8/'Output-Calculation-sheet'!Y7*'Output-Calculation-sheet'!Y79</f>
        <v>206716898.11976627</v>
      </c>
      <c r="AA96" s="2">
        <f t="shared" si="8"/>
        <v>36.718152623702856</v>
      </c>
    </row>
    <row r="97" spans="1:27" x14ac:dyDescent="0.25">
      <c r="A97" s="2">
        <v>2032</v>
      </c>
      <c r="B97" s="2">
        <f>B9/'Output-Calculation-sheet'!B8*'Output-Calculation-sheet'!B80</f>
        <v>11419051467.233</v>
      </c>
      <c r="C97" s="2">
        <f>C9/'Output-Calculation-sheet'!C8*'Output-Calculation-sheet'!C80</f>
        <v>2696972644.3138556</v>
      </c>
      <c r="D97" s="2">
        <f>D9/'Output-Calculation-sheet'!D8*'Output-Calculation-sheet'!D80</f>
        <v>2060194908.4011731</v>
      </c>
      <c r="E97" s="2">
        <f>E9/'Output-Calculation-sheet'!E8*'Output-Calculation-sheet'!E80</f>
        <v>8673117943.3793983</v>
      </c>
      <c r="F97" s="2">
        <f>F9/'Output-Calculation-sheet'!F8*'Output-Calculation-sheet'!F80</f>
        <v>2378468429.992897</v>
      </c>
      <c r="G97" s="2">
        <f>G9/'Output-Calculation-sheet'!G8*'Output-Calculation-sheet'!G80</f>
        <v>1457394917.622525</v>
      </c>
      <c r="H97" s="2">
        <f>H9/'Output-Calculation-sheet'!H8*'Output-Calculation-sheet'!H80</f>
        <v>1908250479.0214937</v>
      </c>
      <c r="I97" s="2">
        <f>I9/'Output-Calculation-sheet'!I8*'Output-Calculation-sheet'!I80</f>
        <v>1099151993.3996339</v>
      </c>
      <c r="J97" s="2">
        <f>J9/'Output-Calculation-sheet'!J8*'Output-Calculation-sheet'!J80</f>
        <v>821372027.72294259</v>
      </c>
      <c r="K97" s="2">
        <f>K9/'Output-Calculation-sheet'!K8*'Output-Calculation-sheet'!K80</f>
        <v>1013029613.7663139</v>
      </c>
      <c r="L97" s="2">
        <f>L9/'Output-Calculation-sheet'!L8*'Output-Calculation-sheet'!L80</f>
        <v>977134916.29158258</v>
      </c>
      <c r="M97" s="2">
        <f>M9/'Output-Calculation-sheet'!M8*'Output-Calculation-sheet'!M80</f>
        <v>1505481541.1790953</v>
      </c>
      <c r="N97" s="2">
        <f>N9/'Output-Calculation-sheet'!N8*'Output-Calculation-sheet'!N80</f>
        <v>945903203.89242828</v>
      </c>
      <c r="O97" s="2">
        <f>O9/'Output-Calculation-sheet'!O8*'Output-Calculation-sheet'!O80</f>
        <v>351609401.98344749</v>
      </c>
      <c r="P97" s="2">
        <f>P9/'Output-Calculation-sheet'!P8*'Output-Calculation-sheet'!P80</f>
        <v>1773330724.572511</v>
      </c>
      <c r="Q97" s="2">
        <f>Q9/'Output-Calculation-sheet'!Q8*'Output-Calculation-sheet'!Q80</f>
        <v>767028557.35958397</v>
      </c>
      <c r="R97" s="2">
        <f>R9/'Output-Calculation-sheet'!R8*'Output-Calculation-sheet'!R80</f>
        <v>1027821672.8102602</v>
      </c>
      <c r="S97" s="2">
        <f>S9/'Output-Calculation-sheet'!S8*'Output-Calculation-sheet'!S80</f>
        <v>572047464.21326792</v>
      </c>
      <c r="T97" s="2">
        <f>T9/'Output-Calculation-sheet'!T8*'Output-Calculation-sheet'!T80</f>
        <v>333558452.22135401</v>
      </c>
      <c r="U97" s="2">
        <f>U9/'Output-Calculation-sheet'!U8*'Output-Calculation-sheet'!U80</f>
        <v>265419698.90217066</v>
      </c>
      <c r="V97" s="2">
        <f>V9/'Output-Calculation-sheet'!V8*'Output-Calculation-sheet'!V80</f>
        <v>122427500.42669381</v>
      </c>
      <c r="W97" s="2">
        <f>W9/'Output-Calculation-sheet'!W8*'Output-Calculation-sheet'!W80</f>
        <v>378847583.57923549</v>
      </c>
      <c r="X97" s="2">
        <f>X9/'Output-Calculation-sheet'!X8*'Output-Calculation-sheet'!X80</f>
        <v>183488386.22708049</v>
      </c>
      <c r="Y97" s="2">
        <f>Y9/'Output-Calculation-sheet'!Y8*'Output-Calculation-sheet'!Y80</f>
        <v>240866103.57007578</v>
      </c>
      <c r="AA97" s="2">
        <f t="shared" si="8"/>
        <v>42.971969632082001</v>
      </c>
    </row>
    <row r="98" spans="1:27" x14ac:dyDescent="0.25">
      <c r="A98" s="2">
        <v>2033</v>
      </c>
      <c r="B98" s="2">
        <f>B10/'Output-Calculation-sheet'!B9*'Output-Calculation-sheet'!B81</f>
        <v>11627834072.599586</v>
      </c>
      <c r="C98" s="2">
        <f>C10/'Output-Calculation-sheet'!C9*'Output-Calculation-sheet'!C81</f>
        <v>2692550064.3748565</v>
      </c>
      <c r="D98" s="2">
        <f>D10/'Output-Calculation-sheet'!D9*'Output-Calculation-sheet'!D81</f>
        <v>1937012586.4998431</v>
      </c>
      <c r="E98" s="2">
        <f>E10/'Output-Calculation-sheet'!E9*'Output-Calculation-sheet'!E81</f>
        <v>9143440014.5662003</v>
      </c>
      <c r="F98" s="2">
        <f>F10/'Output-Calculation-sheet'!F9*'Output-Calculation-sheet'!F81</f>
        <v>2355812386.284296</v>
      </c>
      <c r="G98" s="2">
        <f>G10/'Output-Calculation-sheet'!G9*'Output-Calculation-sheet'!G81</f>
        <v>1376313886.7149906</v>
      </c>
      <c r="H98" s="2">
        <f>H10/'Output-Calculation-sheet'!H9*'Output-Calculation-sheet'!H81</f>
        <v>1916040246.6739886</v>
      </c>
      <c r="I98" s="2">
        <f>I10/'Output-Calculation-sheet'!I9*'Output-Calculation-sheet'!I81</f>
        <v>1091937633.8654513</v>
      </c>
      <c r="J98" s="2">
        <f>J10/'Output-Calculation-sheet'!J9*'Output-Calculation-sheet'!J81</f>
        <v>805515560.7794559</v>
      </c>
      <c r="K98" s="2">
        <f>K10/'Output-Calculation-sheet'!K9*'Output-Calculation-sheet'!K81</f>
        <v>975438808.70292187</v>
      </c>
      <c r="L98" s="2">
        <f>L10/'Output-Calculation-sheet'!L9*'Output-Calculation-sheet'!L81</f>
        <v>999727004.82330346</v>
      </c>
      <c r="M98" s="2">
        <f>M10/'Output-Calculation-sheet'!M9*'Output-Calculation-sheet'!M81</f>
        <v>1549220016.1617253</v>
      </c>
      <c r="N98" s="2">
        <f>N10/'Output-Calculation-sheet'!N9*'Output-Calculation-sheet'!N81</f>
        <v>941484637.9396714</v>
      </c>
      <c r="O98" s="2">
        <f>O10/'Output-Calculation-sheet'!O9*'Output-Calculation-sheet'!O81</f>
        <v>347247840.02834529</v>
      </c>
      <c r="P98" s="2">
        <f>P10/'Output-Calculation-sheet'!P9*'Output-Calculation-sheet'!P81</f>
        <v>1722699917.7770195</v>
      </c>
      <c r="Q98" s="2">
        <f>Q10/'Output-Calculation-sheet'!Q9*'Output-Calculation-sheet'!Q81</f>
        <v>765453045.81109059</v>
      </c>
      <c r="R98" s="2">
        <f>R10/'Output-Calculation-sheet'!R9*'Output-Calculation-sheet'!R81</f>
        <v>1033188896.7891769</v>
      </c>
      <c r="S98" s="2">
        <f>S10/'Output-Calculation-sheet'!S9*'Output-Calculation-sheet'!S81</f>
        <v>567427498.48605192</v>
      </c>
      <c r="T98" s="2">
        <f>T10/'Output-Calculation-sheet'!T9*'Output-Calculation-sheet'!T81</f>
        <v>319697538.90282965</v>
      </c>
      <c r="U98" s="2">
        <f>U10/'Output-Calculation-sheet'!U9*'Output-Calculation-sheet'!U81</f>
        <v>256886333.75759378</v>
      </c>
      <c r="V98" s="2">
        <f>V10/'Output-Calculation-sheet'!V9*'Output-Calculation-sheet'!V81</f>
        <v>119310370.5169871</v>
      </c>
      <c r="W98" s="2">
        <f>W10/'Output-Calculation-sheet'!W9*'Output-Calculation-sheet'!W81</f>
        <v>368964779.89232695</v>
      </c>
      <c r="X98" s="2">
        <f>X10/'Output-Calculation-sheet'!X9*'Output-Calculation-sheet'!X81</f>
        <v>193425037.84356788</v>
      </c>
      <c r="Y98" s="2">
        <f>Y10/'Output-Calculation-sheet'!Y9*'Output-Calculation-sheet'!Y81</f>
        <v>240809768.08694965</v>
      </c>
      <c r="AA98" s="2">
        <f t="shared" si="8"/>
        <v>43.347437947878234</v>
      </c>
    </row>
    <row r="99" spans="1:27" x14ac:dyDescent="0.25">
      <c r="A99" s="2">
        <v>2034</v>
      </c>
      <c r="B99" s="2">
        <f>B11/'Output-Calculation-sheet'!B10*'Output-Calculation-sheet'!B82</f>
        <v>10368631621.445852</v>
      </c>
      <c r="C99" s="2">
        <f>C11/'Output-Calculation-sheet'!C10*'Output-Calculation-sheet'!C82</f>
        <v>2360241136.7874789</v>
      </c>
      <c r="D99" s="2">
        <f>D11/'Output-Calculation-sheet'!D10*'Output-Calculation-sheet'!D82</f>
        <v>1601020147.5031104</v>
      </c>
      <c r="E99" s="2">
        <f>E11/'Output-Calculation-sheet'!E10*'Output-Calculation-sheet'!E82</f>
        <v>8449910677.3619852</v>
      </c>
      <c r="F99" s="2">
        <f>F11/'Output-Calculation-sheet'!F10*'Output-Calculation-sheet'!F82</f>
        <v>2045353145.2616041</v>
      </c>
      <c r="G99" s="2">
        <f>G11/'Output-Calculation-sheet'!G10*'Output-Calculation-sheet'!G82</f>
        <v>1138362397.6937604</v>
      </c>
      <c r="H99" s="2">
        <f>H11/'Output-Calculation-sheet'!H10*'Output-Calculation-sheet'!H82</f>
        <v>1684479562.0924397</v>
      </c>
      <c r="I99" s="2">
        <f>I11/'Output-Calculation-sheet'!I10*'Output-Calculation-sheet'!I82</f>
        <v>952500786.92623174</v>
      </c>
      <c r="J99" s="2">
        <f>J11/'Output-Calculation-sheet'!J10*'Output-Calculation-sheet'!J82</f>
        <v>694368380.19935465</v>
      </c>
      <c r="K99" s="2">
        <f>K11/'Output-Calculation-sheet'!K10*'Output-Calculation-sheet'!K82</f>
        <v>824461843.86592495</v>
      </c>
      <c r="L99" s="2">
        <f>L11/'Output-Calculation-sheet'!L10*'Output-Calculation-sheet'!L82</f>
        <v>897498246.63296616</v>
      </c>
      <c r="M99" s="2">
        <f>M11/'Output-Calculation-sheet'!M10*'Output-Calculation-sheet'!M82</f>
        <v>1399064704.5568323</v>
      </c>
      <c r="N99" s="2">
        <f>N11/'Output-Calculation-sheet'!N10*'Output-Calculation-sheet'!N82</f>
        <v>823169254.10406184</v>
      </c>
      <c r="O99" s="2">
        <f>O11/'Output-Calculation-sheet'!O10*'Output-Calculation-sheet'!O82</f>
        <v>301690222.28669518</v>
      </c>
      <c r="P99" s="2">
        <f>P11/'Output-Calculation-sheet'!P10*'Output-Calculation-sheet'!P82</f>
        <v>1458256233.1337891</v>
      </c>
      <c r="Q99" s="2">
        <f>Q11/'Output-Calculation-sheet'!Q10*'Output-Calculation-sheet'!Q82</f>
        <v>670781969.11567378</v>
      </c>
      <c r="R99" s="2">
        <f>R11/'Output-Calculation-sheet'!R10*'Output-Calculation-sheet'!R82</f>
        <v>909898254.84630835</v>
      </c>
      <c r="S99" s="2">
        <f>S11/'Output-Calculation-sheet'!S10*'Output-Calculation-sheet'!S82</f>
        <v>493088287.52137446</v>
      </c>
      <c r="T99" s="2">
        <f>T11/'Output-Calculation-sheet'!T10*'Output-Calculation-sheet'!T82</f>
        <v>268507318.89956152</v>
      </c>
      <c r="U99" s="2">
        <f>U11/'Output-Calculation-sheet'!U10*'Output-Calculation-sheet'!U82</f>
        <v>217607506.52169997</v>
      </c>
      <c r="V99" s="2">
        <f>V11/'Output-Calculation-sheet'!V10*'Output-Calculation-sheet'!V82</f>
        <v>101932294.83235747</v>
      </c>
      <c r="W99" s="2">
        <f>W11/'Output-Calculation-sheet'!W10*'Output-Calculation-sheet'!W82</f>
        <v>313337230.55899322</v>
      </c>
      <c r="X99" s="2">
        <f>X11/'Output-Calculation-sheet'!X10*'Output-Calculation-sheet'!X82</f>
        <v>179085377.17025343</v>
      </c>
      <c r="Y99" s="2">
        <f>Y11/'Output-Calculation-sheet'!Y10*'Output-Calculation-sheet'!Y82</f>
        <v>210313742.56856686</v>
      </c>
      <c r="AA99" s="2">
        <f t="shared" si="8"/>
        <v>38.363560341886867</v>
      </c>
    </row>
    <row r="100" spans="1:27" x14ac:dyDescent="0.25">
      <c r="A100" s="2">
        <v>2035</v>
      </c>
      <c r="B100" s="2">
        <f>B12/'Output-Calculation-sheet'!B11*'Output-Calculation-sheet'!B83</f>
        <v>8088194898.5603848</v>
      </c>
      <c r="C100" s="2">
        <f>C12/'Output-Calculation-sheet'!C11*'Output-Calculation-sheet'!C83</f>
        <v>1815015449.5019937</v>
      </c>
      <c r="D100" s="2">
        <f>D12/'Output-Calculation-sheet'!D11*'Output-Calculation-sheet'!D83</f>
        <v>1162668642.3543656</v>
      </c>
      <c r="E100" s="2">
        <f>E12/'Output-Calculation-sheet'!E11*'Output-Calculation-sheet'!E83</f>
        <v>6837150536.8000793</v>
      </c>
      <c r="F100" s="2">
        <f>F12/'Output-Calculation-sheet'!F11*'Output-Calculation-sheet'!F83</f>
        <v>1555533850.6070912</v>
      </c>
      <c r="G100" s="2">
        <f>G12/'Output-Calculation-sheet'!G11*'Output-Calculation-sheet'!G83</f>
        <v>824382071.9476825</v>
      </c>
      <c r="H100" s="2">
        <f>H12/'Output-Calculation-sheet'!H11*'Output-Calculation-sheet'!H83</f>
        <v>1295437405.6632886</v>
      </c>
      <c r="I100" s="2">
        <f>I12/'Output-Calculation-sheet'!I11*'Output-Calculation-sheet'!I83</f>
        <v>729007815.65167892</v>
      </c>
      <c r="J100" s="2">
        <f>J12/'Output-Calculation-sheet'!J11*'Output-Calculation-sheet'!J83</f>
        <v>525702272.27725828</v>
      </c>
      <c r="K100" s="2">
        <f>K12/'Output-Calculation-sheet'!K11*'Output-Calculation-sheet'!K83</f>
        <v>611341988.99407113</v>
      </c>
      <c r="L100" s="2">
        <f>L12/'Output-Calculation-sheet'!L11*'Output-Calculation-sheet'!L83</f>
        <v>706311763.1174711</v>
      </c>
      <c r="M100" s="2">
        <f>M12/'Output-Calculation-sheet'!M11*'Output-Calculation-sheet'!M83</f>
        <v>1107658365.5008223</v>
      </c>
      <c r="N100" s="2">
        <f>N12/'Output-Calculation-sheet'!N11*'Output-Calculation-sheet'!N83</f>
        <v>631724046.12973857</v>
      </c>
      <c r="O100" s="2">
        <f>O12/'Output-Calculation-sheet'!O11*'Output-Calculation-sheet'!O83</f>
        <v>230370225.65183887</v>
      </c>
      <c r="P100" s="2">
        <f>P12/'Output-Calculation-sheet'!P11*'Output-Calculation-sheet'!P83</f>
        <v>1075488451.5065079</v>
      </c>
      <c r="Q100" s="2">
        <f>Q12/'Output-Calculation-sheet'!Q11*'Output-Calculation-sheet'!Q83</f>
        <v>515697537.81237191</v>
      </c>
      <c r="R100" s="2">
        <f>R12/'Output-Calculation-sheet'!R11*'Output-Calculation-sheet'!R83</f>
        <v>701385799.20663989</v>
      </c>
      <c r="S100" s="2">
        <f>S12/'Output-Calculation-sheet'!S11*'Output-Calculation-sheet'!S83</f>
        <v>375065751.43166101</v>
      </c>
      <c r="T100" s="2">
        <f>T12/'Output-Calculation-sheet'!T11*'Output-Calculation-sheet'!T83</f>
        <v>197548386.96795544</v>
      </c>
      <c r="U100" s="2">
        <f>U12/'Output-Calculation-sheet'!U11*'Output-Calculation-sheet'!U83</f>
        <v>161270031.45878065</v>
      </c>
      <c r="V100" s="2">
        <f>V12/'Output-Calculation-sheet'!V11*'Output-Calculation-sheet'!V83</f>
        <v>76291996.44932802</v>
      </c>
      <c r="W100" s="2">
        <f>W12/'Output-Calculation-sheet'!W11*'Output-Calculation-sheet'!W83</f>
        <v>231978925.61763602</v>
      </c>
      <c r="X100" s="2">
        <f>X12/'Output-Calculation-sheet'!X11*'Output-Calculation-sheet'!X83</f>
        <v>145477073.9243677</v>
      </c>
      <c r="Y100" s="2">
        <f>Y12/'Output-Calculation-sheet'!Y11*'Output-Calculation-sheet'!Y83</f>
        <v>160359951.12428355</v>
      </c>
      <c r="AA100" s="2">
        <f t="shared" si="8"/>
        <v>29.761063238257297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1601996488.1314566</v>
      </c>
      <c r="C107" s="2">
        <f>C8/'Output-Calculation-sheet'!C7*'Output-Calculation-sheet'!C88</f>
        <v>20658232856.351154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8231669005.8751745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5679163229.6331301</v>
      </c>
      <c r="N107" s="2">
        <f>N8/'Output-Calculation-sheet'!N7*'Output-Calculation-sheet'!N88</f>
        <v>1895883752.2438085</v>
      </c>
      <c r="O107" s="2">
        <f>O8/'Output-Calculation-sheet'!O7*'Output-Calculation-sheet'!O88</f>
        <v>3254765659.9206944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569593658.76821864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615054697.74525666</v>
      </c>
      <c r="Y107" s="2">
        <f>Y8/'Output-Calculation-sheet'!Y7*'Output-Calculation-sheet'!Y88</f>
        <v>0</v>
      </c>
      <c r="AA107" s="2">
        <f t="shared" si="9"/>
        <v>42506.359348668891</v>
      </c>
    </row>
    <row r="108" spans="1:27" x14ac:dyDescent="0.25">
      <c r="A108" s="2">
        <v>2032</v>
      </c>
      <c r="B108" s="2">
        <f>B9/'Output-Calculation-sheet'!B8*'Output-Calculation-sheet'!B89</f>
        <v>6792783934.8942966</v>
      </c>
      <c r="C108" s="2">
        <f>C9/'Output-Calculation-sheet'!C8*'Output-Calculation-sheet'!C89</f>
        <v>23074760026.698601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10623895128.363331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7329563857.979022</v>
      </c>
      <c r="N108" s="2">
        <f>N9/'Output-Calculation-sheet'!N8*'Output-Calculation-sheet'!N89</f>
        <v>3449139452.2575803</v>
      </c>
      <c r="O108" s="2">
        <f>O9/'Output-Calculation-sheet'!O8*'Output-Calculation-sheet'!O89</f>
        <v>3692715007.453125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1026415063.6564974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793813674.60868359</v>
      </c>
      <c r="Y108" s="2">
        <f>Y9/'Output-Calculation-sheet'!Y8*'Output-Calculation-sheet'!Y89</f>
        <v>0</v>
      </c>
      <c r="AA108" s="2">
        <f t="shared" si="9"/>
        <v>56783.086145911126</v>
      </c>
    </row>
    <row r="109" spans="1:27" x14ac:dyDescent="0.25">
      <c r="A109" s="2">
        <v>2033</v>
      </c>
      <c r="B109" s="2">
        <f>B10/'Output-Calculation-sheet'!B9*'Output-Calculation-sheet'!B90</f>
        <v>16206228979.3995</v>
      </c>
      <c r="C109" s="2">
        <f>C10/'Output-Calculation-sheet'!C9*'Output-Calculation-sheet'!C90</f>
        <v>23904806057.264671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11859634115.41766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8182116928.3996429</v>
      </c>
      <c r="N109" s="2">
        <f>N10/'Output-Calculation-sheet'!N9*'Output-Calculation-sheet'!N90</f>
        <v>4819938589.8498564</v>
      </c>
      <c r="O109" s="2">
        <f>O10/'Output-Calculation-sheet'!O9*'Output-Calculation-sheet'!O90</f>
        <v>3734404494.7107148</v>
      </c>
      <c r="P109" s="2">
        <f>P10/'Output-Calculation-sheet'!P9*'Output-Calculation-sheet'!P90</f>
        <v>0</v>
      </c>
      <c r="Q109" s="2">
        <f>Q10/'Output-Calculation-sheet'!Q9*'Output-Calculation-sheet'!Q90</f>
        <v>156872912.25289598</v>
      </c>
      <c r="R109" s="2">
        <f>R10/'Output-Calculation-sheet'!R9*'Output-Calculation-sheet'!R90</f>
        <v>-3.2322230523413521E-7</v>
      </c>
      <c r="S109" s="2">
        <f>S10/'Output-Calculation-sheet'!S9*'Output-Calculation-sheet'!S90</f>
        <v>1937441789.8315763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886148018.68606889</v>
      </c>
      <c r="Y109" s="2">
        <f>Y10/'Output-Calculation-sheet'!Y9*'Output-Calculation-sheet'!Y90</f>
        <v>0</v>
      </c>
      <c r="AA109" s="2">
        <f t="shared" si="9"/>
        <v>71687.591885812581</v>
      </c>
    </row>
    <row r="110" spans="1:27" x14ac:dyDescent="0.25">
      <c r="A110" s="2">
        <v>2034</v>
      </c>
      <c r="B110" s="2">
        <f>B11/'Output-Calculation-sheet'!B10*'Output-Calculation-sheet'!B91</f>
        <v>31166381592.737457</v>
      </c>
      <c r="C110" s="2">
        <f>C11/'Output-Calculation-sheet'!C10*'Output-Calculation-sheet'!C91</f>
        <v>22974177457.129539</v>
      </c>
      <c r="D110" s="2">
        <f>D11/'Output-Calculation-sheet'!D10*'Output-Calculation-sheet'!D91</f>
        <v>0</v>
      </c>
      <c r="E110" s="2">
        <f>E11/'Output-Calculation-sheet'!E10*'Output-Calculation-sheet'!E91</f>
        <v>659642748.91597164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11361090497.427197</v>
      </c>
      <c r="I110" s="2">
        <f>I11/'Output-Calculation-sheet'!I10*'Output-Calculation-sheet'!I91</f>
        <v>-1.0938000845734469E-6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530191037.32428473</v>
      </c>
      <c r="M110" s="2">
        <f>M11/'Output-Calculation-sheet'!M10*'Output-Calculation-sheet'!M91</f>
        <v>8040745282.7320404</v>
      </c>
      <c r="N110" s="2">
        <f>N11/'Output-Calculation-sheet'!N10*'Output-Calculation-sheet'!N91</f>
        <v>5564742959.0065813</v>
      </c>
      <c r="O110" s="2">
        <f>O11/'Output-Calculation-sheet'!O10*'Output-Calculation-sheet'!O91</f>
        <v>3528390558.042901</v>
      </c>
      <c r="P110" s="2">
        <f>P11/'Output-Calculation-sheet'!P10*'Output-Calculation-sheet'!P91</f>
        <v>0</v>
      </c>
      <c r="Q110" s="2">
        <f>Q11/'Output-Calculation-sheet'!Q10*'Output-Calculation-sheet'!Q91</f>
        <v>890823061.67217159</v>
      </c>
      <c r="R110" s="2">
        <f>R11/'Output-Calculation-sheet'!R10*'Output-Calculation-sheet'!R91</f>
        <v>0</v>
      </c>
      <c r="S110" s="2">
        <f>S11/'Output-Calculation-sheet'!S10*'Output-Calculation-sheet'!S91</f>
        <v>2724179293.5739245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784953045.31456041</v>
      </c>
      <c r="Y110" s="2">
        <f>Y11/'Output-Calculation-sheet'!Y10*'Output-Calculation-sheet'!Y91</f>
        <v>34905553.503310703</v>
      </c>
      <c r="AA110" s="2">
        <f t="shared" si="9"/>
        <v>88260.223087379927</v>
      </c>
    </row>
    <row r="111" spans="1:27" x14ac:dyDescent="0.25">
      <c r="A111" s="2">
        <v>2035</v>
      </c>
      <c r="B111" s="2">
        <f>B12/'Output-Calculation-sheet'!B11*'Output-Calculation-sheet'!B92</f>
        <v>24294287875.645763</v>
      </c>
      <c r="C111" s="2">
        <f>C12/'Output-Calculation-sheet'!C11*'Output-Calculation-sheet'!C92</f>
        <v>21300019916.312557</v>
      </c>
      <c r="D111" s="2">
        <f>D12/'Output-Calculation-sheet'!D11*'Output-Calculation-sheet'!D92</f>
        <v>-6.3587474716393952E-7</v>
      </c>
      <c r="E111" s="2">
        <f>E12/'Output-Calculation-sheet'!E11*'Output-Calculation-sheet'!E92</f>
        <v>1970466824.9307566</v>
      </c>
      <c r="F111" s="2">
        <f>F12/'Output-Calculation-sheet'!F11*'Output-Calculation-sheet'!F92</f>
        <v>-1.3969070328281031E-7</v>
      </c>
      <c r="G111" s="2">
        <f>G12/'Output-Calculation-sheet'!G11*'Output-Calculation-sheet'!G92</f>
        <v>0</v>
      </c>
      <c r="H111" s="2">
        <f>H12/'Output-Calculation-sheet'!H11*'Output-Calculation-sheet'!H92</f>
        <v>8853771819.1998806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958781428.89413118</v>
      </c>
      <c r="M111" s="2">
        <f>M12/'Output-Calculation-sheet'!M11*'Output-Calculation-sheet'!M92</f>
        <v>6309214934.5193434</v>
      </c>
      <c r="N111" s="2">
        <f>N12/'Output-Calculation-sheet'!N11*'Output-Calculation-sheet'!N92</f>
        <v>4442037709.704011</v>
      </c>
      <c r="O111" s="2">
        <f>O12/'Output-Calculation-sheet'!O11*'Output-Calculation-sheet'!O92</f>
        <v>3218577968.8444157</v>
      </c>
      <c r="P111" s="2">
        <f>P12/'Output-Calculation-sheet'!P11*'Output-Calculation-sheet'!P92</f>
        <v>190874397.18254876</v>
      </c>
      <c r="Q111" s="2">
        <f>Q12/'Output-Calculation-sheet'!Q11*'Output-Calculation-sheet'!Q92</f>
        <v>844182250.35386539</v>
      </c>
      <c r="R111" s="2">
        <f>R12/'Output-Calculation-sheet'!R11*'Output-Calculation-sheet'!R92</f>
        <v>0</v>
      </c>
      <c r="S111" s="2">
        <f>S12/'Output-Calculation-sheet'!S11*'Output-Calculation-sheet'!S92</f>
        <v>2122070737.9135435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616720432.50128412</v>
      </c>
      <c r="Y111" s="2">
        <f>Y12/'Output-Calculation-sheet'!Y11*'Output-Calculation-sheet'!Y92</f>
        <v>41762590.389124811</v>
      </c>
      <c r="AA111" s="2">
        <f t="shared" si="9"/>
        <v>75162.768886391234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54396220261.19532</v>
      </c>
      <c r="C118" s="2">
        <f>C8/'Output-Calculation-sheet'!C7*'Output-Calculation-sheet'!C97</f>
        <v>0</v>
      </c>
      <c r="D118" s="2">
        <f>D8/'Output-Calculation-sheet'!D7*'Output-Calculation-sheet'!D97</f>
        <v>23519896297.849522</v>
      </c>
      <c r="E118" s="2">
        <f>E8/'Output-Calculation-sheet'!E7*'Output-Calculation-sheet'!E97</f>
        <v>18660650988.567005</v>
      </c>
      <c r="F118" s="2">
        <f>F8/'Output-Calculation-sheet'!F7*'Output-Calculation-sheet'!F97</f>
        <v>12012530672.318819</v>
      </c>
      <c r="G118" s="2">
        <f>G8/'Output-Calculation-sheet'!G7*'Output-Calculation-sheet'!G97</f>
        <v>8440333725.3771868</v>
      </c>
      <c r="H118" s="2">
        <f>H8/'Output-Calculation-sheet'!H7*'Output-Calculation-sheet'!H97</f>
        <v>0</v>
      </c>
      <c r="I118" s="2">
        <f>I8/'Output-Calculation-sheet'!I7*'Output-Calculation-sheet'!I97</f>
        <v>7689808423.2663708</v>
      </c>
      <c r="J118" s="2">
        <f>J8/'Output-Calculation-sheet'!J7*'Output-Calculation-sheet'!J97</f>
        <v>7484729877.4735413</v>
      </c>
      <c r="K118" s="2">
        <f>K8/'Output-Calculation-sheet'!K7*'Output-Calculation-sheet'!K97</f>
        <v>7412973862.4553099</v>
      </c>
      <c r="L118" s="2">
        <f>L8/'Output-Calculation-sheet'!L7*'Output-Calculation-sheet'!L97</f>
        <v>5946784021.666748</v>
      </c>
      <c r="M118" s="2">
        <f>M8/'Output-Calculation-sheet'!M7*'Output-Calculation-sheet'!M97</f>
        <v>0</v>
      </c>
      <c r="N118" s="2">
        <f>N8/'Output-Calculation-sheet'!N7*'Output-Calculation-sheet'!N97</f>
        <v>3679178210.1391573</v>
      </c>
      <c r="O118" s="2">
        <f>O8/'Output-Calculation-sheet'!O7*'Output-Calculation-sheet'!O97</f>
        <v>0</v>
      </c>
      <c r="P118" s="2">
        <f>P8/'Output-Calculation-sheet'!P7*'Output-Calculation-sheet'!P97</f>
        <v>5075273559.3558083</v>
      </c>
      <c r="Q118" s="2">
        <f>Q8/'Output-Calculation-sheet'!Q7*'Output-Calculation-sheet'!Q97</f>
        <v>4993247989.741663</v>
      </c>
      <c r="R118" s="2">
        <f>R8/'Output-Calculation-sheet'!R7*'Output-Calculation-sheet'!R97</f>
        <v>4803734206.9801512</v>
      </c>
      <c r="S118" s="2">
        <f>S8/'Output-Calculation-sheet'!S7*'Output-Calculation-sheet'!S97</f>
        <v>2623214550.8855624</v>
      </c>
      <c r="T118" s="2">
        <f>T8/'Output-Calculation-sheet'!T7*'Output-Calculation-sheet'!T97</f>
        <v>1765811733.5424507</v>
      </c>
      <c r="U118" s="2">
        <f>U8/'Output-Calculation-sheet'!U7*'Output-Calculation-sheet'!U97</f>
        <v>1537961382.6834366</v>
      </c>
      <c r="V118" s="2">
        <f>V8/'Output-Calculation-sheet'!V7*'Output-Calculation-sheet'!V97</f>
        <v>1184261489.26285</v>
      </c>
      <c r="W118" s="2">
        <f>W8/'Output-Calculation-sheet'!W7*'Output-Calculation-sheet'!W97</f>
        <v>1025307588.1416088</v>
      </c>
      <c r="X118" s="2">
        <f>X8/'Output-Calculation-sheet'!X7*'Output-Calculation-sheet'!X97</f>
        <v>0</v>
      </c>
      <c r="Y118" s="2">
        <f>Y8/'Output-Calculation-sheet'!Y7*'Output-Calculation-sheet'!Y97</f>
        <v>598261059.83715367</v>
      </c>
      <c r="AA118" s="2">
        <f t="shared" si="10"/>
        <v>172850.17990073969</v>
      </c>
    </row>
    <row r="119" spans="1:27" x14ac:dyDescent="0.25">
      <c r="A119" s="2">
        <v>2032</v>
      </c>
      <c r="B119" s="2">
        <f>B9/'Output-Calculation-sheet'!B8*'Output-Calculation-sheet'!B98</f>
        <v>65478599185.031548</v>
      </c>
      <c r="C119" s="2">
        <f>C9/'Output-Calculation-sheet'!C8*'Output-Calculation-sheet'!C98</f>
        <v>0</v>
      </c>
      <c r="D119" s="2">
        <f>D9/'Output-Calculation-sheet'!D8*'Output-Calculation-sheet'!D98</f>
        <v>30354815982.085598</v>
      </c>
      <c r="E119" s="2">
        <f>E9/'Output-Calculation-sheet'!E8*'Output-Calculation-sheet'!E98</f>
        <v>24083460518.077423</v>
      </c>
      <c r="F119" s="2">
        <f>F9/'Output-Calculation-sheet'!F8*'Output-Calculation-sheet'!F98</f>
        <v>15503392562.034065</v>
      </c>
      <c r="G119" s="2">
        <f>G9/'Output-Calculation-sheet'!G8*'Output-Calculation-sheet'!G98</f>
        <v>10893109128.922485</v>
      </c>
      <c r="H119" s="2">
        <f>H9/'Output-Calculation-sheet'!H8*'Output-Calculation-sheet'!H98</f>
        <v>2.2870383087757852E-7</v>
      </c>
      <c r="I119" s="2">
        <f>I9/'Output-Calculation-sheet'!I8*'Output-Calculation-sheet'!I98</f>
        <v>9924480637.2922134</v>
      </c>
      <c r="J119" s="2">
        <f>J9/'Output-Calculation-sheet'!J8*'Output-Calculation-sheet'!J98</f>
        <v>9659802144.8580685</v>
      </c>
      <c r="K119" s="2">
        <f>K9/'Output-Calculation-sheet'!K8*'Output-Calculation-sheet'!K98</f>
        <v>9567195239.1046734</v>
      </c>
      <c r="L119" s="2">
        <f>L9/'Output-Calculation-sheet'!L8*'Output-Calculation-sheet'!L98</f>
        <v>7674930215.8202362</v>
      </c>
      <c r="M119" s="2">
        <f>M9/'Output-Calculation-sheet'!M8*'Output-Calculation-sheet'!M98</f>
        <v>0</v>
      </c>
      <c r="N119" s="2">
        <f>N9/'Output-Calculation-sheet'!N8*'Output-Calculation-sheet'!N98</f>
        <v>3745442212.2662177</v>
      </c>
      <c r="O119" s="2">
        <f>O9/'Output-Calculation-sheet'!O8*'Output-Calculation-sheet'!O98</f>
        <v>0</v>
      </c>
      <c r="P119" s="2">
        <f>P9/'Output-Calculation-sheet'!P8*'Output-Calculation-sheet'!P98</f>
        <v>6550112945.6367073</v>
      </c>
      <c r="Q119" s="2">
        <f>Q9/'Output-Calculation-sheet'!Q8*'Output-Calculation-sheet'!Q98</f>
        <v>6444293869.5570965</v>
      </c>
      <c r="R119" s="2">
        <f>R9/'Output-Calculation-sheet'!R8*'Output-Calculation-sheet'!R98</f>
        <v>6199707576.3688059</v>
      </c>
      <c r="S119" s="2">
        <f>S9/'Output-Calculation-sheet'!S8*'Output-Calculation-sheet'!S98</f>
        <v>3094010491.9991345</v>
      </c>
      <c r="T119" s="2">
        <f>T9/'Output-Calculation-sheet'!T8*'Output-Calculation-sheet'!T98</f>
        <v>2278959105.3377366</v>
      </c>
      <c r="U119" s="2">
        <f>U9/'Output-Calculation-sheet'!U8*'Output-Calculation-sheet'!U98</f>
        <v>1984895901.9355478</v>
      </c>
      <c r="V119" s="2">
        <f>V9/'Output-Calculation-sheet'!V8*'Output-Calculation-sheet'!V98</f>
        <v>1528409542.658776</v>
      </c>
      <c r="W119" s="2">
        <f>W9/'Output-Calculation-sheet'!W8*'Output-Calculation-sheet'!W98</f>
        <v>1323263726.6905212</v>
      </c>
      <c r="X119" s="2">
        <f>X9/'Output-Calculation-sheet'!X8*'Output-Calculation-sheet'!X98</f>
        <v>0</v>
      </c>
      <c r="Y119" s="2">
        <f>Y9/'Output-Calculation-sheet'!Y8*'Output-Calculation-sheet'!Y98</f>
        <v>772116445.27569926</v>
      </c>
      <c r="AA119" s="2">
        <f t="shared" si="10"/>
        <v>217060.99743095259</v>
      </c>
    </row>
    <row r="120" spans="1:27" x14ac:dyDescent="0.25">
      <c r="A120" s="2">
        <v>2033</v>
      </c>
      <c r="B120" s="2">
        <f>B10/'Output-Calculation-sheet'!B9*'Output-Calculation-sheet'!B99</f>
        <v>64464212731.1576</v>
      </c>
      <c r="C120" s="2">
        <f>C10/'Output-Calculation-sheet'!C9*'Output-Calculation-sheet'!C99</f>
        <v>0</v>
      </c>
      <c r="D120" s="2">
        <f>D10/'Output-Calculation-sheet'!D9*'Output-Calculation-sheet'!D99</f>
        <v>33884580182.867886</v>
      </c>
      <c r="E120" s="2">
        <f>E10/'Output-Calculation-sheet'!E9*'Output-Calculation-sheet'!E99</f>
        <v>26883972373.847786</v>
      </c>
      <c r="F120" s="2">
        <f>F10/'Output-Calculation-sheet'!F9*'Output-Calculation-sheet'!F99</f>
        <v>17306177739.055286</v>
      </c>
      <c r="G120" s="2">
        <f>G10/'Output-Calculation-sheet'!G9*'Output-Calculation-sheet'!G99</f>
        <v>12159795434.68869</v>
      </c>
      <c r="H120" s="2">
        <f>H10/'Output-Calculation-sheet'!H9*'Output-Calculation-sheet'!H99</f>
        <v>0</v>
      </c>
      <c r="I120" s="2">
        <f>I10/'Output-Calculation-sheet'!I9*'Output-Calculation-sheet'!I99</f>
        <v>11078532250.431673</v>
      </c>
      <c r="J120" s="2">
        <f>J10/'Output-Calculation-sheet'!J9*'Output-Calculation-sheet'!J99</f>
        <v>10783076044.067907</v>
      </c>
      <c r="K120" s="2">
        <f>K10/'Output-Calculation-sheet'!K9*'Output-Calculation-sheet'!K99</f>
        <v>10679701616.433706</v>
      </c>
      <c r="L120" s="2">
        <f>L10/'Output-Calculation-sheet'!L9*'Output-Calculation-sheet'!L99</f>
        <v>8567396615.5787268</v>
      </c>
      <c r="M120" s="2">
        <f>M10/'Output-Calculation-sheet'!M9*'Output-Calculation-sheet'!M99</f>
        <v>0</v>
      </c>
      <c r="N120" s="2">
        <f>N10/'Output-Calculation-sheet'!N9*'Output-Calculation-sheet'!N99</f>
        <v>3210784419.6484232</v>
      </c>
      <c r="O120" s="2">
        <f>O10/'Output-Calculation-sheet'!O9*'Output-Calculation-sheet'!O99</f>
        <v>0</v>
      </c>
      <c r="P120" s="2">
        <f>P10/'Output-Calculation-sheet'!P9*'Output-Calculation-sheet'!P99</f>
        <v>7311401913.8807468</v>
      </c>
      <c r="Q120" s="2">
        <f>Q10/'Output-Calculation-sheet'!Q9*'Output-Calculation-sheet'!Q99</f>
        <v>7036715969.6309986</v>
      </c>
      <c r="R120" s="2">
        <f>R10/'Output-Calculation-sheet'!R9*'Output-Calculation-sheet'!R99</f>
        <v>6920301694.8853779</v>
      </c>
      <c r="S120" s="2">
        <f>S10/'Output-Calculation-sheet'!S9*'Output-Calculation-sheet'!S99</f>
        <v>2661809626.32549</v>
      </c>
      <c r="T120" s="2">
        <f>T10/'Output-Calculation-sheet'!T9*'Output-Calculation-sheet'!T99</f>
        <v>2543942166.0143471</v>
      </c>
      <c r="U120" s="2">
        <f>U10/'Output-Calculation-sheet'!U9*'Output-Calculation-sheet'!U99</f>
        <v>2216187755.6332583</v>
      </c>
      <c r="V120" s="2">
        <f>V10/'Output-Calculation-sheet'!V9*'Output-Calculation-sheet'!V99</f>
        <v>1706138173.1559753</v>
      </c>
      <c r="W120" s="2">
        <f>W10/'Output-Calculation-sheet'!W9*'Output-Calculation-sheet'!W99</f>
        <v>1477137540.3018827</v>
      </c>
      <c r="X120" s="2">
        <f>X10/'Output-Calculation-sheet'!X9*'Output-Calculation-sheet'!X99</f>
        <v>0</v>
      </c>
      <c r="Y120" s="2">
        <f>Y10/'Output-Calculation-sheet'!Y9*'Output-Calculation-sheet'!Y99</f>
        <v>861902008.84063983</v>
      </c>
      <c r="AA120" s="2">
        <f t="shared" si="10"/>
        <v>231753.76625644646</v>
      </c>
    </row>
    <row r="121" spans="1:27" x14ac:dyDescent="0.25">
      <c r="A121" s="2">
        <v>2034</v>
      </c>
      <c r="B121" s="2">
        <f>B11/'Output-Calculation-sheet'!B10*'Output-Calculation-sheet'!B100</f>
        <v>48103337717.740608</v>
      </c>
      <c r="C121" s="2">
        <f>C11/'Output-Calculation-sheet'!C10*'Output-Calculation-sheet'!C100</f>
        <v>0</v>
      </c>
      <c r="D121" s="2">
        <f>D11/'Output-Calculation-sheet'!D10*'Output-Calculation-sheet'!D100</f>
        <v>33298403724.072414</v>
      </c>
      <c r="E121" s="2">
        <f>E11/'Output-Calculation-sheet'!E10*'Output-Calculation-sheet'!E100</f>
        <v>25763626726.863403</v>
      </c>
      <c r="F121" s="2">
        <f>F11/'Output-Calculation-sheet'!F10*'Output-Calculation-sheet'!F100</f>
        <v>17006925951.250452</v>
      </c>
      <c r="G121" s="2">
        <f>G11/'Output-Calculation-sheet'!G10*'Output-Calculation-sheet'!G100</f>
        <v>11948793196.765387</v>
      </c>
      <c r="H121" s="2">
        <f>H11/'Output-Calculation-sheet'!H10*'Output-Calculation-sheet'!H100</f>
        <v>0</v>
      </c>
      <c r="I121" s="2">
        <f>I11/'Output-Calculation-sheet'!I10*'Output-Calculation-sheet'!I100</f>
        <v>10886502098.555937</v>
      </c>
      <c r="J121" s="2">
        <f>J11/'Output-Calculation-sheet'!J10*'Output-Calculation-sheet'!J100</f>
        <v>10596272558.98568</v>
      </c>
      <c r="K121" s="2">
        <f>K11/'Output-Calculation-sheet'!K10*'Output-Calculation-sheet'!K100</f>
        <v>10494955530.121431</v>
      </c>
      <c r="L121" s="2">
        <f>L11/'Output-Calculation-sheet'!L10*'Output-Calculation-sheet'!L100</f>
        <v>7888758984.2723389</v>
      </c>
      <c r="M121" s="2">
        <f>M11/'Output-Calculation-sheet'!M10*'Output-Calculation-sheet'!M100</f>
        <v>5.636200101095267E-7</v>
      </c>
      <c r="N121" s="2">
        <f>N11/'Output-Calculation-sheet'!N10*'Output-Calculation-sheet'!N100</f>
        <v>2327225020.1982698</v>
      </c>
      <c r="O121" s="2">
        <f>O11/'Output-Calculation-sheet'!O10*'Output-Calculation-sheet'!O100</f>
        <v>0</v>
      </c>
      <c r="P121" s="2">
        <f>P11/'Output-Calculation-sheet'!P10*'Output-Calculation-sheet'!P100</f>
        <v>7184617414.6479883</v>
      </c>
      <c r="Q121" s="2">
        <f>Q11/'Output-Calculation-sheet'!Q10*'Output-Calculation-sheet'!Q100</f>
        <v>5953933648.7174196</v>
      </c>
      <c r="R121" s="2">
        <f>R11/'Output-Calculation-sheet'!R10*'Output-Calculation-sheet'!R100</f>
        <v>6800292348.3126106</v>
      </c>
      <c r="S121" s="2">
        <f>S11/'Output-Calculation-sheet'!S10*'Output-Calculation-sheet'!S100</f>
        <v>1795472812.8444762</v>
      </c>
      <c r="T121" s="2">
        <f>T11/'Output-Calculation-sheet'!T10*'Output-Calculation-sheet'!T100</f>
        <v>2499785744.7128477</v>
      </c>
      <c r="U121" s="2">
        <f>U11/'Output-Calculation-sheet'!U10*'Output-Calculation-sheet'!U100</f>
        <v>2106659292.9598868</v>
      </c>
      <c r="V121" s="2">
        <f>V11/'Output-Calculation-sheet'!V10*'Output-Calculation-sheet'!V100</f>
        <v>1677098280.7096918</v>
      </c>
      <c r="W121" s="2">
        <f>W11/'Output-Calculation-sheet'!W10*'Output-Calculation-sheet'!W100</f>
        <v>1451627343.7735806</v>
      </c>
      <c r="X121" s="2">
        <f>X11/'Output-Calculation-sheet'!X10*'Output-Calculation-sheet'!X100</f>
        <v>55904258.664540991</v>
      </c>
      <c r="Y121" s="2">
        <f>Y11/'Output-Calculation-sheet'!Y10*'Output-Calculation-sheet'!Y100</f>
        <v>812070933.14080727</v>
      </c>
      <c r="AA121" s="2">
        <f t="shared" si="10"/>
        <v>208652.2635873098</v>
      </c>
    </row>
    <row r="122" spans="1:27" x14ac:dyDescent="0.25">
      <c r="A122" s="2">
        <v>2035</v>
      </c>
      <c r="B122" s="2">
        <f>B12/'Output-Calculation-sheet'!B11*'Output-Calculation-sheet'!B101</f>
        <v>36395651784.004143</v>
      </c>
      <c r="C122" s="2">
        <f>C12/'Output-Calculation-sheet'!C11*'Output-Calculation-sheet'!C101</f>
        <v>0</v>
      </c>
      <c r="D122" s="2">
        <f>D12/'Output-Calculation-sheet'!D11*'Output-Calculation-sheet'!D101</f>
        <v>25469098390.657318</v>
      </c>
      <c r="E122" s="2">
        <f>E12/'Output-Calculation-sheet'!E11*'Output-Calculation-sheet'!E101</f>
        <v>19779066573.114697</v>
      </c>
      <c r="F122" s="2">
        <f>F12/'Output-Calculation-sheet'!F11*'Output-Calculation-sheet'!F101</f>
        <v>13474555658.866489</v>
      </c>
      <c r="G122" s="2">
        <f>G12/'Output-Calculation-sheet'!G11*'Output-Calculation-sheet'!G101</f>
        <v>9130060925.8907795</v>
      </c>
      <c r="H122" s="2">
        <f>H12/'Output-Calculation-sheet'!H11*'Output-Calculation-sheet'!H101</f>
        <v>0</v>
      </c>
      <c r="I122" s="2">
        <f>I12/'Output-Calculation-sheet'!I11*'Output-Calculation-sheet'!I101</f>
        <v>8377546804.8395491</v>
      </c>
      <c r="J122" s="2">
        <f>J12/'Output-Calculation-sheet'!J11*'Output-Calculation-sheet'!J101</f>
        <v>8386692734.8339987</v>
      </c>
      <c r="K122" s="2">
        <f>K12/'Output-Calculation-sheet'!K11*'Output-Calculation-sheet'!K101</f>
        <v>8233831216.5843105</v>
      </c>
      <c r="L122" s="2">
        <f>L12/'Output-Calculation-sheet'!L11*'Output-Calculation-sheet'!L101</f>
        <v>5964875442.9748306</v>
      </c>
      <c r="M122" s="2">
        <f>M12/'Output-Calculation-sheet'!M11*'Output-Calculation-sheet'!M101</f>
        <v>0</v>
      </c>
      <c r="N122" s="2">
        <f>N12/'Output-Calculation-sheet'!N11*'Output-Calculation-sheet'!N101</f>
        <v>1736796480.8518708</v>
      </c>
      <c r="O122" s="2">
        <f>O12/'Output-Calculation-sheet'!O11*'Output-Calculation-sheet'!O101</f>
        <v>0</v>
      </c>
      <c r="P122" s="2">
        <f>P12/'Output-Calculation-sheet'!P11*'Output-Calculation-sheet'!P101</f>
        <v>5536919291.2778444</v>
      </c>
      <c r="Q122" s="2">
        <f>Q12/'Output-Calculation-sheet'!Q11*'Output-Calculation-sheet'!Q101</f>
        <v>4476314635.2541418</v>
      </c>
      <c r="R122" s="2">
        <f>R12/'Output-Calculation-sheet'!R11*'Output-Calculation-sheet'!R101</f>
        <v>5484334906.1522217</v>
      </c>
      <c r="S122" s="2">
        <f>S12/'Output-Calculation-sheet'!S11*'Output-Calculation-sheet'!S101</f>
        <v>1311841278.2322912</v>
      </c>
      <c r="T122" s="2">
        <f>T12/'Output-Calculation-sheet'!T11*'Output-Calculation-sheet'!T101</f>
        <v>2046567886.9688253</v>
      </c>
      <c r="U122" s="2">
        <f>U12/'Output-Calculation-sheet'!U11*'Output-Calculation-sheet'!U101</f>
        <v>1616362127.5010896</v>
      </c>
      <c r="V122" s="2">
        <f>V12/'Output-Calculation-sheet'!V11*'Output-Calculation-sheet'!V101</f>
        <v>1407476215.6451137</v>
      </c>
      <c r="W122" s="2">
        <f>W12/'Output-Calculation-sheet'!W11*'Output-Calculation-sheet'!W101</f>
        <v>1186183550.8963549</v>
      </c>
      <c r="X122" s="2">
        <f>X12/'Output-Calculation-sheet'!X11*'Output-Calculation-sheet'!X101</f>
        <v>41823376.593491413</v>
      </c>
      <c r="Y122" s="2">
        <f>Y12/'Output-Calculation-sheet'!Y11*'Output-Calculation-sheet'!Y101</f>
        <v>626593959.76502502</v>
      </c>
      <c r="AA122" s="2">
        <f t="shared" si="10"/>
        <v>160682.59324090439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55998217769.105721</v>
      </c>
      <c r="C129" s="2">
        <f>C8/'Output-Calculation-sheet'!C7*'Output-Calculation-sheet'!C106</f>
        <v>32821584658.16629</v>
      </c>
      <c r="D129" s="2">
        <f>D8/'Output-Calculation-sheet'!D7*'Output-Calculation-sheet'!D106</f>
        <v>23519896297.849522</v>
      </c>
      <c r="E129" s="2">
        <f>E8/'Output-Calculation-sheet'!E7*'Output-Calculation-sheet'!E106</f>
        <v>18660650988.567005</v>
      </c>
      <c r="F129" s="2">
        <f>F8/'Output-Calculation-sheet'!F7*'Output-Calculation-sheet'!F106</f>
        <v>12012530672.318819</v>
      </c>
      <c r="G129" s="2">
        <f>G8/'Output-Calculation-sheet'!G7*'Output-Calculation-sheet'!G106</f>
        <v>8440333725.3771868</v>
      </c>
      <c r="H129" s="2">
        <f>H8/'Output-Calculation-sheet'!H7*'Output-Calculation-sheet'!H106</f>
        <v>8233221551.8438683</v>
      </c>
      <c r="I129" s="2">
        <f>I8/'Output-Calculation-sheet'!I7*'Output-Calculation-sheet'!I106</f>
        <v>7689808423.2663708</v>
      </c>
      <c r="J129" s="2">
        <f>J8/'Output-Calculation-sheet'!J7*'Output-Calculation-sheet'!J106</f>
        <v>7484729877.4735413</v>
      </c>
      <c r="K129" s="2">
        <f>K8/'Output-Calculation-sheet'!K7*'Output-Calculation-sheet'!K106</f>
        <v>7412973862.4553099</v>
      </c>
      <c r="L129" s="2">
        <f>L8/'Output-Calculation-sheet'!L7*'Output-Calculation-sheet'!L106</f>
        <v>5946784021.666748</v>
      </c>
      <c r="M129" s="2">
        <f>M8/'Output-Calculation-sheet'!M7*'Output-Calculation-sheet'!M106</f>
        <v>5680205155.319437</v>
      </c>
      <c r="N129" s="2">
        <f>N8/'Output-Calculation-sheet'!N7*'Output-Calculation-sheet'!N106</f>
        <v>5575106035.2384386</v>
      </c>
      <c r="O129" s="2">
        <f>O8/'Output-Calculation-sheet'!O7*'Output-Calculation-sheet'!O106</f>
        <v>7150522584.805624</v>
      </c>
      <c r="P129" s="2">
        <f>P8/'Output-Calculation-sheet'!P7*'Output-Calculation-sheet'!P106</f>
        <v>5075273559.3558083</v>
      </c>
      <c r="Q129" s="2">
        <f>Q8/'Output-Calculation-sheet'!Q7*'Output-Calculation-sheet'!Q106</f>
        <v>4993247989.741663</v>
      </c>
      <c r="R129" s="2">
        <f>R8/'Output-Calculation-sheet'!R7*'Output-Calculation-sheet'!R106</f>
        <v>4803734206.9801512</v>
      </c>
      <c r="S129" s="2">
        <f>S8/'Output-Calculation-sheet'!S7*'Output-Calculation-sheet'!S106</f>
        <v>3192807838.1241684</v>
      </c>
      <c r="T129" s="2">
        <f>T8/'Output-Calculation-sheet'!T7*'Output-Calculation-sheet'!T106</f>
        <v>1765811733.5424507</v>
      </c>
      <c r="U129" s="2">
        <f>U8/'Output-Calculation-sheet'!U7*'Output-Calculation-sheet'!U106</f>
        <v>1537961382.6834366</v>
      </c>
      <c r="V129" s="2">
        <f>V8/'Output-Calculation-sheet'!V7*'Output-Calculation-sheet'!V106</f>
        <v>1184261489.26285</v>
      </c>
      <c r="W129" s="2">
        <f>W8/'Output-Calculation-sheet'!W7*'Output-Calculation-sheet'!W106</f>
        <v>1025307588.1416088</v>
      </c>
      <c r="X129" s="2">
        <f>X8/'Output-Calculation-sheet'!X7*'Output-Calculation-sheet'!X106</f>
        <v>615184673.86131048</v>
      </c>
      <c r="Y129" s="2">
        <f>Y8/'Output-Calculation-sheet'!Y7*'Output-Calculation-sheet'!Y106</f>
        <v>598261059.83715367</v>
      </c>
      <c r="AA129" s="2">
        <f t="shared" si="11"/>
        <v>231418.4171449845</v>
      </c>
    </row>
    <row r="130" spans="1:27" x14ac:dyDescent="0.25">
      <c r="A130" s="2">
        <v>2032</v>
      </c>
      <c r="B130" s="2">
        <f>B9/'Output-Calculation-sheet'!B8*'Output-Calculation-sheet'!B107</f>
        <v>43362836192.983093</v>
      </c>
      <c r="C130" s="2">
        <f>C9/'Output-Calculation-sheet'!C8*'Output-Calculation-sheet'!C107</f>
        <v>32610022855.63575</v>
      </c>
      <c r="D130" s="2">
        <f>D9/'Output-Calculation-sheet'!D8*'Output-Calculation-sheet'!D107</f>
        <v>18212885792.703297</v>
      </c>
      <c r="E130" s="2">
        <f>E9/'Output-Calculation-sheet'!E8*'Output-Calculation-sheet'!E107</f>
        <v>14450074802.224928</v>
      </c>
      <c r="F130" s="2">
        <f>F9/'Output-Calculation-sheet'!F8*'Output-Calculation-sheet'!F107</f>
        <v>9302036486.0399265</v>
      </c>
      <c r="G130" s="2">
        <f>G9/'Output-Calculation-sheet'!G8*'Output-Calculation-sheet'!G107</f>
        <v>6535866158.305172</v>
      </c>
      <c r="H130" s="2">
        <f>H9/'Output-Calculation-sheet'!H8*'Output-Calculation-sheet'!H107</f>
        <v>6375484885.9433298</v>
      </c>
      <c r="I130" s="2">
        <f>I9/'Output-Calculation-sheet'!I8*'Output-Calculation-sheet'!I107</f>
        <v>5954687769.8999462</v>
      </c>
      <c r="J130" s="2">
        <f>J9/'Output-Calculation-sheet'!J8*'Output-Calculation-sheet'!J107</f>
        <v>5795880680.7653008</v>
      </c>
      <c r="K130" s="2">
        <f>K9/'Output-Calculation-sheet'!K8*'Output-Calculation-sheet'!K107</f>
        <v>5740317143.4628038</v>
      </c>
      <c r="L130" s="2">
        <f>L9/'Output-Calculation-sheet'!L8*'Output-Calculation-sheet'!L107</f>
        <v>4604957650.836916</v>
      </c>
      <c r="M130" s="2">
        <f>M9/'Output-Calculation-sheet'!M8*'Output-Calculation-sheet'!M107</f>
        <v>4398529935.2909317</v>
      </c>
      <c r="N130" s="2">
        <f>N9/'Output-Calculation-sheet'!N8*'Output-Calculation-sheet'!N107</f>
        <v>4317142477.8942051</v>
      </c>
      <c r="O130" s="2">
        <f>O9/'Output-Calculation-sheet'!O8*'Output-Calculation-sheet'!O107</f>
        <v>7101258606.6832352</v>
      </c>
      <c r="P130" s="2">
        <f>P9/'Output-Calculation-sheet'!P8*'Output-Calculation-sheet'!P107</f>
        <v>3930092907.6719041</v>
      </c>
      <c r="Q130" s="2">
        <f>Q9/'Output-Calculation-sheet'!Q8*'Output-Calculation-sheet'!Q107</f>
        <v>3866577494.3429508</v>
      </c>
      <c r="R130" s="2">
        <f>R9/'Output-Calculation-sheet'!R8*'Output-Calculation-sheet'!R107</f>
        <v>3719824933.4413385</v>
      </c>
      <c r="S130" s="2">
        <f>S9/'Output-Calculation-sheet'!S8*'Output-Calculation-sheet'!S107</f>
        <v>2472385884.3555031</v>
      </c>
      <c r="T130" s="2">
        <f>T9/'Output-Calculation-sheet'!T8*'Output-Calculation-sheet'!T107</f>
        <v>1367375750.0142446</v>
      </c>
      <c r="U130" s="2">
        <f>U9/'Output-Calculation-sheet'!U8*'Output-Calculation-sheet'!U107</f>
        <v>1190937167.0275075</v>
      </c>
      <c r="V130" s="2">
        <f>V9/'Output-Calculation-sheet'!V8*'Output-Calculation-sheet'!V107</f>
        <v>917045437.10415757</v>
      </c>
      <c r="W130" s="2">
        <f>W9/'Output-Calculation-sheet'!W8*'Output-Calculation-sheet'!W107</f>
        <v>793958319.28484762</v>
      </c>
      <c r="X130" s="2">
        <f>X9/'Output-Calculation-sheet'!X8*'Output-Calculation-sheet'!X107</f>
        <v>476374898.10053575</v>
      </c>
      <c r="Y130" s="2">
        <f>Y9/'Output-Calculation-sheet'!Y8*'Output-Calculation-sheet'!Y107</f>
        <v>463269915.21865135</v>
      </c>
      <c r="AA130" s="2">
        <f t="shared" si="11"/>
        <v>187959.82414523044</v>
      </c>
    </row>
    <row r="131" spans="1:27" x14ac:dyDescent="0.25">
      <c r="A131" s="2">
        <v>2033</v>
      </c>
      <c r="B131" s="2">
        <f>B10/'Output-Calculation-sheet'!B9*'Output-Calculation-sheet'!B108</f>
        <v>26891793650.483841</v>
      </c>
      <c r="C131" s="2">
        <f>C10/'Output-Calculation-sheet'!C9*'Output-Calculation-sheet'!C108</f>
        <v>28140306962.179405</v>
      </c>
      <c r="D131" s="2">
        <f>D10/'Output-Calculation-sheet'!D9*'Output-Calculation-sheet'!D108</f>
        <v>11294863004.028</v>
      </c>
      <c r="E131" s="2">
        <f>E10/'Output-Calculation-sheet'!E9*'Output-Calculation-sheet'!E108</f>
        <v>8961324124.6159286</v>
      </c>
      <c r="F131" s="2">
        <f>F10/'Output-Calculation-sheet'!F9*'Output-Calculation-sheet'!F108</f>
        <v>5768725913.0184288</v>
      </c>
      <c r="G131" s="2">
        <f>G10/'Output-Calculation-sheet'!G9*'Output-Calculation-sheet'!G108</f>
        <v>4053265144.8962297</v>
      </c>
      <c r="H131" s="2">
        <f>H10/'Output-Calculation-sheet'!H9*'Output-Calculation-sheet'!H108</f>
        <v>3953804557.0355549</v>
      </c>
      <c r="I131" s="2">
        <f>I10/'Output-Calculation-sheet'!I9*'Output-Calculation-sheet'!I108</f>
        <v>3692845033.0551758</v>
      </c>
      <c r="J131" s="2">
        <f>J10/'Output-Calculation-sheet'!J9*'Output-Calculation-sheet'!J108</f>
        <v>3594359621.1263785</v>
      </c>
      <c r="K131" s="2">
        <f>K10/'Output-Calculation-sheet'!K9*'Output-Calculation-sheet'!K108</f>
        <v>3559900538.811235</v>
      </c>
      <c r="L131" s="2">
        <f>L10/'Output-Calculation-sheet'!L9*'Output-Calculation-sheet'!L108</f>
        <v>2855799613.9636073</v>
      </c>
      <c r="M131" s="2">
        <f>M10/'Output-Calculation-sheet'!M9*'Output-Calculation-sheet'!M108</f>
        <v>2727780478.9510579</v>
      </c>
      <c r="N131" s="2">
        <f>N10/'Output-Calculation-sheet'!N9*'Output-Calculation-sheet'!N108</f>
        <v>2677308143.2761154</v>
      </c>
      <c r="O131" s="2">
        <f>O10/'Output-Calculation-sheet'!O9*'Output-Calculation-sheet'!O108</f>
        <v>6340567972.452404</v>
      </c>
      <c r="P131" s="2">
        <f>P10/'Output-Calculation-sheet'!P9*'Output-Calculation-sheet'!P108</f>
        <v>2437277740.1935792</v>
      </c>
      <c r="Q131" s="2">
        <f>Q10/'Output-Calculation-sheet'!Q9*'Output-Calculation-sheet'!Q108</f>
        <v>2397886904.4095106</v>
      </c>
      <c r="R131" s="2">
        <f>R10/'Output-Calculation-sheet'!R9*'Output-Calculation-sheet'!R108</f>
        <v>2306876607.0180779</v>
      </c>
      <c r="S131" s="2">
        <f>S10/'Output-Calculation-sheet'!S9*'Output-Calculation-sheet'!S108</f>
        <v>1533268963.6908021</v>
      </c>
      <c r="T131" s="2">
        <f>T10/'Output-Calculation-sheet'!T9*'Output-Calculation-sheet'!T108</f>
        <v>847987836.73906291</v>
      </c>
      <c r="U131" s="2">
        <f>U10/'Output-Calculation-sheet'!U9*'Output-Calculation-sheet'!U108</f>
        <v>738568576.72397399</v>
      </c>
      <c r="V131" s="2">
        <f>V10/'Output-Calculation-sheet'!V9*'Output-Calculation-sheet'!V108</f>
        <v>568712575.29372942</v>
      </c>
      <c r="W131" s="2">
        <f>W10/'Output-Calculation-sheet'!W9*'Output-Calculation-sheet'!W108</f>
        <v>492379050.99851775</v>
      </c>
      <c r="X131" s="2">
        <f>X10/'Output-Calculation-sheet'!X9*'Output-Calculation-sheet'!X108</f>
        <v>295427372.89196026</v>
      </c>
      <c r="Y131" s="2">
        <f>Y10/'Output-Calculation-sheet'!Y9*'Output-Calculation-sheet'!Y108</f>
        <v>287300222.60498905</v>
      </c>
      <c r="AA131" s="2">
        <f t="shared" si="11"/>
        <v>126418.33060845756</v>
      </c>
    </row>
    <row r="132" spans="1:27" x14ac:dyDescent="0.25">
      <c r="A132" s="2">
        <v>2034</v>
      </c>
      <c r="B132" s="2">
        <f>B11/'Output-Calculation-sheet'!B10*'Output-Calculation-sheet'!B109</f>
        <v>11325678658.360886</v>
      </c>
      <c r="C132" s="2">
        <f>C11/'Output-Calculation-sheet'!C10*'Output-Calculation-sheet'!C109</f>
        <v>20941077186.789646</v>
      </c>
      <c r="D132" s="2">
        <f>D11/'Output-Calculation-sheet'!D10*'Output-Calculation-sheet'!D109</f>
        <v>4756915455.1802502</v>
      </c>
      <c r="E132" s="2">
        <f>E11/'Output-Calculation-sheet'!E10*'Output-Calculation-sheet'!E109</f>
        <v>3774129402.1100211</v>
      </c>
      <c r="F132" s="2">
        <f>F11/'Output-Calculation-sheet'!F10*'Output-Calculation-sheet'!F109</f>
        <v>2429542529.4607277</v>
      </c>
      <c r="G132" s="2">
        <f>G11/'Output-Calculation-sheet'!G10*'Output-Calculation-sheet'!G109</f>
        <v>1707063524.9746687</v>
      </c>
      <c r="H132" s="2">
        <f>H11/'Output-Calculation-sheet'!H10*'Output-Calculation-sheet'!H109</f>
        <v>2022932673.3430407</v>
      </c>
      <c r="I132" s="2">
        <f>I11/'Output-Calculation-sheet'!I10*'Output-Calculation-sheet'!I109</f>
        <v>1555269123.4333348</v>
      </c>
      <c r="J132" s="2">
        <f>J11/'Output-Calculation-sheet'!J10*'Output-Calculation-sheet'!J109</f>
        <v>1513791490.0876799</v>
      </c>
      <c r="K132" s="2">
        <f>K11/'Output-Calculation-sheet'!K10*'Output-Calculation-sheet'!K109</f>
        <v>1499279260.3732677</v>
      </c>
      <c r="L132" s="2">
        <f>L11/'Output-Calculation-sheet'!L10*'Output-Calculation-sheet'!L109</f>
        <v>1202741409.5546341</v>
      </c>
      <c r="M132" s="2">
        <f>M11/'Output-Calculation-sheet'!M10*'Output-Calculation-sheet'!M109</f>
        <v>1148825370.5533917</v>
      </c>
      <c r="N132" s="2">
        <f>N11/'Output-Calculation-sheet'!N10*'Output-Calculation-sheet'!N109</f>
        <v>1127568914.3757284</v>
      </c>
      <c r="O132" s="2">
        <f>O11/'Output-Calculation-sheet'!O10*'Output-Calculation-sheet'!O109</f>
        <v>4969970817.6677208</v>
      </c>
      <c r="P132" s="2">
        <f>P11/'Output-Calculation-sheet'!P10*'Output-Calculation-sheet'!P109</f>
        <v>1026477623.0139377</v>
      </c>
      <c r="Q132" s="2">
        <f>Q11/'Output-Calculation-sheet'!Q10*'Output-Calculation-sheet'!Q109</f>
        <v>1264172503.3250315</v>
      </c>
      <c r="R132" s="2">
        <f>R11/'Output-Calculation-sheet'!R10*'Output-Calculation-sheet'!R109</f>
        <v>971558674.74313629</v>
      </c>
      <c r="S132" s="2">
        <f>S11/'Output-Calculation-sheet'!S10*'Output-Calculation-sheet'!S109</f>
        <v>645747715.28261566</v>
      </c>
      <c r="T132" s="2">
        <f>T11/'Output-Calculation-sheet'!T10*'Output-Calculation-sheet'!T109</f>
        <v>357136600.54149967</v>
      </c>
      <c r="U132" s="2">
        <f>U11/'Output-Calculation-sheet'!U10*'Output-Calculation-sheet'!U109</f>
        <v>392814832.92129964</v>
      </c>
      <c r="V132" s="2">
        <f>V11/'Output-Calculation-sheet'!V10*'Output-Calculation-sheet'!V109</f>
        <v>239517638.18969667</v>
      </c>
      <c r="W132" s="2">
        <f>W11/'Output-Calculation-sheet'!W10*'Output-Calculation-sheet'!W109</f>
        <v>207369192.30505133</v>
      </c>
      <c r="X132" s="2">
        <f>X11/'Output-Calculation-sheet'!X10*'Output-Calculation-sheet'!X109</f>
        <v>164660079.58975109</v>
      </c>
      <c r="Y132" s="2">
        <f>Y11/'Output-Calculation-sheet'!Y10*'Output-Calculation-sheet'!Y109</f>
        <v>120998698.37331021</v>
      </c>
      <c r="AA132" s="2">
        <f t="shared" si="11"/>
        <v>65365.239374550336</v>
      </c>
    </row>
    <row r="133" spans="1:27" x14ac:dyDescent="0.25">
      <c r="A133" s="2">
        <v>2035</v>
      </c>
      <c r="B133" s="2">
        <f>B12/'Output-Calculation-sheet'!B11*'Output-Calculation-sheet'!B110</f>
        <v>9158834958.270895</v>
      </c>
      <c r="C133" s="2">
        <f>C12/'Output-Calculation-sheet'!C11*'Output-Calculation-sheet'!C110</f>
        <v>11806884674.026596</v>
      </c>
      <c r="D133" s="2">
        <f>D12/'Output-Calculation-sheet'!D11*'Output-Calculation-sheet'!D110</f>
        <v>3482760022.2610793</v>
      </c>
      <c r="E133" s="2">
        <f>E12/'Output-Calculation-sheet'!E11*'Output-Calculation-sheet'!E110</f>
        <v>1719025876.8905859</v>
      </c>
      <c r="F133" s="2">
        <f>F12/'Output-Calculation-sheet'!F11*'Output-Calculation-sheet'!F110</f>
        <v>1407974392.7322598</v>
      </c>
      <c r="G133" s="2">
        <f>G12/'Output-Calculation-sheet'!G11*'Output-Calculation-sheet'!G110</f>
        <v>1328780916.0222788</v>
      </c>
      <c r="H133" s="2">
        <f>H12/'Output-Calculation-sheet'!H11*'Output-Calculation-sheet'!H110</f>
        <v>1449881587.9758296</v>
      </c>
      <c r="I133" s="2">
        <f>I12/'Output-Calculation-sheet'!I11*'Output-Calculation-sheet'!I110</f>
        <v>1140474568.2507932</v>
      </c>
      <c r="J133" s="2">
        <f>J12/'Output-Calculation-sheet'!J11*'Output-Calculation-sheet'!J110</f>
        <v>829843561.41760767</v>
      </c>
      <c r="K133" s="2">
        <f>K12/'Output-Calculation-sheet'!K11*'Output-Calculation-sheet'!K110</f>
        <v>915396789.13563323</v>
      </c>
      <c r="L133" s="2">
        <f>L12/'Output-Calculation-sheet'!L11*'Output-Calculation-sheet'!L110</f>
        <v>400432426.51223665</v>
      </c>
      <c r="M133" s="2">
        <f>M12/'Output-Calculation-sheet'!M11*'Output-Calculation-sheet'!M110</f>
        <v>797512834.39622235</v>
      </c>
      <c r="N133" s="2">
        <f>N12/'Output-Calculation-sheet'!N11*'Output-Calculation-sheet'!N110</f>
        <v>724963243.75894165</v>
      </c>
      <c r="O133" s="2">
        <f>O12/'Output-Calculation-sheet'!O11*'Output-Calculation-sheet'!O110</f>
        <v>3200030549.1464248</v>
      </c>
      <c r="P133" s="2">
        <f>P12/'Output-Calculation-sheet'!P11*'Output-Calculation-sheet'!P110</f>
        <v>613016103.63770032</v>
      </c>
      <c r="Q133" s="2">
        <f>Q12/'Output-Calculation-sheet'!Q11*'Output-Calculation-sheet'!Q110</f>
        <v>881026366.16652834</v>
      </c>
      <c r="R133" s="2">
        <f>R12/'Output-Calculation-sheet'!R11*'Output-Calculation-sheet'!R110</f>
        <v>460800070.84772301</v>
      </c>
      <c r="S133" s="2">
        <f>S12/'Output-Calculation-sheet'!S11*'Output-Calculation-sheet'!S110</f>
        <v>535942695.6956628</v>
      </c>
      <c r="T133" s="2">
        <f>T12/'Output-Calculation-sheet'!T11*'Output-Calculation-sheet'!T110</f>
        <v>128306026.67179658</v>
      </c>
      <c r="U133" s="2">
        <f>U12/'Output-Calculation-sheet'!U11*'Output-Calculation-sheet'!U110</f>
        <v>296946757.98079556</v>
      </c>
      <c r="V133" s="2">
        <f>V12/'Output-Calculation-sheet'!V11*'Output-Calculation-sheet'!V110</f>
        <v>44404347.981923707</v>
      </c>
      <c r="W133" s="2">
        <f>W12/'Output-Calculation-sheet'!W11*'Output-Calculation-sheet'!W110</f>
        <v>88953824.417897403</v>
      </c>
      <c r="X133" s="2">
        <f>X12/'Output-Calculation-sheet'!X11*'Output-Calculation-sheet'!X110</f>
        <v>123713867.79353397</v>
      </c>
      <c r="Y133" s="2">
        <f>Y12/'Output-Calculation-sheet'!Y11*'Output-Calculation-sheet'!Y110</f>
        <v>87355756.653048828</v>
      </c>
      <c r="AA133" s="2">
        <f t="shared" si="11"/>
        <v>41623.262218644006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1259.365531279843</v>
      </c>
      <c r="C19" s="2">
        <f>C8/'Output-Calculation-sheet'!C7*'Output-Calculation-sheet'!C25</f>
        <v>14411.158518203531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5650.2008309705052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3925.2177821860287</v>
      </c>
      <c r="N19" s="2">
        <f>N8/'Output-Calculation-sheet'!N7*'Output-Calculation-sheet'!N25</f>
        <v>1344.1469305408059</v>
      </c>
      <c r="O19" s="2">
        <f>O8/'Output-Calculation-sheet'!O7*'Output-Calculation-sheet'!O25</f>
        <v>2215.5042891719481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479.61284375721914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439.06400430553578</v>
      </c>
      <c r="Y19" s="2">
        <f>Y8/'Output-Calculation-sheet'!Y7*'Output-Calculation-sheet'!Y25</f>
        <v>0</v>
      </c>
      <c r="AA19" s="2">
        <f t="shared" si="0"/>
        <v>29.724270730415416</v>
      </c>
    </row>
    <row r="20" spans="1:27" x14ac:dyDescent="0.25">
      <c r="A20" s="2">
        <v>2032</v>
      </c>
      <c r="B20" s="2">
        <f>B9/'Output-Calculation-sheet'!B8*'Output-Calculation-sheet'!B26</f>
        <v>6958.2953931066086</v>
      </c>
      <c r="C20" s="2">
        <f>C9/'Output-Calculation-sheet'!C8*'Output-Calculation-sheet'!C26</f>
        <v>16456.009564281379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7560.324223172609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5260.2368632954895</v>
      </c>
      <c r="N20" s="2">
        <f>N9/'Output-Calculation-sheet'!N8*'Output-Calculation-sheet'!N26</f>
        <v>2373.8505469149318</v>
      </c>
      <c r="O20" s="2">
        <f>O9/'Output-Calculation-sheet'!O8*'Output-Calculation-sheet'!O26</f>
        <v>2607.2210079822544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858.31435462361833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588.49131008100608</v>
      </c>
      <c r="Y20" s="2">
        <f>Y9/'Output-Calculation-sheet'!Y8*'Output-Calculation-sheet'!Y26</f>
        <v>0</v>
      </c>
      <c r="AA20" s="2">
        <f t="shared" si="0"/>
        <v>42.662743263457898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18126.046728777656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9032.2011312537379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6272.9519059796085</v>
      </c>
      <c r="N21" s="2">
        <f>N10/'Output-Calculation-sheet'!N9*'Output-Calculation-sheet'!N27</f>
        <v>3431.2287207225941</v>
      </c>
      <c r="O21" s="2">
        <f>O10/'Output-Calculation-sheet'!O9*'Output-Calculation-sheet'!O27</f>
        <v>2782.570793980593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1493.8091305074659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737.69881428169106</v>
      </c>
      <c r="Y21" s="2">
        <f>Y10/'Output-Calculation-sheet'!Y9*'Output-Calculation-sheet'!Y27</f>
        <v>0</v>
      </c>
      <c r="AA21" s="2">
        <f t="shared" si="0"/>
        <v>57.733007145566162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19407.54000859203</v>
      </c>
      <c r="D22" s="2">
        <f>D11/'Output-Calculation-sheet'!D10*'Output-Calculation-sheet'!D28</f>
        <v>0</v>
      </c>
      <c r="E22" s="2">
        <f>E11/'Output-Calculation-sheet'!E10*'Output-Calculation-sheet'!E28</f>
        <v>1433.9655299877447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10222.213929185808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840.72002531340956</v>
      </c>
      <c r="M22" s="2">
        <f>M11/'Output-Calculation-sheet'!M10*'Output-Calculation-sheet'!M28</f>
        <v>7642.0915719367349</v>
      </c>
      <c r="N22" s="2">
        <f>N11/'Output-Calculation-sheet'!N10*'Output-Calculation-sheet'!N28</f>
        <v>4398.0662685723319</v>
      </c>
      <c r="O22" s="2">
        <f>O11/'Output-Calculation-sheet'!O10*'Output-Calculation-sheet'!O28</f>
        <v>2922.1739279856779</v>
      </c>
      <c r="P22" s="2">
        <f>P11/'Output-Calculation-sheet'!P10*'Output-Calculation-sheet'!P28</f>
        <v>0</v>
      </c>
      <c r="Q22" s="2">
        <f>Q11/'Output-Calculation-sheet'!Q10*'Output-Calculation-sheet'!Q28</f>
        <v>1270.2624223333862</v>
      </c>
      <c r="R22" s="2">
        <f>R11/'Output-Calculation-sheet'!R10*'Output-Calculation-sheet'!R28</f>
        <v>0</v>
      </c>
      <c r="S22" s="2">
        <f>S11/'Output-Calculation-sheet'!S10*'Output-Calculation-sheet'!S28</f>
        <v>2230.444481327324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736.01776545005009</v>
      </c>
      <c r="Y22" s="2">
        <f>Y11/'Output-Calculation-sheet'!Y10*'Output-Calculation-sheet'!Y28</f>
        <v>76.8034584862027</v>
      </c>
      <c r="AA22" s="2">
        <f t="shared" si="0"/>
        <v>78.789815886538122</v>
      </c>
    </row>
    <row r="23" spans="1:27" x14ac:dyDescent="0.25">
      <c r="A23" s="2">
        <v>2035</v>
      </c>
      <c r="B23" s="2">
        <f>B12/'Output-Calculation-sheet'!B11*'Output-Calculation-sheet'!B29</f>
        <v>24792.314736848675</v>
      </c>
      <c r="C23" s="2">
        <f>C12/'Output-Calculation-sheet'!C11*'Output-Calculation-sheet'!C29</f>
        <v>21064.527660803902</v>
      </c>
      <c r="D23" s="2">
        <f>D12/'Output-Calculation-sheet'!D11*'Output-Calculation-sheet'!D29</f>
        <v>0</v>
      </c>
      <c r="E23" s="2">
        <f>E12/'Output-Calculation-sheet'!E11*'Output-Calculation-sheet'!E29</f>
        <v>4170.4088764992557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9143.3589905908921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1509.1569719297345</v>
      </c>
      <c r="M23" s="2">
        <f>M12/'Output-Calculation-sheet'!M11*'Output-Calculation-sheet'!M29</f>
        <v>6931.0067728616377</v>
      </c>
      <c r="N23" s="2">
        <f>N12/'Output-Calculation-sheet'!N11*'Output-Calculation-sheet'!N29</f>
        <v>4081.4747525153834</v>
      </c>
      <c r="O23" s="2">
        <f>O12/'Output-Calculation-sheet'!O11*'Output-Calculation-sheet'!O29</f>
        <v>3156.0608934426036</v>
      </c>
      <c r="P23" s="2">
        <f>P12/'Output-Calculation-sheet'!P11*'Output-Calculation-sheet'!P29</f>
        <v>481.66438872416546</v>
      </c>
      <c r="Q23" s="2">
        <f>Q12/'Output-Calculation-sheet'!Q11*'Output-Calculation-sheet'!Q29</f>
        <v>1288.106565448596</v>
      </c>
      <c r="R23" s="2">
        <f>R12/'Output-Calculation-sheet'!R11*'Output-Calculation-sheet'!R29</f>
        <v>0</v>
      </c>
      <c r="S23" s="2">
        <f>S12/'Output-Calculation-sheet'!S11*'Output-Calculation-sheet'!S29</f>
        <v>1962.4082606784607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649.72643236995327</v>
      </c>
      <c r="Y23" s="2">
        <f>Y12/'Output-Calculation-sheet'!Y11*'Output-Calculation-sheet'!Y29</f>
        <v>91.702831797237678</v>
      </c>
      <c r="AA23" s="2">
        <f t="shared" si="0"/>
        <v>79.321918134510497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21950.332109903386</v>
      </c>
      <c r="C30" s="2">
        <f>C8/'Output-Calculation-sheet'!C7*'Output-Calculation-sheet'!C16</f>
        <v>0</v>
      </c>
      <c r="D30" s="2">
        <f>D8/'Output-Calculation-sheet'!D7*'Output-Calculation-sheet'!D16</f>
        <v>3696.1457514887516</v>
      </c>
      <c r="E30" s="2">
        <f>E8/'Output-Calculation-sheet'!E7*'Output-Calculation-sheet'!E16</f>
        <v>3976.8440042841335</v>
      </c>
      <c r="F30" s="2">
        <f>F8/'Output-Calculation-sheet'!F7*'Output-Calculation-sheet'!F16</f>
        <v>2006.3389620307237</v>
      </c>
      <c r="G30" s="2">
        <f>G8/'Output-Calculation-sheet'!G7*'Output-Calculation-sheet'!G16</f>
        <v>1313.9137240104303</v>
      </c>
      <c r="H30" s="2">
        <f>H8/'Output-Calculation-sheet'!H7*'Output-Calculation-sheet'!H16</f>
        <v>0</v>
      </c>
      <c r="I30" s="2">
        <f>I8/'Output-Calculation-sheet'!I7*'Output-Calculation-sheet'!I16</f>
        <v>1280.869146888876</v>
      </c>
      <c r="J30" s="2">
        <f>J8/'Output-Calculation-sheet'!J7*'Output-Calculation-sheet'!J16</f>
        <v>1140.2198311306033</v>
      </c>
      <c r="K30" s="2">
        <f>K8/'Output-Calculation-sheet'!K7*'Output-Calculation-sheet'!K16</f>
        <v>1522.4114159593273</v>
      </c>
      <c r="L30" s="2">
        <f>L8/'Output-Calculation-sheet'!L7*'Output-Calculation-sheet'!L16</f>
        <v>1285.9426906750323</v>
      </c>
      <c r="M30" s="2">
        <f>M8/'Output-Calculation-sheet'!M7*'Output-Calculation-sheet'!M16</f>
        <v>0</v>
      </c>
      <c r="N30" s="2">
        <f>N8/'Output-Calculation-sheet'!N7*'Output-Calculation-sheet'!N16</f>
        <v>1826.5732530111873</v>
      </c>
      <c r="O30" s="2">
        <f>O8/'Output-Calculation-sheet'!O7*'Output-Calculation-sheet'!O16</f>
        <v>0</v>
      </c>
      <c r="P30" s="2">
        <f>P8/'Output-Calculation-sheet'!P7*'Output-Calculation-sheet'!P16</f>
        <v>1641.6641051517749</v>
      </c>
      <c r="Q30" s="2">
        <f>Q8/'Output-Calculation-sheet'!Q7*'Output-Calculation-sheet'!Q16</f>
        <v>1805.2883399506482</v>
      </c>
      <c r="R30" s="2">
        <f>R8/'Output-Calculation-sheet'!R7*'Output-Calculation-sheet'!R16</f>
        <v>1145.4632981752941</v>
      </c>
      <c r="S30" s="2">
        <f>S8/'Output-Calculation-sheet'!S7*'Output-Calculation-sheet'!S16</f>
        <v>1152.0001907596945</v>
      </c>
      <c r="T30" s="2">
        <f>T8/'Output-Calculation-sheet'!T7*'Output-Calculation-sheet'!T16</f>
        <v>343.85161694706892</v>
      </c>
      <c r="U30" s="2">
        <f>U8/'Output-Calculation-sheet'!U7*'Output-Calculation-sheet'!U16</f>
        <v>343.23699090106425</v>
      </c>
      <c r="V30" s="2">
        <f>V8/'Output-Calculation-sheet'!V7*'Output-Calculation-sheet'!V16</f>
        <v>267.13482560756557</v>
      </c>
      <c r="W30" s="2">
        <f>W8/'Output-Calculation-sheet'!W7*'Output-Calculation-sheet'!W16</f>
        <v>162.03073867497511</v>
      </c>
      <c r="X30" s="2">
        <f>X8/'Output-Calculation-sheet'!X7*'Output-Calculation-sheet'!X16</f>
        <v>0</v>
      </c>
      <c r="Y30" s="2">
        <f>Y8/'Output-Calculation-sheet'!Y7*'Output-Calculation-sheet'!Y16</f>
        <v>137.14059944354372</v>
      </c>
      <c r="AA30" s="2">
        <f t="shared" si="1"/>
        <v>46.997401594994081</v>
      </c>
    </row>
    <row r="31" spans="1:27" x14ac:dyDescent="0.25">
      <c r="A31" s="2">
        <v>2032</v>
      </c>
      <c r="B31" s="2">
        <f>B9/'Output-Calculation-sheet'!B8*'Output-Calculation-sheet'!B17</f>
        <v>29463.72162817344</v>
      </c>
      <c r="C31" s="2">
        <f>C9/'Output-Calculation-sheet'!C8*'Output-Calculation-sheet'!C17</f>
        <v>0</v>
      </c>
      <c r="D31" s="2">
        <f>D9/'Output-Calculation-sheet'!D8*'Output-Calculation-sheet'!D17</f>
        <v>4941.4529650884469</v>
      </c>
      <c r="E31" s="2">
        <f>E9/'Output-Calculation-sheet'!E8*'Output-Calculation-sheet'!E17</f>
        <v>5808.0028185730052</v>
      </c>
      <c r="F31" s="2">
        <f>F9/'Output-Calculation-sheet'!F8*'Output-Calculation-sheet'!F17</f>
        <v>2682.3809900306542</v>
      </c>
      <c r="G31" s="2">
        <f>G9/'Output-Calculation-sheet'!G8*'Output-Calculation-sheet'!G17</f>
        <v>1756.6246829081938</v>
      </c>
      <c r="H31" s="2">
        <f>H9/'Output-Calculation-sheet'!H8*'Output-Calculation-sheet'!H17</f>
        <v>0</v>
      </c>
      <c r="I31" s="2">
        <f>I9/'Output-Calculation-sheet'!I8*'Output-Calculation-sheet'!I17</f>
        <v>1712.4540651353932</v>
      </c>
      <c r="J31" s="2">
        <f>J9/'Output-Calculation-sheet'!J8*'Output-Calculation-sheet'!J17</f>
        <v>1524.41419308786</v>
      </c>
      <c r="K31" s="2">
        <f>K9/'Output-Calculation-sheet'!K8*'Output-Calculation-sheet'!K17</f>
        <v>2170.3610569641205</v>
      </c>
      <c r="L31" s="2">
        <f>L9/'Output-Calculation-sheet'!L8*'Output-Calculation-sheet'!L17</f>
        <v>1850.9364417631803</v>
      </c>
      <c r="M31" s="2">
        <f>M9/'Output-Calculation-sheet'!M8*'Output-Calculation-sheet'!M17</f>
        <v>0</v>
      </c>
      <c r="N31" s="2">
        <f>N9/'Output-Calculation-sheet'!N8*'Output-Calculation-sheet'!N17</f>
        <v>2012.1572184914307</v>
      </c>
      <c r="O31" s="2">
        <f>O9/'Output-Calculation-sheet'!O8*'Output-Calculation-sheet'!O17</f>
        <v>0</v>
      </c>
      <c r="P31" s="2">
        <f>P9/'Output-Calculation-sheet'!P8*'Output-Calculation-sheet'!P17</f>
        <v>2497.3994172152679</v>
      </c>
      <c r="Q31" s="2">
        <f>Q9/'Output-Calculation-sheet'!Q8*'Output-Calculation-sheet'!Q17</f>
        <v>2662.4572321917562</v>
      </c>
      <c r="R31" s="2">
        <f>R9/'Output-Calculation-sheet'!R8*'Output-Calculation-sheet'!R17</f>
        <v>1741.9202305332074</v>
      </c>
      <c r="S31" s="2">
        <f>S9/'Output-Calculation-sheet'!S8*'Output-Calculation-sheet'!S17</f>
        <v>1504.1767832592552</v>
      </c>
      <c r="T31" s="2">
        <f>T9/'Output-Calculation-sheet'!T8*'Output-Calculation-sheet'!T17</f>
        <v>472.68278115162684</v>
      </c>
      <c r="U31" s="2">
        <f>U9/'Output-Calculation-sheet'!U8*'Output-Calculation-sheet'!U17</f>
        <v>543.26320755203756</v>
      </c>
      <c r="V31" s="2">
        <f>V9/'Output-Calculation-sheet'!V8*'Output-Calculation-sheet'!V17</f>
        <v>389.11365831960171</v>
      </c>
      <c r="W31" s="2">
        <f>W9/'Output-Calculation-sheet'!W8*'Output-Calculation-sheet'!W17</f>
        <v>216.62875444211224</v>
      </c>
      <c r="X31" s="2">
        <f>X9/'Output-Calculation-sheet'!X8*'Output-Calculation-sheet'!X17</f>
        <v>0</v>
      </c>
      <c r="Y31" s="2">
        <f>Y9/'Output-Calculation-sheet'!Y8*'Output-Calculation-sheet'!Y17</f>
        <v>209.31030996427501</v>
      </c>
      <c r="AA31" s="2">
        <f t="shared" si="1"/>
        <v>64.159458434844865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1931.080098186912</v>
      </c>
      <c r="O32" s="2">
        <f>O10/'Output-Calculation-sheet'!O9*'Output-Calculation-sheet'!O18</f>
        <v>0</v>
      </c>
      <c r="P32" s="2">
        <f>P10/'Output-Calculation-sheet'!P9*'Output-Calculation-sheet'!P18</f>
        <v>3108.1540229863854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2231.549900030675</v>
      </c>
      <c r="S32" s="2">
        <f>S10/'Output-Calculation-sheet'!S9*'Output-Calculation-sheet'!S18</f>
        <v>1460.5431083556837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720.37971322485885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76.121206317763352</v>
      </c>
    </row>
    <row r="33" spans="1:27" x14ac:dyDescent="0.25">
      <c r="A33" s="2">
        <v>2034</v>
      </c>
      <c r="B33" s="2">
        <f>B11/'Output-Calculation-sheet'!B10*'Output-Calculation-sheet'!B19</f>
        <v>27848.143892445431</v>
      </c>
      <c r="C33" s="2">
        <f>C11/'Output-Calculation-sheet'!C10*'Output-Calculation-sheet'!C19</f>
        <v>0</v>
      </c>
      <c r="D33" s="2">
        <f>D11/'Output-Calculation-sheet'!D10*'Output-Calculation-sheet'!D19</f>
        <v>8321.0354359227367</v>
      </c>
      <c r="E33" s="2">
        <f>E11/'Output-Calculation-sheet'!E10*'Output-Calculation-sheet'!E19</f>
        <v>10275.357324871306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2827.7303314501364</v>
      </c>
      <c r="H33" s="2">
        <f>H11/'Output-Calculation-sheet'!H10*'Output-Calculation-sheet'!H19</f>
        <v>0</v>
      </c>
      <c r="I33" s="2">
        <f>I11/'Output-Calculation-sheet'!I10*'Output-Calculation-sheet'!I19</f>
        <v>3089.7411941168934</v>
      </c>
      <c r="J33" s="2">
        <f>J11/'Output-Calculation-sheet'!J10*'Output-Calculation-sheet'!J19</f>
        <v>2609.2938944063931</v>
      </c>
      <c r="K33" s="2">
        <f>K11/'Output-Calculation-sheet'!K10*'Output-Calculation-sheet'!K19</f>
        <v>3620.1803563849239</v>
      </c>
      <c r="L33" s="2">
        <f>L11/'Output-Calculation-sheet'!L10*'Output-Calculation-sheet'!L19</f>
        <v>2947.1175957427799</v>
      </c>
      <c r="M33" s="2">
        <f>M11/'Output-Calculation-sheet'!M10*'Output-Calculation-sheet'!M19</f>
        <v>0</v>
      </c>
      <c r="N33" s="2">
        <f>N11/'Output-Calculation-sheet'!N10*'Output-Calculation-sheet'!N19</f>
        <v>1664.6976901998873</v>
      </c>
      <c r="O33" s="2">
        <f>O11/'Output-Calculation-sheet'!O10*'Output-Calculation-sheet'!O19</f>
        <v>0</v>
      </c>
      <c r="P33" s="2">
        <f>P11/'Output-Calculation-sheet'!P10*'Output-Calculation-sheet'!P19</f>
        <v>3665.5708067463852</v>
      </c>
      <c r="Q33" s="2">
        <f>Q11/'Output-Calculation-sheet'!Q10*'Output-Calculation-sheet'!Q19</f>
        <v>2986.0062214257432</v>
      </c>
      <c r="R33" s="2">
        <f>R11/'Output-Calculation-sheet'!R10*'Output-Calculation-sheet'!R19</f>
        <v>2615.1011135012818</v>
      </c>
      <c r="S33" s="2">
        <f>S11/'Output-Calculation-sheet'!S10*'Output-Calculation-sheet'!S19</f>
        <v>1222.3434654006537</v>
      </c>
      <c r="T33" s="2">
        <f>T11/'Output-Calculation-sheet'!T10*'Output-Calculation-sheet'!T19</f>
        <v>767.39588327681133</v>
      </c>
      <c r="U33" s="2">
        <f>U11/'Output-Calculation-sheet'!U10*'Output-Calculation-sheet'!U19</f>
        <v>822.2482261505271</v>
      </c>
      <c r="V33" s="2">
        <f>V11/'Output-Calculation-sheet'!V10*'Output-Calculation-sheet'!V19</f>
        <v>601.76029618469659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96.935583836372132</v>
      </c>
      <c r="Y33" s="2">
        <f>Y11/'Output-Calculation-sheet'!Y10*'Output-Calculation-sheet'!Y19</f>
        <v>337.72508285421458</v>
      </c>
      <c r="AA33" s="2">
        <f t="shared" si="1"/>
        <v>81.414851144684931</v>
      </c>
    </row>
    <row r="34" spans="1:27" x14ac:dyDescent="0.25">
      <c r="A34" s="2">
        <v>2035</v>
      </c>
      <c r="B34" s="2">
        <f>B12/'Output-Calculation-sheet'!B11*'Output-Calculation-sheet'!B20</f>
        <v>22677.359443028417</v>
      </c>
      <c r="C34" s="2">
        <f>C12/'Output-Calculation-sheet'!C11*'Output-Calculation-sheet'!C20</f>
        <v>0</v>
      </c>
      <c r="D34" s="2">
        <f>D12/'Output-Calculation-sheet'!D11*'Output-Calculation-sheet'!D20</f>
        <v>7298.8600333282602</v>
      </c>
      <c r="E34" s="2">
        <f>E12/'Output-Calculation-sheet'!E11*'Output-Calculation-sheet'!E20</f>
        <v>8110.0552134004829</v>
      </c>
      <c r="F34" s="2">
        <f>F12/'Output-Calculation-sheet'!F11*'Output-Calculation-sheet'!F20</f>
        <v>4536.2726690397876</v>
      </c>
      <c r="G34" s="2">
        <f>G12/'Output-Calculation-sheet'!G11*'Output-Calculation-sheet'!G20</f>
        <v>2448.6241403087233</v>
      </c>
      <c r="H34" s="2">
        <f>H12/'Output-Calculation-sheet'!H11*'Output-Calculation-sheet'!H20</f>
        <v>0</v>
      </c>
      <c r="I34" s="2">
        <f>I12/'Output-Calculation-sheet'!I11*'Output-Calculation-sheet'!I20</f>
        <v>2722.2903902127218</v>
      </c>
      <c r="J34" s="2">
        <f>J12/'Output-Calculation-sheet'!J11*'Output-Calculation-sheet'!J20</f>
        <v>2523.294967106729</v>
      </c>
      <c r="K34" s="2">
        <f>K12/'Output-Calculation-sheet'!K11*'Output-Calculation-sheet'!K20</f>
        <v>3355.7280436679193</v>
      </c>
      <c r="L34" s="2">
        <f>L12/'Output-Calculation-sheet'!L11*'Output-Calculation-sheet'!L20</f>
        <v>2678.0116635721233</v>
      </c>
      <c r="M34" s="2">
        <f>M12/'Output-Calculation-sheet'!M11*'Output-Calculation-sheet'!M20</f>
        <v>0</v>
      </c>
      <c r="N34" s="2">
        <f>N12/'Output-Calculation-sheet'!N11*'Output-Calculation-sheet'!N20</f>
        <v>1436.1065306757464</v>
      </c>
      <c r="O34" s="2">
        <f>O12/'Output-Calculation-sheet'!O11*'Output-Calculation-sheet'!O20</f>
        <v>0</v>
      </c>
      <c r="P34" s="2">
        <f>P12/'Output-Calculation-sheet'!P11*'Output-Calculation-sheet'!P20</f>
        <v>3058.7924007540832</v>
      </c>
      <c r="Q34" s="2">
        <f>Q12/'Output-Calculation-sheet'!Q11*'Output-Calculation-sheet'!Q20</f>
        <v>2551.0043391658828</v>
      </c>
      <c r="R34" s="2">
        <f>R12/'Output-Calculation-sheet'!R11*'Output-Calculation-sheet'!R20</f>
        <v>2569.7494054200924</v>
      </c>
      <c r="S34" s="2">
        <f>S12/'Output-Calculation-sheet'!S11*'Output-Calculation-sheet'!S20</f>
        <v>981.63588908441545</v>
      </c>
      <c r="T34" s="2">
        <f>T12/'Output-Calculation-sheet'!T11*'Output-Calculation-sheet'!T20</f>
        <v>779.43200995478139</v>
      </c>
      <c r="U34" s="2">
        <f>U12/'Output-Calculation-sheet'!U11*'Output-Calculation-sheet'!U20</f>
        <v>717.42957088203207</v>
      </c>
      <c r="V34" s="2">
        <f>V12/'Output-Calculation-sheet'!V11*'Output-Calculation-sheet'!V20</f>
        <v>706.3616743731618</v>
      </c>
      <c r="W34" s="2">
        <f>W12/'Output-Calculation-sheet'!W11*'Output-Calculation-sheet'!W20</f>
        <v>383.25687071288468</v>
      </c>
      <c r="X34" s="2">
        <f>X12/'Output-Calculation-sheet'!X11*'Output-Calculation-sheet'!X20</f>
        <v>80.915777364543644</v>
      </c>
      <c r="Y34" s="2">
        <f>Y12/'Output-Calculation-sheet'!Y11*'Output-Calculation-sheet'!Y20</f>
        <v>278.16505362758403</v>
      </c>
      <c r="AA34" s="2">
        <f t="shared" si="1"/>
        <v>69.893346085680378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1.1964954962785603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0.23244688647253911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1.4289423827510994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1.2797147839120819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0.24861415527132713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1.528328939183409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1.2690971288159174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0.24655143052525075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1.5156485593411682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1.1791231751793321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0.36297083603605074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0.22907191183796957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0.21507168487918793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6.8621008624568158E-2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2.0822578443597126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1.031120604467231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0.20031899395490027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8.6426575937059074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14378.937104400242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8012.5444933194112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5468.9516621324246</v>
      </c>
      <c r="N52" s="2">
        <f>N8/'Output-Calculation-sheet'!N7*'Output-Calculation-sheet'!N43</f>
        <v>174.80006249209887</v>
      </c>
      <c r="O52" s="2">
        <f>O8/'Output-Calculation-sheet'!O7*'Output-Calculation-sheet'!O43</f>
        <v>672.87256610471843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704.82809571957762</v>
      </c>
      <c r="Y52" s="2">
        <f>Y8/'Output-Calculation-sheet'!Y7*'Output-Calculation-sheet'!Y43</f>
        <v>0</v>
      </c>
      <c r="AA52" s="2">
        <f t="shared" si="3"/>
        <v>29.412933984168475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19307.977441480536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15169.994121985754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10367.107118982183</v>
      </c>
      <c r="N53" s="2">
        <f>N9/'Output-Calculation-sheet'!N8*'Output-Calculation-sheet'!N44</f>
        <v>3692.4175157274135</v>
      </c>
      <c r="O53" s="2">
        <f>O9/'Output-Calculation-sheet'!O8*'Output-Calculation-sheet'!O44</f>
        <v>1439.3451094655779</v>
      </c>
      <c r="P53" s="2">
        <f>P9/'Output-Calculation-sheet'!P8*'Output-Calculation-sheet'!P44</f>
        <v>172.71536552402068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1138.6855229824346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1296.4144778763957</v>
      </c>
      <c r="Y53" s="2">
        <f>Y9/'Output-Calculation-sheet'!Y8*'Output-Calculation-sheet'!Y44</f>
        <v>0</v>
      </c>
      <c r="AA53" s="2">
        <f t="shared" si="3"/>
        <v>52.584656674024309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27051.807219497183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2400.6323498511256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537.73217675429248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115.40172312291872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36408.013830098673</v>
      </c>
      <c r="D55" s="2">
        <f>D11/'Output-Calculation-sheet'!D10*'Output-Calculation-sheet'!D46</f>
        <v>7238.2325027846482</v>
      </c>
      <c r="E55" s="2">
        <f>E11/'Output-Calculation-sheet'!E10*'Output-Calculation-sheet'!E46</f>
        <v>9029.1842643822856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23688.622983405414</v>
      </c>
      <c r="I55" s="2">
        <f>I11/'Output-Calculation-sheet'!I10*'Output-Calculation-sheet'!I46</f>
        <v>1744.1634418601445</v>
      </c>
      <c r="J55" s="2">
        <f>J11/'Output-Calculation-sheet'!J10*'Output-Calculation-sheet'!J46</f>
        <v>1287.2976852183224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16738.265157632744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3657.1129784658297</v>
      </c>
      <c r="P55" s="2">
        <f>P11/'Output-Calculation-sheet'!P10*'Output-Calculation-sheet'!P46</f>
        <v>4694.6041699253637</v>
      </c>
      <c r="Q55" s="2">
        <f>Q11/'Output-Calculation-sheet'!Q10*'Output-Calculation-sheet'!Q46</f>
        <v>3659.9918304002158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6270.3902939899644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1119.6059301903224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1684.8121657566414</v>
      </c>
      <c r="Y55" s="2">
        <f>Y11/'Output-Calculation-sheet'!Y10*'Output-Calculation-sheet'!Y46</f>
        <v>442.9987488936618</v>
      </c>
      <c r="AA55" s="2">
        <f t="shared" si="3"/>
        <v>223.27052382678858</v>
      </c>
    </row>
    <row r="56" spans="1:27" x14ac:dyDescent="0.25">
      <c r="A56" s="2">
        <v>2035</v>
      </c>
      <c r="B56" s="2">
        <f>B12/'Output-Calculation-sheet'!B11*'Output-Calculation-sheet'!B47</f>
        <v>70701.785367391974</v>
      </c>
      <c r="C56" s="2">
        <f>C12/'Output-Calculation-sheet'!C11*'Output-Calculation-sheet'!C47</f>
        <v>52731.869509157514</v>
      </c>
      <c r="D56" s="2">
        <f>D12/'Output-Calculation-sheet'!D11*'Output-Calculation-sheet'!D47</f>
        <v>7211.0455233988696</v>
      </c>
      <c r="E56" s="2">
        <f>E12/'Output-Calculation-sheet'!E11*'Output-Calculation-sheet'!E47</f>
        <v>18147.716276335053</v>
      </c>
      <c r="F56" s="2">
        <f>F12/'Output-Calculation-sheet'!F11*'Output-Calculation-sheet'!F47</f>
        <v>1001.199042349716</v>
      </c>
      <c r="G56" s="2">
        <f>G12/'Output-Calculation-sheet'!G11*'Output-Calculation-sheet'!G47</f>
        <v>2672.9821941534765</v>
      </c>
      <c r="H56" s="2">
        <f>H12/'Output-Calculation-sheet'!H11*'Output-Calculation-sheet'!H47</f>
        <v>20910.148031553312</v>
      </c>
      <c r="I56" s="2">
        <f>I12/'Output-Calculation-sheet'!I11*'Output-Calculation-sheet'!I47</f>
        <v>1706.1978610136237</v>
      </c>
      <c r="J56" s="2">
        <f>J12/'Output-Calculation-sheet'!J11*'Output-Calculation-sheet'!J47</f>
        <v>2788.7083671104319</v>
      </c>
      <c r="K56" s="2">
        <f>K12/'Output-Calculation-sheet'!K11*'Output-Calculation-sheet'!K47</f>
        <v>3836.59868402453</v>
      </c>
      <c r="L56" s="2">
        <f>L12/'Output-Calculation-sheet'!L11*'Output-Calculation-sheet'!L47</f>
        <v>4121.4477071134261</v>
      </c>
      <c r="M56" s="2">
        <f>M12/'Output-Calculation-sheet'!M11*'Output-Calculation-sheet'!M47</f>
        <v>14694.768165103163</v>
      </c>
      <c r="N56" s="2">
        <f>N12/'Output-Calculation-sheet'!N11*'Output-Calculation-sheet'!N47</f>
        <v>11749.911169203795</v>
      </c>
      <c r="O56" s="2">
        <f>O12/'Output-Calculation-sheet'!O11*'Output-Calculation-sheet'!O47</f>
        <v>5816.2795613221042</v>
      </c>
      <c r="P56" s="2">
        <f>P12/'Output-Calculation-sheet'!P11*'Output-Calculation-sheet'!P47</f>
        <v>5096.8856186998619</v>
      </c>
      <c r="Q56" s="2">
        <f>Q12/'Output-Calculation-sheet'!Q11*'Output-Calculation-sheet'!Q47</f>
        <v>3712.027578236025</v>
      </c>
      <c r="R56" s="2">
        <f>R12/'Output-Calculation-sheet'!R11*'Output-Calculation-sheet'!R47</f>
        <v>4319.2365283247027</v>
      </c>
      <c r="S56" s="2">
        <f>S12/'Output-Calculation-sheet'!S11*'Output-Calculation-sheet'!S47</f>
        <v>5472.5420952222676</v>
      </c>
      <c r="T56" s="2">
        <f>T12/'Output-Calculation-sheet'!T11*'Output-Calculation-sheet'!T47</f>
        <v>1416.3787398417244</v>
      </c>
      <c r="U56" s="2">
        <f>U12/'Output-Calculation-sheet'!U11*'Output-Calculation-sheet'!U47</f>
        <v>989.60159160213959</v>
      </c>
      <c r="V56" s="2">
        <f>V12/'Output-Calculation-sheet'!V11*'Output-Calculation-sheet'!V47</f>
        <v>974.13520726296247</v>
      </c>
      <c r="W56" s="2">
        <f>W12/'Output-Calculation-sheet'!W11*'Output-Calculation-sheet'!W47</f>
        <v>347.95523092123898</v>
      </c>
      <c r="X56" s="2">
        <f>X12/'Output-Calculation-sheet'!X11*'Output-Calculation-sheet'!X47</f>
        <v>1483.8447445223981</v>
      </c>
      <c r="Y56" s="2">
        <f>Y12/'Output-Calculation-sheet'!Y11*'Output-Calculation-sheet'!Y47</f>
        <v>452.29760225563444</v>
      </c>
      <c r="AA56" s="2">
        <f t="shared" si="3"/>
        <v>242.35556239611989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8.5486463596974787</v>
      </c>
      <c r="C63" s="2">
        <f>C8*'Output-Calculation-sheet'!C52/10^9</f>
        <v>5.3586093541377062</v>
      </c>
      <c r="D63" s="2">
        <f>D8*'Output-Calculation-sheet'!D52/10^9</f>
        <v>2.9314941937539296</v>
      </c>
      <c r="E63" s="2">
        <f>E8*'Output-Calculation-sheet'!E52/10^9</f>
        <v>2.9147062170868829</v>
      </c>
      <c r="F63" s="2">
        <f>F8*'Output-Calculation-sheet'!F52/10^9</f>
        <v>1.2343788247880336</v>
      </c>
      <c r="G63" s="2">
        <f>G8*'Output-Calculation-sheet'!G52/10^9</f>
        <v>0.88746153370342695</v>
      </c>
      <c r="H63" s="2">
        <f>H8*'Output-Calculation-sheet'!H52/10^9</f>
        <v>1.5502119151076925</v>
      </c>
      <c r="I63" s="2">
        <f>I8*'Output-Calculation-sheet'!I52/10^9</f>
        <v>0.82554537421846186</v>
      </c>
      <c r="J63" s="2">
        <f>J8*'Output-Calculation-sheet'!J52/10^9</f>
        <v>1.1360075015103541</v>
      </c>
      <c r="K63" s="2">
        <f>K8*'Output-Calculation-sheet'!K52/10^9</f>
        <v>0.99808104487488547</v>
      </c>
      <c r="L63" s="2">
        <f>L8*'Output-Calculation-sheet'!L52/10^9</f>
        <v>1.342465135976489</v>
      </c>
      <c r="M63" s="2">
        <f>M8*'Output-Calculation-sheet'!M52/10^9</f>
        <v>1.2582860570898844</v>
      </c>
      <c r="N63" s="2">
        <f>N8*'Output-Calculation-sheet'!N52/10^9</f>
        <v>1.050137600115945</v>
      </c>
      <c r="O63" s="2">
        <f>O8*'Output-Calculation-sheet'!O52/10^9</f>
        <v>1.1002453323930708</v>
      </c>
      <c r="P63" s="2">
        <f>P8*'Output-Calculation-sheet'!P52/10^9</f>
        <v>0.68964834590991031</v>
      </c>
      <c r="Q63" s="2">
        <f>Q8*'Output-Calculation-sheet'!Q52/10^9</f>
        <v>0.78047557237076659</v>
      </c>
      <c r="R63" s="2">
        <f>R8*'Output-Calculation-sheet'!R52/10^9</f>
        <v>0.70071292350442371</v>
      </c>
      <c r="S63" s="2">
        <f>S8*'Output-Calculation-sheet'!S52/10^9</f>
        <v>0.51925619491411179</v>
      </c>
      <c r="T63" s="2">
        <f>T8*'Output-Calculation-sheet'!T52/10^9</f>
        <v>0.26640213123399631</v>
      </c>
      <c r="U63" s="2">
        <f>U8*'Output-Calculation-sheet'!U52/10^9</f>
        <v>0.1829620216178576</v>
      </c>
      <c r="V63" s="2">
        <f>V8*'Output-Calculation-sheet'!V52/10^9</f>
        <v>0.3247145995776734</v>
      </c>
      <c r="W63" s="2">
        <f>W8*'Output-Calculation-sheet'!W52/10^9</f>
        <v>0.1175316991105884</v>
      </c>
      <c r="X63" s="2">
        <f>X8*'Output-Calculation-sheet'!X52/10^9</f>
        <v>0.1352859808102638</v>
      </c>
      <c r="Y63" s="2">
        <f>Y8*'Output-Calculation-sheet'!Y52/10^9</f>
        <v>7.6686090151377603E-2</v>
      </c>
      <c r="AA63" s="2">
        <f t="shared" si="4"/>
        <v>34.929952003655217</v>
      </c>
    </row>
    <row r="64" spans="1:27" x14ac:dyDescent="0.25">
      <c r="A64" s="2">
        <v>2032</v>
      </c>
      <c r="B64" s="2">
        <f>B9*'Output-Calculation-sheet'!B53/10^9</f>
        <v>8.7243965736987832</v>
      </c>
      <c r="C64" s="2">
        <f>C9*'Output-Calculation-sheet'!C53/10^9</f>
        <v>5.8210216588087116</v>
      </c>
      <c r="D64" s="2">
        <f>D9*'Output-Calculation-sheet'!D53/10^9</f>
        <v>2.5818959554222971</v>
      </c>
      <c r="E64" s="2">
        <f>E9*'Output-Calculation-sheet'!E53/10^9</f>
        <v>2.6439873385450885</v>
      </c>
      <c r="F64" s="2">
        <f>F9*'Output-Calculation-sheet'!F53/10^9</f>
        <v>1.1152182165050983</v>
      </c>
      <c r="G64" s="2">
        <f>G9*'Output-Calculation-sheet'!G53/10^9</f>
        <v>0.79377736754139772</v>
      </c>
      <c r="H64" s="2">
        <f>H9*'Output-Calculation-sheet'!H53/10^9</f>
        <v>1.6309996059114555</v>
      </c>
      <c r="I64" s="2">
        <f>I9*'Output-Calculation-sheet'!I53/10^9</f>
        <v>0.74205222996738796</v>
      </c>
      <c r="J64" s="2">
        <f>J9*'Output-Calculation-sheet'!J53/10^9</f>
        <v>0.98232733799833938</v>
      </c>
      <c r="K64" s="2">
        <f>K9*'Output-Calculation-sheet'!K53/10^9</f>
        <v>0.91146377950903179</v>
      </c>
      <c r="L64" s="2">
        <f>L9*'Output-Calculation-sheet'!L53/10^9</f>
        <v>1.1725906020365129</v>
      </c>
      <c r="M64" s="2">
        <f>M9*'Output-Calculation-sheet'!M53/10^9</f>
        <v>1.2782966309797881</v>
      </c>
      <c r="N64" s="2">
        <f>N9*'Output-Calculation-sheet'!N53/10^9</f>
        <v>1.0761123573983811</v>
      </c>
      <c r="O64" s="2">
        <f>O9*'Output-Calculation-sheet'!O53/10^9</f>
        <v>1.1848336069543031</v>
      </c>
      <c r="P64" s="2">
        <f>P9*'Output-Calculation-sheet'!P53/10^9</f>
        <v>0.69491750921836704</v>
      </c>
      <c r="Q64" s="2">
        <f>Q9*'Output-Calculation-sheet'!Q53/10^9</f>
        <v>0.76800046612927664</v>
      </c>
      <c r="R64" s="2">
        <f>R9*'Output-Calculation-sheet'!R53/10^9</f>
        <v>0.65835686701674989</v>
      </c>
      <c r="S64" s="2">
        <f>S9*'Output-Calculation-sheet'!S53/10^9</f>
        <v>0.54394991044278873</v>
      </c>
      <c r="T64" s="2">
        <f>T9*'Output-Calculation-sheet'!T53/10^9</f>
        <v>0.23666215756879211</v>
      </c>
      <c r="U64" s="2">
        <f>U9*'Output-Calculation-sheet'!U53/10^9</f>
        <v>0.17813058617157954</v>
      </c>
      <c r="V64" s="2">
        <f>V9*'Output-Calculation-sheet'!V53/10^9</f>
        <v>0.28090207501402631</v>
      </c>
      <c r="W64" s="2">
        <f>W9*'Output-Calculation-sheet'!W53/10^9</f>
        <v>0.10437814802389959</v>
      </c>
      <c r="X64" s="2">
        <f>X9*'Output-Calculation-sheet'!X53/10^9</f>
        <v>0.14167967063854597</v>
      </c>
      <c r="Y64" s="2">
        <f>Y9*'Output-Calculation-sheet'!Y53/10^9</f>
        <v>7.3130724803439018E-2</v>
      </c>
      <c r="AA64" s="2">
        <f t="shared" si="4"/>
        <v>34.339081376304044</v>
      </c>
    </row>
    <row r="65" spans="1:27" x14ac:dyDescent="0.25">
      <c r="A65" s="2">
        <v>2033</v>
      </c>
      <c r="B65" s="2">
        <f>B10*'Output-Calculation-sheet'!B54/10^9</f>
        <v>8.6068477474896916</v>
      </c>
      <c r="C65" s="2">
        <f>C10*'Output-Calculation-sheet'!C54/10^9</f>
        <v>5.8189899952605266</v>
      </c>
      <c r="D65" s="2">
        <f>D10*'Output-Calculation-sheet'!D54/10^9</f>
        <v>2.0333656059530369</v>
      </c>
      <c r="E65" s="2">
        <f>E10*'Output-Calculation-sheet'!E54/10^9</f>
        <v>2.2895464197244459</v>
      </c>
      <c r="F65" s="2">
        <f>F10*'Output-Calculation-sheet'!F54/10^9</f>
        <v>0.92951666536051547</v>
      </c>
      <c r="G65" s="2">
        <f>G10*'Output-Calculation-sheet'!G54/10^9</f>
        <v>0.63819726992973269</v>
      </c>
      <c r="H65" s="2">
        <f>H10*'Output-Calculation-sheet'!H54/10^9</f>
        <v>1.5771866739561267</v>
      </c>
      <c r="I65" s="2">
        <f>I10*'Output-Calculation-sheet'!I54/10^9</f>
        <v>0.62142984696873282</v>
      </c>
      <c r="J65" s="2">
        <f>J10*'Output-Calculation-sheet'!J54/10^9</f>
        <v>0.74274726932583146</v>
      </c>
      <c r="K65" s="2">
        <f>K10*'Output-Calculation-sheet'!K54/10^9</f>
        <v>0.79241294788633299</v>
      </c>
      <c r="L65" s="2">
        <f>L10*'Output-Calculation-sheet'!L54/10^9</f>
        <v>0.93600634569720487</v>
      </c>
      <c r="M65" s="2">
        <f>M10*'Output-Calculation-sheet'!M54/10^9</f>
        <v>1.1908457125186096</v>
      </c>
      <c r="N65" s="2">
        <f>N10*'Output-Calculation-sheet'!N54/10^9</f>
        <v>1.0283769854552913</v>
      </c>
      <c r="O65" s="2">
        <f>O10*'Output-Calculation-sheet'!O54/10^9</f>
        <v>1.1770461754566217</v>
      </c>
      <c r="P65" s="2">
        <f>P10*'Output-Calculation-sheet'!P54/10^9</f>
        <v>0.67047125899038484</v>
      </c>
      <c r="Q65" s="2">
        <f>Q10*'Output-Calculation-sheet'!Q54/10^9</f>
        <v>0.73162857383976054</v>
      </c>
      <c r="R65" s="2">
        <f>R10*'Output-Calculation-sheet'!R54/10^9</f>
        <v>0.59027731305886666</v>
      </c>
      <c r="S65" s="2">
        <f>S10*'Output-Calculation-sheet'!S54/10^9</f>
        <v>0.53617216905218645</v>
      </c>
      <c r="T65" s="2">
        <f>T10*'Output-Calculation-sheet'!T54/10^9</f>
        <v>0.19735572822826344</v>
      </c>
      <c r="U65" s="2">
        <f>U10*'Output-Calculation-sheet'!U54/10^9</f>
        <v>0.1704145776321993</v>
      </c>
      <c r="V65" s="2">
        <f>V10*'Output-Calculation-sheet'!V54/10^9</f>
        <v>0.2184039032056837</v>
      </c>
      <c r="W65" s="2">
        <f>W10*'Output-Calculation-sheet'!W54/10^9</f>
        <v>8.3154580488602178E-2</v>
      </c>
      <c r="X65" s="2">
        <f>X10*'Output-Calculation-sheet'!X54/10^9</f>
        <v>0.13696445389133907</v>
      </c>
      <c r="Y65" s="2">
        <f>Y10*'Output-Calculation-sheet'!Y54/10^9</f>
        <v>6.8440676903352912E-2</v>
      </c>
      <c r="AA65" s="2">
        <f t="shared" si="4"/>
        <v>31.785798896273345</v>
      </c>
    </row>
    <row r="66" spans="1:27" x14ac:dyDescent="0.25">
      <c r="A66" s="2">
        <v>2034</v>
      </c>
      <c r="B66" s="2">
        <f>B11*'Output-Calculation-sheet'!B55/10^9</f>
        <v>8.2030088866244029</v>
      </c>
      <c r="C66" s="2">
        <f>C11*'Output-Calculation-sheet'!C55/10^9</f>
        <v>5.41078337992945</v>
      </c>
      <c r="D66" s="2">
        <f>D11*'Output-Calculation-sheet'!D55/10^9</f>
        <v>1.7158180492500272</v>
      </c>
      <c r="E66" s="2">
        <f>E11*'Output-Calculation-sheet'!E55/10^9</f>
        <v>2.0777417046776918</v>
      </c>
      <c r="F66" s="2">
        <f>F11*'Output-Calculation-sheet'!F55/10^9</f>
        <v>0.7985025258039854</v>
      </c>
      <c r="G66" s="2">
        <f>G11*'Output-Calculation-sheet'!G55/10^9</f>
        <v>0.57075477515829798</v>
      </c>
      <c r="H66" s="2">
        <f>H11*'Output-Calculation-sheet'!H55/10^9</f>
        <v>1.4591672523003738</v>
      </c>
      <c r="I66" s="2">
        <f>I11*'Output-Calculation-sheet'!I55/10^9</f>
        <v>0.55813383792199944</v>
      </c>
      <c r="J66" s="2">
        <f>J11*'Output-Calculation-sheet'!J55/10^9</f>
        <v>0.57395430910803302</v>
      </c>
      <c r="K66" s="2">
        <f>K11*'Output-Calculation-sheet'!K55/10^9</f>
        <v>0.68648140379459943</v>
      </c>
      <c r="L66" s="2">
        <f>L11*'Output-Calculation-sheet'!L55/10^9</f>
        <v>0.72698899712886023</v>
      </c>
      <c r="M66" s="2">
        <f>M11*'Output-Calculation-sheet'!M55/10^9</f>
        <v>1.0571341141607129</v>
      </c>
      <c r="N66" s="2">
        <f>N11*'Output-Calculation-sheet'!N55/10^9</f>
        <v>0.92365330750106311</v>
      </c>
      <c r="O66" s="2">
        <f>O11*'Output-Calculation-sheet'!O55/10^9</f>
        <v>1.0900268488736315</v>
      </c>
      <c r="P66" s="2">
        <f>P11*'Output-Calculation-sheet'!P55/10^9</f>
        <v>0.63492587883046958</v>
      </c>
      <c r="Q66" s="2">
        <f>Q11*'Output-Calculation-sheet'!Q55/10^9</f>
        <v>0.69152060948129257</v>
      </c>
      <c r="R66" s="2">
        <f>R11*'Output-Calculation-sheet'!R55/10^9</f>
        <v>0.51423822980170597</v>
      </c>
      <c r="S66" s="2">
        <f>S11*'Output-Calculation-sheet'!S55/10^9</f>
        <v>0.5059979378445959</v>
      </c>
      <c r="T66" s="2">
        <f>T11*'Output-Calculation-sheet'!T55/10^9</f>
        <v>0.16119124027152557</v>
      </c>
      <c r="U66" s="2">
        <f>U11*'Output-Calculation-sheet'!U55/10^9</f>
        <v>0.16391023303544605</v>
      </c>
      <c r="V66" s="2">
        <f>V11*'Output-Calculation-sheet'!V55/10^9</f>
        <v>0.15291814941200146</v>
      </c>
      <c r="W66" s="2">
        <f>W11*'Output-Calculation-sheet'!W55/10^9</f>
        <v>6.9237895658613088E-2</v>
      </c>
      <c r="X66" s="2">
        <f>X11*'Output-Calculation-sheet'!X55/10^9</f>
        <v>0.13022413130375809</v>
      </c>
      <c r="Y66" s="2">
        <f>Y11*'Output-Calculation-sheet'!Y55/10^9</f>
        <v>6.7943177839332014E-2</v>
      </c>
      <c r="AA66" s="2">
        <f t="shared" si="4"/>
        <v>28.944256875711869</v>
      </c>
    </row>
    <row r="67" spans="1:27" x14ac:dyDescent="0.25">
      <c r="A67" s="2">
        <v>2035</v>
      </c>
      <c r="B67" s="2">
        <f>B12*'Output-Calculation-sheet'!B56/10^9</f>
        <v>7.4528399209555953</v>
      </c>
      <c r="C67" s="2">
        <f>C12*'Output-Calculation-sheet'!C56/10^9</f>
        <v>4.7003213302339608</v>
      </c>
      <c r="D67" s="2">
        <f>D12*'Output-Calculation-sheet'!D56/10^9</f>
        <v>1.5521587101574814</v>
      </c>
      <c r="E67" s="2">
        <f>E12*'Output-Calculation-sheet'!E56/10^9</f>
        <v>2.106074632891838</v>
      </c>
      <c r="F67" s="2">
        <f>F12*'Output-Calculation-sheet'!F56/10^9</f>
        <v>0.76918098843249383</v>
      </c>
      <c r="G67" s="2">
        <f>G12*'Output-Calculation-sheet'!G56/10^9</f>
        <v>0.53883362078543329</v>
      </c>
      <c r="H67" s="2">
        <f>H12*'Output-Calculation-sheet'!H56/10^9</f>
        <v>1.3004659934172127</v>
      </c>
      <c r="I67" s="2">
        <f>I12*'Output-Calculation-sheet'!I56/10^9</f>
        <v>0.52339405075891865</v>
      </c>
      <c r="J67" s="2">
        <f>J12*'Output-Calculation-sheet'!J56/10^9</f>
        <v>0.51849931993021559</v>
      </c>
      <c r="K67" s="2">
        <f>K12*'Output-Calculation-sheet'!K56/10^9</f>
        <v>0.62446292963771122</v>
      </c>
      <c r="L67" s="2">
        <f>L12*'Output-Calculation-sheet'!L56/10^9</f>
        <v>0.62731783916460804</v>
      </c>
      <c r="M67" s="2">
        <f>M12*'Output-Calculation-sheet'!M56/10^9</f>
        <v>0.95152303194441523</v>
      </c>
      <c r="N67" s="2">
        <f>N12*'Output-Calculation-sheet'!N56/10^9</f>
        <v>0.81706452672968732</v>
      </c>
      <c r="O67" s="2">
        <f>O12*'Output-Calculation-sheet'!O56/10^9</f>
        <v>0.94515481041319027</v>
      </c>
      <c r="P67" s="2">
        <f>P12*'Output-Calculation-sheet'!P56/10^9</f>
        <v>0.60480271187700674</v>
      </c>
      <c r="Q67" s="2">
        <f>Q12*'Output-Calculation-sheet'!Q56/10^9</f>
        <v>0.62195956961596344</v>
      </c>
      <c r="R67" s="2">
        <f>R12*'Output-Calculation-sheet'!R56/10^9</f>
        <v>0.47351693028819619</v>
      </c>
      <c r="S67" s="2">
        <f>S12*'Output-Calculation-sheet'!S56/10^9</f>
        <v>0.45123398915736657</v>
      </c>
      <c r="T67" s="2">
        <f>T12*'Output-Calculation-sheet'!T56/10^9</f>
        <v>0.14359631732792841</v>
      </c>
      <c r="U67" s="2">
        <f>U12*'Output-Calculation-sheet'!U56/10^9</f>
        <v>0.14995226106415063</v>
      </c>
      <c r="V67" s="2">
        <f>V12*'Output-Calculation-sheet'!V56/10^9</f>
        <v>0.11518937627603847</v>
      </c>
      <c r="W67" s="2">
        <f>W12*'Output-Calculation-sheet'!W56/10^9</f>
        <v>6.9498255739369838E-2</v>
      </c>
      <c r="X67" s="2">
        <f>X12*'Output-Calculation-sheet'!X56/10^9</f>
        <v>0.11816752277791388</v>
      </c>
      <c r="Y67" s="2">
        <f>Y12*'Output-Calculation-sheet'!Y56/10^9</f>
        <v>6.7139514341492151E-2</v>
      </c>
      <c r="AA67" s="2">
        <f t="shared" si="4"/>
        <v>26.242348153918183</v>
      </c>
    </row>
    <row r="68" spans="1:27" x14ac:dyDescent="0.25">
      <c r="B68" s="2">
        <f>SUM(B60:B67)</f>
        <v>61.380477927990853</v>
      </c>
      <c r="C68" s="2">
        <f t="shared" ref="C68:Y68" si="5">SUM(C60:C67)</f>
        <v>37.61174020473122</v>
      </c>
      <c r="D68" s="2">
        <f t="shared" si="5"/>
        <v>18.600002505227071</v>
      </c>
      <c r="E68" s="2">
        <f t="shared" si="5"/>
        <v>19.707677250413397</v>
      </c>
      <c r="F68" s="2">
        <f t="shared" si="5"/>
        <v>8.0279830009775139</v>
      </c>
      <c r="G68" s="2">
        <f t="shared" si="5"/>
        <v>5.7438634996004145</v>
      </c>
      <c r="H68" s="2">
        <f t="shared" si="5"/>
        <v>10.789633873879589</v>
      </c>
      <c r="I68" s="2">
        <f t="shared" si="5"/>
        <v>5.4112536200225447</v>
      </c>
      <c r="J68" s="2">
        <f t="shared" si="5"/>
        <v>7.0334281621881738</v>
      </c>
      <c r="K68" s="2">
        <f t="shared" si="5"/>
        <v>6.6066380301113066</v>
      </c>
      <c r="L68" s="2">
        <f t="shared" si="5"/>
        <v>8.4582563128402821</v>
      </c>
      <c r="M68" s="2">
        <f t="shared" si="5"/>
        <v>8.5408741588864352</v>
      </c>
      <c r="N68" s="2">
        <f t="shared" si="5"/>
        <v>7.3293230086763934</v>
      </c>
      <c r="O68" s="2">
        <f t="shared" si="5"/>
        <v>7.6876144450123958</v>
      </c>
      <c r="P68" s="2">
        <f t="shared" si="5"/>
        <v>4.9419719718326087</v>
      </c>
      <c r="Q68" s="2">
        <f t="shared" si="5"/>
        <v>5.4739199041359008</v>
      </c>
      <c r="R68" s="2">
        <f t="shared" si="5"/>
        <v>4.7400686328647259</v>
      </c>
      <c r="S68" s="2">
        <f t="shared" si="5"/>
        <v>3.7359964828129004</v>
      </c>
      <c r="T68" s="2">
        <f t="shared" si="5"/>
        <v>1.7109843454609528</v>
      </c>
      <c r="U68" s="2">
        <f t="shared" si="5"/>
        <v>1.3070083490397504</v>
      </c>
      <c r="V68" s="2">
        <f t="shared" si="5"/>
        <v>1.9851496498975481</v>
      </c>
      <c r="W68" s="2">
        <f t="shared" si="5"/>
        <v>0.75294954087821164</v>
      </c>
      <c r="X68" s="2">
        <f t="shared" si="5"/>
        <v>0.94795406491415468</v>
      </c>
      <c r="Y68" s="2">
        <f t="shared" si="5"/>
        <v>0.54825960371847748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3296.2401365021456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1724.7971281284547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1157.0389807141546</v>
      </c>
      <c r="N74" s="2">
        <f>N8/'Output-Calculation-sheet'!N7*'Output-Calculation-sheet'!N61</f>
        <v>48.048167177515673</v>
      </c>
      <c r="O74" s="2">
        <f>O8/'Output-Calculation-sheet'!O7*'Output-Calculation-sheet'!O61</f>
        <v>186.956622988308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144.54829205952819</v>
      </c>
      <c r="Y74" s="2">
        <f>Y8/'Output-Calculation-sheet'!Y7*'Output-Calculation-sheet'!Y61</f>
        <v>0</v>
      </c>
      <c r="AA74" s="2">
        <f t="shared" si="6"/>
        <v>6.5576293275701065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4261.1134633788351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2888.2424799631281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1959.4070232562544</v>
      </c>
      <c r="N75" s="2">
        <f>N9/'Output-Calculation-sheet'!N8*'Output-Calculation-sheet'!N62</f>
        <v>757.17928803524171</v>
      </c>
      <c r="O75" s="2">
        <f>O9/'Output-Calculation-sheet'!O8*'Output-Calculation-sheet'!O62</f>
        <v>370.1079674657625</v>
      </c>
      <c r="P75" s="2">
        <f>P9/'Output-Calculation-sheet'!P8*'Output-Calculation-sheet'!P62</f>
        <v>50.691959781300071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250.45722985505407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236.64911604905481</v>
      </c>
      <c r="Y75" s="2">
        <f>Y9/'Output-Calculation-sheet'!Y8*'Output-Calculation-sheet'!Y62</f>
        <v>0</v>
      </c>
      <c r="AA75" s="2">
        <f t="shared" si="6"/>
        <v>10.773848527784629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5693.7931360016582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3933.4061010874047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2678.6725871957142</v>
      </c>
      <c r="N76" s="2">
        <f>N10/'Output-Calculation-sheet'!N9*'Output-Calculation-sheet'!N63</f>
        <v>1532.7338465200658</v>
      </c>
      <c r="O76" s="2">
        <f>O10/'Output-Calculation-sheet'!O9*'Output-Calculation-sheet'!O63</f>
        <v>566.11668819552301</v>
      </c>
      <c r="P76" s="2">
        <f>P10/'Output-Calculation-sheet'!P9*'Output-Calculation-sheet'!P63</f>
        <v>525.43006439377621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404.60685924306404</v>
      </c>
      <c r="S76" s="2">
        <f>S10/'Output-Calculation-sheet'!S9*'Output-Calculation-sheet'!S63</f>
        <v>679.65512270887609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143.78828832391284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315.42862469317782</v>
      </c>
      <c r="Y76" s="2">
        <f>Y10/'Output-Calculation-sheet'!Y9*'Output-Calculation-sheet'!Y63</f>
        <v>5.9837419017584192</v>
      </c>
      <c r="AA76" s="2">
        <f t="shared" si="6"/>
        <v>22.8804313970419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7102.0450614485671</v>
      </c>
      <c r="D77" s="2">
        <f>D11/'Output-Calculation-sheet'!D10*'Output-Calculation-sheet'!D64</f>
        <v>1662.0447797533359</v>
      </c>
      <c r="E77" s="2">
        <f>E11/'Output-Calculation-sheet'!E10*'Output-Calculation-sheet'!E64</f>
        <v>2072.3434206799989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880.87407000866051</v>
      </c>
      <c r="H77" s="2">
        <f>H11/'Output-Calculation-sheet'!H10*'Output-Calculation-sheet'!H64</f>
        <v>4407.5166545293387</v>
      </c>
      <c r="I77" s="2">
        <f>I11/'Output-Calculation-sheet'!I10*'Output-Calculation-sheet'!I64</f>
        <v>517.66179712564383</v>
      </c>
      <c r="J77" s="2">
        <f>J11/'Output-Calculation-sheet'!J10*'Output-Calculation-sheet'!J64</f>
        <v>362.54983898239658</v>
      </c>
      <c r="K77" s="2">
        <f>K11/'Output-Calculation-sheet'!K10*'Output-Calculation-sheet'!K64</f>
        <v>788.37520498040521</v>
      </c>
      <c r="L77" s="2">
        <f>L11/'Output-Calculation-sheet'!L10*'Output-Calculation-sheet'!L64</f>
        <v>324.50545412344462</v>
      </c>
      <c r="M77" s="2">
        <f>M11/'Output-Calculation-sheet'!M10*'Output-Calculation-sheet'!M64</f>
        <v>3148.1521905247109</v>
      </c>
      <c r="N77" s="2">
        <f>N11/'Output-Calculation-sheet'!N10*'Output-Calculation-sheet'!N64</f>
        <v>2216.4962027993224</v>
      </c>
      <c r="O77" s="2">
        <f>O11/'Output-Calculation-sheet'!O10*'Output-Calculation-sheet'!O64</f>
        <v>807.19717284588376</v>
      </c>
      <c r="P77" s="2">
        <f>P11/'Output-Calculation-sheet'!P10*'Output-Calculation-sheet'!P64</f>
        <v>982.76366275844362</v>
      </c>
      <c r="Q77" s="2">
        <f>Q11/'Output-Calculation-sheet'!Q10*'Output-Calculation-sheet'!Q64</f>
        <v>691.98371313015218</v>
      </c>
      <c r="R77" s="2">
        <f>R11/'Output-Calculation-sheet'!R10*'Output-Calculation-sheet'!R64</f>
        <v>837.19456439153328</v>
      </c>
      <c r="S77" s="2">
        <f>S11/'Output-Calculation-sheet'!S10*'Output-Calculation-sheet'!S64</f>
        <v>1114.5989046206571</v>
      </c>
      <c r="T77" s="2">
        <f>T11/'Output-Calculation-sheet'!T10*'Output-Calculation-sheet'!T64</f>
        <v>230.74896778871326</v>
      </c>
      <c r="U77" s="2">
        <f>U11/'Output-Calculation-sheet'!U10*'Output-Calculation-sheet'!U64</f>
        <v>244.90476814905085</v>
      </c>
      <c r="V77" s="2">
        <f>V11/'Output-Calculation-sheet'!V10*'Output-Calculation-sheet'!V64</f>
        <v>122.04806081217293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315.13678510962205</v>
      </c>
      <c r="Y77" s="2">
        <f>Y11/'Output-Calculation-sheet'!Y10*'Output-Calculation-sheet'!Y64</f>
        <v>76.638783558603492</v>
      </c>
      <c r="AA77" s="2">
        <f t="shared" si="6"/>
        <v>42.645369364828262</v>
      </c>
    </row>
    <row r="78" spans="1:27" x14ac:dyDescent="0.25">
      <c r="A78" s="2">
        <v>2035</v>
      </c>
      <c r="B78" s="2">
        <f>B12/'Output-Calculation-sheet'!B11*'Output-Calculation-sheet'!B65</f>
        <v>12246.082824012421</v>
      </c>
      <c r="C78" s="2">
        <f>C12/'Output-Calculation-sheet'!C11*'Output-Calculation-sheet'!C65</f>
        <v>9490.3797740108948</v>
      </c>
      <c r="D78" s="2">
        <f>D12/'Output-Calculation-sheet'!D11*'Output-Calculation-sheet'!D65</f>
        <v>1635.8657383470525</v>
      </c>
      <c r="E78" s="2">
        <f>E12/'Output-Calculation-sheet'!E11*'Output-Calculation-sheet'!E65</f>
        <v>2834.6732823635352</v>
      </c>
      <c r="F78" s="2">
        <f>F12/'Output-Calculation-sheet'!F11*'Output-Calculation-sheet'!F65</f>
        <v>362.75443702414907</v>
      </c>
      <c r="G78" s="2">
        <f>G12/'Output-Calculation-sheet'!G11*'Output-Calculation-sheet'!G65</f>
        <v>718.3711501147526</v>
      </c>
      <c r="H78" s="2">
        <f>H12/'Output-Calculation-sheet'!H11*'Output-Calculation-sheet'!H65</f>
        <v>3895.4130099900103</v>
      </c>
      <c r="I78" s="2">
        <f>I12/'Output-Calculation-sheet'!I11*'Output-Calculation-sheet'!I65</f>
        <v>475.77068839537469</v>
      </c>
      <c r="J78" s="2">
        <f>J12/'Output-Calculation-sheet'!J11*'Output-Calculation-sheet'!J65</f>
        <v>688.63187531325127</v>
      </c>
      <c r="K78" s="2">
        <f>K12/'Output-Calculation-sheet'!K11*'Output-Calculation-sheet'!K65</f>
        <v>863.03144039908079</v>
      </c>
      <c r="L78" s="2">
        <f>L12/'Output-Calculation-sheet'!L11*'Output-Calculation-sheet'!L65</f>
        <v>732.1024537385747</v>
      </c>
      <c r="M78" s="2">
        <f>M12/'Output-Calculation-sheet'!M11*'Output-Calculation-sheet'!M65</f>
        <v>2838.4276244648358</v>
      </c>
      <c r="N78" s="2">
        <f>N12/'Output-Calculation-sheet'!N11*'Output-Calculation-sheet'!N65</f>
        <v>2013.302086877035</v>
      </c>
      <c r="O78" s="2">
        <f>O12/'Output-Calculation-sheet'!O11*'Output-Calculation-sheet'!O65</f>
        <v>1130.2559937865872</v>
      </c>
      <c r="P78" s="2">
        <f>P12/'Output-Calculation-sheet'!P11*'Output-Calculation-sheet'!P65</f>
        <v>988.55227283097531</v>
      </c>
      <c r="Q78" s="2">
        <f>Q12/'Output-Calculation-sheet'!Q11*'Output-Calculation-sheet'!Q65</f>
        <v>680.52189144292356</v>
      </c>
      <c r="R78" s="2">
        <f>R12/'Output-Calculation-sheet'!R11*'Output-Calculation-sheet'!R65</f>
        <v>921.20807562064658</v>
      </c>
      <c r="S78" s="2">
        <f>S12/'Output-Calculation-sheet'!S11*'Output-Calculation-sheet'!S65</f>
        <v>959.94001213885986</v>
      </c>
      <c r="T78" s="2">
        <f>T12/'Output-Calculation-sheet'!T11*'Output-Calculation-sheet'!T65</f>
        <v>317.77122847414824</v>
      </c>
      <c r="U78" s="2">
        <f>U12/'Output-Calculation-sheet'!U11*'Output-Calculation-sheet'!U65</f>
        <v>217.40178369553175</v>
      </c>
      <c r="V78" s="2">
        <f>V12/'Output-Calculation-sheet'!V11*'Output-Calculation-sheet'!V65</f>
        <v>178.42909879699928</v>
      </c>
      <c r="W78" s="2">
        <f>W12/'Output-Calculation-sheet'!W11*'Output-Calculation-sheet'!W65</f>
        <v>85.927368541034852</v>
      </c>
      <c r="X78" s="2">
        <f>X12/'Output-Calculation-sheet'!X11*'Output-Calculation-sheet'!X65</f>
        <v>277.87199692430841</v>
      </c>
      <c r="Y78" s="2">
        <f>Y12/'Output-Calculation-sheet'!Y11*'Output-Calculation-sheet'!Y65</f>
        <v>76.026561986323784</v>
      </c>
      <c r="AA78" s="2">
        <f t="shared" si="6"/>
        <v>44.628712669289307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314.86723586277901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81.560311042996176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0.3964275469057752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561.27841399652721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109.0412961716347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0.67031971016816194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667.94585727153537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129.76391080276355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0.79770976807429894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620.59114483122744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31.839547020706203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120.56416412524715</v>
      </c>
      <c r="P88" s="2">
        <f>P11/'Output-Calculation-sheet'!P10*'Output-Calculation-sheet'!P73</f>
        <v>0</v>
      </c>
      <c r="Q88" s="2">
        <f>Q11/'Output-Calculation-sheet'!Q10*'Output-Calculation-sheet'!Q73</f>
        <v>18.865937270104205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6.0193867214533467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2.4034410353161788</v>
      </c>
      <c r="Y88" s="2">
        <f>Y11/'Output-Calculation-sheet'!Y10*'Output-Calculation-sheet'!Y73</f>
        <v>0</v>
      </c>
      <c r="AA88" s="2">
        <f t="shared" si="7"/>
        <v>0.80028362100405448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452.24587915229426</v>
      </c>
      <c r="D89" s="2">
        <f>D12/'Output-Calculation-sheet'!D11*'Output-Calculation-sheet'!D74</f>
        <v>80.122728037765214</v>
      </c>
      <c r="E89" s="2">
        <f>E12/'Output-Calculation-sheet'!E11*'Output-Calculation-sheet'!E74</f>
        <v>127.35239492164949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28.741744023155661</v>
      </c>
      <c r="H89" s="2">
        <f>H12/'Output-Calculation-sheet'!H11*'Output-Calculation-sheet'!H74</f>
        <v>55.686146555401628</v>
      </c>
      <c r="I89" s="2">
        <f>I12/'Output-Calculation-sheet'!I11*'Output-Calculation-sheet'!I74</f>
        <v>25.851482742630662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25.407938304798211</v>
      </c>
      <c r="L89" s="2">
        <f>L12/'Output-Calculation-sheet'!L11*'Output-Calculation-sheet'!L74</f>
        <v>20.203175034869737</v>
      </c>
      <c r="M89" s="2">
        <f>M12/'Output-Calculation-sheet'!M11*'Output-Calculation-sheet'!M74</f>
        <v>38.31751803155975</v>
      </c>
      <c r="N89" s="2">
        <f>N12/'Output-Calculation-sheet'!N11*'Output-Calculation-sheet'!N74</f>
        <v>18.829985848083005</v>
      </c>
      <c r="O89" s="2">
        <f>O12/'Output-Calculation-sheet'!O11*'Output-Calculation-sheet'!O74</f>
        <v>87.859207874956255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16.497900347715667</v>
      </c>
      <c r="R89" s="2">
        <f>R12/'Output-Calculation-sheet'!R11*'Output-Calculation-sheet'!R74</f>
        <v>16.360744425472358</v>
      </c>
      <c r="S89" s="2">
        <f>S12/'Output-Calculation-sheet'!S11*'Output-Calculation-sheet'!S74</f>
        <v>21.587937259259437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5.26383825320287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8.4070523768974397</v>
      </c>
      <c r="Y89" s="2">
        <f>Y12/'Output-Calculation-sheet'!Y11*'Output-Calculation-sheet'!Y74</f>
        <v>4.0564807377186947</v>
      </c>
      <c r="AA89" s="2">
        <f t="shared" si="7"/>
        <v>1.5279838208581513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9758510595.4385548</v>
      </c>
      <c r="C96" s="2">
        <f>C8/'Output-Calculation-sheet'!C7*'Output-Calculation-sheet'!C79</f>
        <v>2356516771.9547763</v>
      </c>
      <c r="D96" s="2">
        <f>D8/'Output-Calculation-sheet'!D7*'Output-Calculation-sheet'!D79</f>
        <v>1913141032.3444743</v>
      </c>
      <c r="E96" s="2">
        <f>E8/'Output-Calculation-sheet'!E7*'Output-Calculation-sheet'!E79</f>
        <v>7167843476.4519587</v>
      </c>
      <c r="F96" s="2">
        <f>F8/'Output-Calculation-sheet'!F7*'Output-Calculation-sheet'!F79</f>
        <v>2090969624.0194728</v>
      </c>
      <c r="G96" s="2">
        <f>G8/'Output-Calculation-sheet'!G7*'Output-Calculation-sheet'!G79</f>
        <v>1342101369.0028634</v>
      </c>
      <c r="H96" s="2">
        <f>H8/'Output-Calculation-sheet'!H7*'Output-Calculation-sheet'!H79</f>
        <v>1653422157.189497</v>
      </c>
      <c r="I96" s="2">
        <f>I8/'Output-Calculation-sheet'!I7*'Output-Calculation-sheet'!I79</f>
        <v>965101409.81789064</v>
      </c>
      <c r="J96" s="2">
        <f>J8/'Output-Calculation-sheet'!J7*'Output-Calculation-sheet'!J79</f>
        <v>731357787.09378135</v>
      </c>
      <c r="K96" s="2">
        <f>K8/'Output-Calculation-sheet'!K7*'Output-Calculation-sheet'!K79</f>
        <v>917217424.86050916</v>
      </c>
      <c r="L96" s="2">
        <f>L8/'Output-Calculation-sheet'!L7*'Output-Calculation-sheet'!L79</f>
        <v>832675145.20422435</v>
      </c>
      <c r="M96" s="2">
        <f>M8/'Output-Calculation-sheet'!M7*'Output-Calculation-sheet'!M79</f>
        <v>1275773478.340781</v>
      </c>
      <c r="N96" s="2">
        <f>N8/'Output-Calculation-sheet'!N7*'Output-Calculation-sheet'!N79</f>
        <v>829338896.49376309</v>
      </c>
      <c r="O96" s="2">
        <f>O8/'Output-Calculation-sheet'!O7*'Output-Calculation-sheet'!O79</f>
        <v>311185822.45578045</v>
      </c>
      <c r="P96" s="2">
        <f>P8/'Output-Calculation-sheet'!P7*'Output-Calculation-sheet'!P79</f>
        <v>1579483571.6476641</v>
      </c>
      <c r="Q96" s="2">
        <f>Q8/'Output-Calculation-sheet'!Q7*'Output-Calculation-sheet'!Q79</f>
        <v>670598543.14182281</v>
      </c>
      <c r="R96" s="2">
        <f>R8/'Output-Calculation-sheet'!R7*'Output-Calculation-sheet'!R79</f>
        <v>890072026.8689723</v>
      </c>
      <c r="S96" s="2">
        <f>S8/'Output-Calculation-sheet'!S7*'Output-Calculation-sheet'!S79</f>
        <v>501965718.13000935</v>
      </c>
      <c r="T96" s="2">
        <f>T8/'Output-Calculation-sheet'!T7*'Output-Calculation-sheet'!T79</f>
        <v>302826753.29451066</v>
      </c>
      <c r="U96" s="2">
        <f>U8/'Output-Calculation-sheet'!U7*'Output-Calculation-sheet'!U79</f>
        <v>238362190.86970046</v>
      </c>
      <c r="V96" s="2">
        <f>V8/'Output-Calculation-sheet'!V7*'Output-Calculation-sheet'!V79</f>
        <v>109400419.64958574</v>
      </c>
      <c r="W96" s="2">
        <f>W8/'Output-Calculation-sheet'!W7*'Output-Calculation-sheet'!W79</f>
        <v>336831313.62969112</v>
      </c>
      <c r="X96" s="2">
        <f>X8/'Output-Calculation-sheet'!X7*'Output-Calculation-sheet'!X79</f>
        <v>151918379.47772813</v>
      </c>
      <c r="Y96" s="2">
        <f>Y8/'Output-Calculation-sheet'!Y7*'Output-Calculation-sheet'!Y79</f>
        <v>209067513.59686494</v>
      </c>
      <c r="AA96" s="2">
        <f t="shared" si="8"/>
        <v>37.135681420974883</v>
      </c>
    </row>
    <row r="97" spans="1:27" x14ac:dyDescent="0.25">
      <c r="A97" s="2">
        <v>2032</v>
      </c>
      <c r="B97" s="2">
        <f>B9/'Output-Calculation-sheet'!B8*'Output-Calculation-sheet'!B80</f>
        <v>11963563776.504723</v>
      </c>
      <c r="C97" s="2">
        <f>C9/'Output-Calculation-sheet'!C8*'Output-Calculation-sheet'!C80</f>
        <v>2825576566.1730371</v>
      </c>
      <c r="D97" s="2">
        <f>D9/'Output-Calculation-sheet'!D8*'Output-Calculation-sheet'!D80</f>
        <v>2158434371.6650338</v>
      </c>
      <c r="E97" s="2">
        <f>E9/'Output-Calculation-sheet'!E8*'Output-Calculation-sheet'!E80</f>
        <v>9086691653.3751125</v>
      </c>
      <c r="F97" s="2">
        <f>F9/'Output-Calculation-sheet'!F8*'Output-Calculation-sheet'!F80</f>
        <v>2491884622.3151431</v>
      </c>
      <c r="G97" s="2">
        <f>G9/'Output-Calculation-sheet'!G8*'Output-Calculation-sheet'!G80</f>
        <v>1526890135.7142088</v>
      </c>
      <c r="H97" s="2">
        <f>H9/'Output-Calculation-sheet'!H8*'Output-Calculation-sheet'!H80</f>
        <v>1999244540.8297334</v>
      </c>
      <c r="I97" s="2">
        <f>I9/'Output-Calculation-sheet'!I8*'Output-Calculation-sheet'!I80</f>
        <v>1151564559.5294967</v>
      </c>
      <c r="J97" s="2">
        <f>J9/'Output-Calculation-sheet'!J8*'Output-Calculation-sheet'!J80</f>
        <v>860538781.71034634</v>
      </c>
      <c r="K97" s="2">
        <f>K9/'Output-Calculation-sheet'!K8*'Output-Calculation-sheet'!K80</f>
        <v>1061335473.1396058</v>
      </c>
      <c r="L97" s="2">
        <f>L9/'Output-Calculation-sheet'!L8*'Output-Calculation-sheet'!L80</f>
        <v>1023729153.2355804</v>
      </c>
      <c r="M97" s="2">
        <f>M9/'Output-Calculation-sheet'!M8*'Output-Calculation-sheet'!M80</f>
        <v>1577269748.1861019</v>
      </c>
      <c r="N97" s="2">
        <f>N9/'Output-Calculation-sheet'!N8*'Output-Calculation-sheet'!N80</f>
        <v>991008170.74339163</v>
      </c>
      <c r="O97" s="2">
        <f>O9/'Output-Calculation-sheet'!O8*'Output-Calculation-sheet'!O80</f>
        <v>368375737.43477988</v>
      </c>
      <c r="P97" s="2">
        <f>P9/'Output-Calculation-sheet'!P8*'Output-Calculation-sheet'!P80</f>
        <v>1857891198.856235</v>
      </c>
      <c r="Q97" s="2">
        <f>Q9/'Output-Calculation-sheet'!Q8*'Output-Calculation-sheet'!Q80</f>
        <v>803603967.51897371</v>
      </c>
      <c r="R97" s="2">
        <f>R9/'Output-Calculation-sheet'!R8*'Output-Calculation-sheet'!R80</f>
        <v>1076832884.8349538</v>
      </c>
      <c r="S97" s="2">
        <f>S9/'Output-Calculation-sheet'!S8*'Output-Calculation-sheet'!S80</f>
        <v>599325289.05236363</v>
      </c>
      <c r="T97" s="2">
        <f>T9/'Output-Calculation-sheet'!T8*'Output-Calculation-sheet'!T80</f>
        <v>349464036.28998965</v>
      </c>
      <c r="U97" s="2">
        <f>U9/'Output-Calculation-sheet'!U8*'Output-Calculation-sheet'!U80</f>
        <v>278076117.30873793</v>
      </c>
      <c r="V97" s="2">
        <f>V9/'Output-Calculation-sheet'!V8*'Output-Calculation-sheet'!V80</f>
        <v>128265400.46304926</v>
      </c>
      <c r="W97" s="2">
        <f>W9/'Output-Calculation-sheet'!W8*'Output-Calculation-sheet'!W80</f>
        <v>396912759.41180646</v>
      </c>
      <c r="X97" s="2">
        <f>X9/'Output-Calculation-sheet'!X8*'Output-Calculation-sheet'!X80</f>
        <v>192237947.01115671</v>
      </c>
      <c r="Y97" s="2">
        <f>Y9/'Output-Calculation-sheet'!Y8*'Output-Calculation-sheet'!Y80</f>
        <v>252351694.8783007</v>
      </c>
      <c r="AA97" s="2">
        <f t="shared" si="8"/>
        <v>45.021068586181855</v>
      </c>
    </row>
    <row r="98" spans="1:27" x14ac:dyDescent="0.25">
      <c r="A98" s="2">
        <v>2033</v>
      </c>
      <c r="B98" s="2">
        <f>B10/'Output-Calculation-sheet'!B9*'Output-Calculation-sheet'!B81</f>
        <v>12987268007.330223</v>
      </c>
      <c r="C98" s="2">
        <f>C10/'Output-Calculation-sheet'!C9*'Output-Calculation-sheet'!C81</f>
        <v>3007341615.8898339</v>
      </c>
      <c r="D98" s="2">
        <f>D10/'Output-Calculation-sheet'!D9*'Output-Calculation-sheet'!D81</f>
        <v>2163472701.5691967</v>
      </c>
      <c r="E98" s="2">
        <f>E10/'Output-Calculation-sheet'!E9*'Output-Calculation-sheet'!E81</f>
        <v>10212418343.493834</v>
      </c>
      <c r="F98" s="2">
        <f>F10/'Output-Calculation-sheet'!F9*'Output-Calculation-sheet'!F81</f>
        <v>2631235245.0710692</v>
      </c>
      <c r="G98" s="2">
        <f>G10/'Output-Calculation-sheet'!G9*'Output-Calculation-sheet'!G81</f>
        <v>1537221566.5769105</v>
      </c>
      <c r="H98" s="2">
        <f>H10/'Output-Calculation-sheet'!H9*'Output-Calculation-sheet'!H81</f>
        <v>2140048442.4717078</v>
      </c>
      <c r="I98" s="2">
        <f>I10/'Output-Calculation-sheet'!I9*'Output-Calculation-sheet'!I81</f>
        <v>1219598302.6381619</v>
      </c>
      <c r="J98" s="2">
        <f>J10/'Output-Calculation-sheet'!J9*'Output-Calculation-sheet'!J81</f>
        <v>899690037.42232347</v>
      </c>
      <c r="K98" s="2">
        <f>K10/'Output-Calculation-sheet'!K9*'Output-Calculation-sheet'!K81</f>
        <v>1089479360.8405497</v>
      </c>
      <c r="L98" s="2">
        <f>L10/'Output-Calculation-sheet'!L9*'Output-Calculation-sheet'!L81</f>
        <v>1116607139.7940958</v>
      </c>
      <c r="M98" s="2">
        <f>M10/'Output-Calculation-sheet'!M9*'Output-Calculation-sheet'!M81</f>
        <v>1730342506.3163645</v>
      </c>
      <c r="N98" s="2">
        <f>N10/'Output-Calculation-sheet'!N9*'Output-Calculation-sheet'!N81</f>
        <v>1051555538.3198863</v>
      </c>
      <c r="O98" s="2">
        <f>O10/'Output-Calculation-sheet'!O9*'Output-Calculation-sheet'!O81</f>
        <v>387845297.34920913</v>
      </c>
      <c r="P98" s="2">
        <f>P10/'Output-Calculation-sheet'!P9*'Output-Calculation-sheet'!P81</f>
        <v>1924104299.1056385</v>
      </c>
      <c r="Q98" s="2">
        <f>Q10/'Output-Calculation-sheet'!Q9*'Output-Calculation-sheet'!Q81</f>
        <v>854943731.64488673</v>
      </c>
      <c r="R98" s="2">
        <f>R10/'Output-Calculation-sheet'!R9*'Output-Calculation-sheet'!R81</f>
        <v>1153981130.1933217</v>
      </c>
      <c r="S98" s="2">
        <f>S10/'Output-Calculation-sheet'!S9*'Output-Calculation-sheet'!S81</f>
        <v>633766611.3530798</v>
      </c>
      <c r="T98" s="2">
        <f>T10/'Output-Calculation-sheet'!T9*'Output-Calculation-sheet'!T81</f>
        <v>357074034.00250643</v>
      </c>
      <c r="U98" s="2">
        <f>U10/'Output-Calculation-sheet'!U9*'Output-Calculation-sheet'!U81</f>
        <v>286919442.01302826</v>
      </c>
      <c r="V98" s="2">
        <f>V10/'Output-Calculation-sheet'!V9*'Output-Calculation-sheet'!V81</f>
        <v>133259190.68705483</v>
      </c>
      <c r="W98" s="2">
        <f>W10/'Output-Calculation-sheet'!W9*'Output-Calculation-sheet'!W81</f>
        <v>412101209.20275247</v>
      </c>
      <c r="X98" s="2">
        <f>X10/'Output-Calculation-sheet'!X9*'Output-Calculation-sheet'!X81</f>
        <v>216038755.80938658</v>
      </c>
      <c r="Y98" s="2">
        <f>Y10/'Output-Calculation-sheet'!Y9*'Output-Calculation-sheet'!Y81</f>
        <v>268963332.0704118</v>
      </c>
      <c r="AA98" s="2">
        <f t="shared" si="8"/>
        <v>48.41527584116546</v>
      </c>
    </row>
    <row r="99" spans="1:27" x14ac:dyDescent="0.25">
      <c r="A99" s="2">
        <v>2034</v>
      </c>
      <c r="B99" s="2">
        <f>B11/'Output-Calculation-sheet'!B10*'Output-Calculation-sheet'!B82</f>
        <v>12774094930.280375</v>
      </c>
      <c r="C99" s="2">
        <f>C11/'Output-Calculation-sheet'!C10*'Output-Calculation-sheet'!C82</f>
        <v>2907803598.4339347</v>
      </c>
      <c r="D99" s="2">
        <f>D11/'Output-Calculation-sheet'!D10*'Output-Calculation-sheet'!D82</f>
        <v>1972447676.4316127</v>
      </c>
      <c r="E99" s="2">
        <f>E11/'Output-Calculation-sheet'!E10*'Output-Calculation-sheet'!E82</f>
        <v>10410241687.220835</v>
      </c>
      <c r="F99" s="2">
        <f>F11/'Output-Calculation-sheet'!F10*'Output-Calculation-sheet'!F82</f>
        <v>2519863391.5664105</v>
      </c>
      <c r="G99" s="2">
        <f>G11/'Output-Calculation-sheet'!G10*'Output-Calculation-sheet'!G82</f>
        <v>1402455971.4441793</v>
      </c>
      <c r="H99" s="2">
        <f>H11/'Output-Calculation-sheet'!H10*'Output-Calculation-sheet'!H82</f>
        <v>2075269198.4716692</v>
      </c>
      <c r="I99" s="2">
        <f>I11/'Output-Calculation-sheet'!I10*'Output-Calculation-sheet'!I82</f>
        <v>1173475528.6508839</v>
      </c>
      <c r="J99" s="2">
        <f>J11/'Output-Calculation-sheet'!J10*'Output-Calculation-sheet'!J82</f>
        <v>855457878.05842662</v>
      </c>
      <c r="K99" s="2">
        <f>K11/'Output-Calculation-sheet'!K10*'Output-Calculation-sheet'!K82</f>
        <v>1015732282.1802326</v>
      </c>
      <c r="L99" s="2">
        <f>L11/'Output-Calculation-sheet'!L10*'Output-Calculation-sheet'!L82</f>
        <v>1105712713.1931999</v>
      </c>
      <c r="M99" s="2">
        <f>M11/'Output-Calculation-sheet'!M10*'Output-Calculation-sheet'!M82</f>
        <v>1723639724.3247335</v>
      </c>
      <c r="N99" s="2">
        <f>N11/'Output-Calculation-sheet'!N10*'Output-Calculation-sheet'!N82</f>
        <v>1014139818.9771038</v>
      </c>
      <c r="O99" s="2">
        <f>O11/'Output-Calculation-sheet'!O10*'Output-Calculation-sheet'!O82</f>
        <v>371680630.55269754</v>
      </c>
      <c r="P99" s="2">
        <f>P11/'Output-Calculation-sheet'!P10*'Output-Calculation-sheet'!P82</f>
        <v>1796563349.4197302</v>
      </c>
      <c r="Q99" s="2">
        <f>Q11/'Output-Calculation-sheet'!Q10*'Output-Calculation-sheet'!Q82</f>
        <v>826399554.33281791</v>
      </c>
      <c r="R99" s="2">
        <f>R11/'Output-Calculation-sheet'!R10*'Output-Calculation-sheet'!R82</f>
        <v>1120989452.481137</v>
      </c>
      <c r="S99" s="2">
        <f>S11/'Output-Calculation-sheet'!S10*'Output-Calculation-sheet'!S82</f>
        <v>607481953.62437725</v>
      </c>
      <c r="T99" s="2">
        <f>T11/'Output-Calculation-sheet'!T10*'Output-Calculation-sheet'!T82</f>
        <v>330799483.12598819</v>
      </c>
      <c r="U99" s="2">
        <f>U11/'Output-Calculation-sheet'!U10*'Output-Calculation-sheet'!U82</f>
        <v>268091205.02462029</v>
      </c>
      <c r="V99" s="2">
        <f>V11/'Output-Calculation-sheet'!V10*'Output-Calculation-sheet'!V82</f>
        <v>125580004.97931585</v>
      </c>
      <c r="W99" s="2">
        <f>W11/'Output-Calculation-sheet'!W10*'Output-Calculation-sheet'!W82</f>
        <v>386029678.21452862</v>
      </c>
      <c r="X99" s="2">
        <f>X11/'Output-Calculation-sheet'!X10*'Output-Calculation-sheet'!X82</f>
        <v>220632161.70842049</v>
      </c>
      <c r="Y99" s="2">
        <f>Y11/'Output-Calculation-sheet'!Y10*'Output-Calculation-sheet'!Y82</f>
        <v>259105329.49754789</v>
      </c>
      <c r="AA99" s="2">
        <f t="shared" si="8"/>
        <v>47.263687202194781</v>
      </c>
    </row>
    <row r="100" spans="1:27" x14ac:dyDescent="0.25">
      <c r="A100" s="2">
        <v>2035</v>
      </c>
      <c r="B100" s="2">
        <f>B12/'Output-Calculation-sheet'!B11*'Output-Calculation-sheet'!B83</f>
        <v>11523262835.452614</v>
      </c>
      <c r="C100" s="2">
        <f>C12/'Output-Calculation-sheet'!C11*'Output-Calculation-sheet'!C83</f>
        <v>2585855105.7840214</v>
      </c>
      <c r="D100" s="2">
        <f>D12/'Output-Calculation-sheet'!D11*'Output-Calculation-sheet'!D83</f>
        <v>1656455676.9981973</v>
      </c>
      <c r="E100" s="2">
        <f>E12/'Output-Calculation-sheet'!E11*'Output-Calculation-sheet'!E83</f>
        <v>9740898144.668396</v>
      </c>
      <c r="F100" s="2">
        <f>F12/'Output-Calculation-sheet'!F11*'Output-Calculation-sheet'!F83</f>
        <v>2216171300.864625</v>
      </c>
      <c r="G100" s="2">
        <f>G12/'Output-Calculation-sheet'!G11*'Output-Calculation-sheet'!G83</f>
        <v>1174498316.5006294</v>
      </c>
      <c r="H100" s="2">
        <f>H12/'Output-Calculation-sheet'!H11*'Output-Calculation-sheet'!H83</f>
        <v>1845611523.9003317</v>
      </c>
      <c r="I100" s="2">
        <f>I12/'Output-Calculation-sheet'!I11*'Output-Calculation-sheet'!I83</f>
        <v>1038618477.2017168</v>
      </c>
      <c r="J100" s="2">
        <f>J12/'Output-Calculation-sheet'!J11*'Output-Calculation-sheet'!J83</f>
        <v>748968778.89573944</v>
      </c>
      <c r="K100" s="2">
        <f>K12/'Output-Calculation-sheet'!K11*'Output-Calculation-sheet'!K83</f>
        <v>870979805.73897088</v>
      </c>
      <c r="L100" s="2">
        <f>L12/'Output-Calculation-sheet'!L11*'Output-Calculation-sheet'!L83</f>
        <v>1006283378.7082982</v>
      </c>
      <c r="M100" s="2">
        <f>M12/'Output-Calculation-sheet'!M11*'Output-Calculation-sheet'!M83</f>
        <v>1578082456.9182482</v>
      </c>
      <c r="N100" s="2">
        <f>N12/'Output-Calculation-sheet'!N11*'Output-Calculation-sheet'!N83</f>
        <v>900018151.67983282</v>
      </c>
      <c r="O100" s="2">
        <f>O12/'Output-Calculation-sheet'!O11*'Output-Calculation-sheet'!O83</f>
        <v>328208789.84025985</v>
      </c>
      <c r="P100" s="2">
        <f>P12/'Output-Calculation-sheet'!P11*'Output-Calculation-sheet'!P83</f>
        <v>1532249934.4580917</v>
      </c>
      <c r="Q100" s="2">
        <f>Q12/'Output-Calculation-sheet'!Q11*'Output-Calculation-sheet'!Q83</f>
        <v>734715019.4001174</v>
      </c>
      <c r="R100" s="2">
        <f>R12/'Output-Calculation-sheet'!R11*'Output-Calculation-sheet'!R83</f>
        <v>999265350.88201952</v>
      </c>
      <c r="S100" s="2">
        <f>S12/'Output-Calculation-sheet'!S11*'Output-Calculation-sheet'!S83</f>
        <v>534356712.28605479</v>
      </c>
      <c r="T100" s="2">
        <f>T12/'Output-Calculation-sheet'!T11*'Output-Calculation-sheet'!T83</f>
        <v>281447469.34283549</v>
      </c>
      <c r="U100" s="2">
        <f>U12/'Output-Calculation-sheet'!U11*'Output-Calculation-sheet'!U83</f>
        <v>229761644.3827298</v>
      </c>
      <c r="V100" s="2">
        <f>V12/'Output-Calculation-sheet'!V11*'Output-Calculation-sheet'!V83</f>
        <v>108693316.41396287</v>
      </c>
      <c r="W100" s="2">
        <f>W12/'Output-Calculation-sheet'!W11*'Output-Calculation-sheet'!W83</f>
        <v>330500706.98144591</v>
      </c>
      <c r="X100" s="2">
        <f>X12/'Output-Calculation-sheet'!X11*'Output-Calculation-sheet'!X83</f>
        <v>207261395.20468718</v>
      </c>
      <c r="Y100" s="2">
        <f>Y12/'Output-Calculation-sheet'!Y11*'Output-Calculation-sheet'!Y83</f>
        <v>228465051.62905461</v>
      </c>
      <c r="AA100" s="2">
        <f t="shared" si="8"/>
        <v>42.400629344132888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1620213081.8086596</v>
      </c>
      <c r="C107" s="2">
        <f>C8/'Output-Calculation-sheet'!C7*'Output-Calculation-sheet'!C88</f>
        <v>20893141382.569046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8325272812.5477819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5743742028.4926748</v>
      </c>
      <c r="N107" s="2">
        <f>N8/'Output-Calculation-sheet'!N7*'Output-Calculation-sheet'!N88</f>
        <v>1917442191.4973924</v>
      </c>
      <c r="O107" s="2">
        <f>O8/'Output-Calculation-sheet'!O7*'Output-Calculation-sheet'!O88</f>
        <v>3291776192.7031016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576070611.94493544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622048596.67143261</v>
      </c>
      <c r="Y107" s="2">
        <f>Y8/'Output-Calculation-sheet'!Y7*'Output-Calculation-sheet'!Y88</f>
        <v>0</v>
      </c>
      <c r="AA107" s="2">
        <f t="shared" si="9"/>
        <v>42989.706898235025</v>
      </c>
    </row>
    <row r="108" spans="1:27" x14ac:dyDescent="0.25">
      <c r="A108" s="2">
        <v>2032</v>
      </c>
      <c r="B108" s="2">
        <f>B9/'Output-Calculation-sheet'!B8*'Output-Calculation-sheet'!B89</f>
        <v>7116694767.3646421</v>
      </c>
      <c r="C108" s="2">
        <f>C9/'Output-Calculation-sheet'!C8*'Output-Calculation-sheet'!C89</f>
        <v>24175069531.746578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11130490766.9245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7679070798.526144</v>
      </c>
      <c r="N108" s="2">
        <f>N9/'Output-Calculation-sheet'!N8*'Output-Calculation-sheet'!N89</f>
        <v>3613610108.4708567</v>
      </c>
      <c r="O108" s="2">
        <f>O9/'Output-Calculation-sheet'!O8*'Output-Calculation-sheet'!O89</f>
        <v>3868800453.9510632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1075359202.1593001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831666320.98066688</v>
      </c>
      <c r="Y108" s="2">
        <f>Y9/'Output-Calculation-sheet'!Y8*'Output-Calculation-sheet'!Y89</f>
        <v>0</v>
      </c>
      <c r="AA108" s="2">
        <f t="shared" si="9"/>
        <v>59490.761950123757</v>
      </c>
    </row>
    <row r="109" spans="1:27" x14ac:dyDescent="0.25">
      <c r="A109" s="2">
        <v>2033</v>
      </c>
      <c r="B109" s="2">
        <f>B10/'Output-Calculation-sheet'!B9*'Output-Calculation-sheet'!B90</f>
        <v>18100932454.78933</v>
      </c>
      <c r="C109" s="2">
        <f>C10/'Output-Calculation-sheet'!C9*'Output-Calculation-sheet'!C90</f>
        <v>26699565971.665039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13246168268.668051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9138705003.268322</v>
      </c>
      <c r="N109" s="2">
        <f>N10/'Output-Calculation-sheet'!N9*'Output-Calculation-sheet'!N90</f>
        <v>5383447497.9963884</v>
      </c>
      <c r="O109" s="2">
        <f>O10/'Output-Calculation-sheet'!O9*'Output-Calculation-sheet'!O90</f>
        <v>4171001384.9332285</v>
      </c>
      <c r="P109" s="2">
        <f>P10/'Output-Calculation-sheet'!P9*'Output-Calculation-sheet'!P90</f>
        <v>0</v>
      </c>
      <c r="Q109" s="2">
        <f>Q10/'Output-Calculation-sheet'!Q9*'Output-Calculation-sheet'!Q90</f>
        <v>175213246.23299128</v>
      </c>
      <c r="R109" s="2">
        <f>R10/'Output-Calculation-sheet'!R9*'Output-Calculation-sheet'!R90</f>
        <v>-3.6101088799629981E-7</v>
      </c>
      <c r="S109" s="2">
        <f>S10/'Output-Calculation-sheet'!S9*'Output-Calculation-sheet'!S90</f>
        <v>2163952083.9429088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989749401.39197469</v>
      </c>
      <c r="Y109" s="2">
        <f>Y10/'Output-Calculation-sheet'!Y9*'Output-Calculation-sheet'!Y90</f>
        <v>0</v>
      </c>
      <c r="AA109" s="2">
        <f t="shared" si="9"/>
        <v>80068.73531288821</v>
      </c>
    </row>
    <row r="110" spans="1:27" x14ac:dyDescent="0.25">
      <c r="A110" s="2">
        <v>2034</v>
      </c>
      <c r="B110" s="2">
        <f>B11/'Output-Calculation-sheet'!B10*'Output-Calculation-sheet'!B91</f>
        <v>38396804094.719589</v>
      </c>
      <c r="C110" s="2">
        <f>C11/'Output-Calculation-sheet'!C10*'Output-Calculation-sheet'!C91</f>
        <v>28304055394.877335</v>
      </c>
      <c r="D110" s="2">
        <f>D11/'Output-Calculation-sheet'!D10*'Output-Calculation-sheet'!D91</f>
        <v>0</v>
      </c>
      <c r="E110" s="2">
        <f>E11/'Output-Calculation-sheet'!E10*'Output-Calculation-sheet'!E91</f>
        <v>812676098.67585552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13996798596.399933</v>
      </c>
      <c r="I110" s="2">
        <f>I11/'Output-Calculation-sheet'!I10*'Output-Calculation-sheet'!I91</f>
        <v>-1.3475554562272651E-6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653192329.44451153</v>
      </c>
      <c r="M110" s="2">
        <f>M11/'Output-Calculation-sheet'!M10*'Output-Calculation-sheet'!M91</f>
        <v>9906152258.2572346</v>
      </c>
      <c r="N110" s="2">
        <f>N11/'Output-Calculation-sheet'!N10*'Output-Calculation-sheet'!N91</f>
        <v>6855731538.7627783</v>
      </c>
      <c r="O110" s="2">
        <f>O11/'Output-Calculation-sheet'!O10*'Output-Calculation-sheet'!O91</f>
        <v>4346957012.7576685</v>
      </c>
      <c r="P110" s="2">
        <f>P11/'Output-Calculation-sheet'!P10*'Output-Calculation-sheet'!P91</f>
        <v>0</v>
      </c>
      <c r="Q110" s="2">
        <f>Q11/'Output-Calculation-sheet'!Q10*'Output-Calculation-sheet'!Q91</f>
        <v>1097488923.4512627</v>
      </c>
      <c r="R110" s="2">
        <f>R11/'Output-Calculation-sheet'!R10*'Output-Calculation-sheet'!R91</f>
        <v>0</v>
      </c>
      <c r="S110" s="2">
        <f>S11/'Output-Calculation-sheet'!S10*'Output-Calculation-sheet'!S91</f>
        <v>3356173328.7198129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967057668.04575193</v>
      </c>
      <c r="Y110" s="2">
        <f>Y11/'Output-Calculation-sheet'!Y10*'Output-Calculation-sheet'!Y91</f>
        <v>43003442.529776648</v>
      </c>
      <c r="AA110" s="2">
        <f t="shared" si="9"/>
        <v>108736.09068664152</v>
      </c>
    </row>
    <row r="111" spans="1:27" x14ac:dyDescent="0.25">
      <c r="A111" s="2">
        <v>2035</v>
      </c>
      <c r="B111" s="2">
        <f>B12/'Output-Calculation-sheet'!B11*'Output-Calculation-sheet'!B92</f>
        <v>34612106669.319252</v>
      </c>
      <c r="C111" s="2">
        <f>C12/'Output-Calculation-sheet'!C11*'Output-Calculation-sheet'!C92</f>
        <v>30346168826.833263</v>
      </c>
      <c r="D111" s="2">
        <f>D12/'Output-Calculation-sheet'!D11*'Output-Calculation-sheet'!D92</f>
        <v>-9.0593166137740374E-7</v>
      </c>
      <c r="E111" s="2">
        <f>E12/'Output-Calculation-sheet'!E11*'Output-Calculation-sheet'!E92</f>
        <v>2807326902.6020093</v>
      </c>
      <c r="F111" s="2">
        <f>F12/'Output-Calculation-sheet'!F11*'Output-Calculation-sheet'!F92</f>
        <v>-1.9901754467904265E-7</v>
      </c>
      <c r="G111" s="2">
        <f>G12/'Output-Calculation-sheet'!G11*'Output-Calculation-sheet'!G92</f>
        <v>0</v>
      </c>
      <c r="H111" s="2">
        <f>H12/'Output-Calculation-sheet'!H11*'Output-Calculation-sheet'!H92</f>
        <v>12613981368.812332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1365977272.489363</v>
      </c>
      <c r="M111" s="2">
        <f>M12/'Output-Calculation-sheet'!M11*'Output-Calculation-sheet'!M92</f>
        <v>8988747537.3237705</v>
      </c>
      <c r="N111" s="2">
        <f>N12/'Output-Calculation-sheet'!N11*'Output-Calculation-sheet'!N92</f>
        <v>6328577475.6765566</v>
      </c>
      <c r="O111" s="2">
        <f>O12/'Output-Calculation-sheet'!O11*'Output-Calculation-sheet'!O92</f>
        <v>4585512633.7265663</v>
      </c>
      <c r="P111" s="2">
        <f>P12/'Output-Calculation-sheet'!P11*'Output-Calculation-sheet'!P92</f>
        <v>271939026.55394375</v>
      </c>
      <c r="Q111" s="2">
        <f>Q12/'Output-Calculation-sheet'!Q11*'Output-Calculation-sheet'!Q92</f>
        <v>1202707658.9836981</v>
      </c>
      <c r="R111" s="2">
        <f>R12/'Output-Calculation-sheet'!R11*'Output-Calculation-sheet'!R92</f>
        <v>0</v>
      </c>
      <c r="S111" s="2">
        <f>S12/'Output-Calculation-sheet'!S11*'Output-Calculation-sheet'!S92</f>
        <v>3023317214.1726027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878642481.89311254</v>
      </c>
      <c r="Y111" s="2">
        <f>Y12/'Output-Calculation-sheet'!Y11*'Output-Calculation-sheet'!Y92</f>
        <v>59499222.234232806</v>
      </c>
      <c r="AA111" s="2">
        <f t="shared" si="9"/>
        <v>107084.50429062072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55014769583.503525</v>
      </c>
      <c r="C118" s="2">
        <f>C8/'Output-Calculation-sheet'!C7*'Output-Calculation-sheet'!C97</f>
        <v>0</v>
      </c>
      <c r="D118" s="2">
        <f>D8/'Output-Calculation-sheet'!D7*'Output-Calculation-sheet'!D97</f>
        <v>23787345319.967926</v>
      </c>
      <c r="E118" s="2">
        <f>E8/'Output-Calculation-sheet'!E7*'Output-Calculation-sheet'!E97</f>
        <v>18872844647.74744</v>
      </c>
      <c r="F118" s="2">
        <f>F8/'Output-Calculation-sheet'!F7*'Output-Calculation-sheet'!F97</f>
        <v>12149127345.229013</v>
      </c>
      <c r="G118" s="2">
        <f>G8/'Output-Calculation-sheet'!G7*'Output-Calculation-sheet'!G97</f>
        <v>8536310296.5583925</v>
      </c>
      <c r="H118" s="2">
        <f>H8/'Output-Calculation-sheet'!H7*'Output-Calculation-sheet'!H97</f>
        <v>0</v>
      </c>
      <c r="I118" s="2">
        <f>I8/'Output-Calculation-sheet'!I7*'Output-Calculation-sheet'!I97</f>
        <v>7777250634.6195097</v>
      </c>
      <c r="J118" s="2">
        <f>J8/'Output-Calculation-sheet'!J7*'Output-Calculation-sheet'!J97</f>
        <v>7569840103.3521194</v>
      </c>
      <c r="K118" s="2">
        <f>K8/'Output-Calculation-sheet'!K7*'Output-Calculation-sheet'!K97</f>
        <v>7497268137.6254025</v>
      </c>
      <c r="L118" s="2">
        <f>L8/'Output-Calculation-sheet'!L7*'Output-Calculation-sheet'!L97</f>
        <v>6014405985.2673931</v>
      </c>
      <c r="M118" s="2">
        <f>M8/'Output-Calculation-sheet'!M7*'Output-Calculation-sheet'!M97</f>
        <v>0</v>
      </c>
      <c r="N118" s="2">
        <f>N8/'Output-Calculation-sheet'!N7*'Output-Calculation-sheet'!N97</f>
        <v>3721014815.2857127</v>
      </c>
      <c r="O118" s="2">
        <f>O8/'Output-Calculation-sheet'!O7*'Output-Calculation-sheet'!O97</f>
        <v>0</v>
      </c>
      <c r="P118" s="2">
        <f>P8/'Output-Calculation-sheet'!P7*'Output-Calculation-sheet'!P97</f>
        <v>5132985418.8488798</v>
      </c>
      <c r="Q118" s="2">
        <f>Q8/'Output-Calculation-sheet'!Q7*'Output-Calculation-sheet'!Q97</f>
        <v>5050027121.5515776</v>
      </c>
      <c r="R118" s="2">
        <f>R8/'Output-Calculation-sheet'!R7*'Output-Calculation-sheet'!R97</f>
        <v>4858358343.0691805</v>
      </c>
      <c r="S118" s="2">
        <f>S8/'Output-Calculation-sheet'!S7*'Output-Calculation-sheet'!S97</f>
        <v>2653043601.0461817</v>
      </c>
      <c r="T118" s="2">
        <f>T8/'Output-Calculation-sheet'!T7*'Output-Calculation-sheet'!T97</f>
        <v>1785891100.1944332</v>
      </c>
      <c r="U118" s="2">
        <f>U8/'Output-Calculation-sheet'!U7*'Output-Calculation-sheet'!U97</f>
        <v>1555449821.5203106</v>
      </c>
      <c r="V118" s="2">
        <f>V8/'Output-Calculation-sheet'!V7*'Output-Calculation-sheet'!V97</f>
        <v>1197727942.2278152</v>
      </c>
      <c r="W118" s="2">
        <f>W8/'Output-Calculation-sheet'!W7*'Output-Calculation-sheet'!W97</f>
        <v>1036966547.3626206</v>
      </c>
      <c r="X118" s="2">
        <f>X8/'Output-Calculation-sheet'!X7*'Output-Calculation-sheet'!X97</f>
        <v>0</v>
      </c>
      <c r="Y118" s="2">
        <f>Y8/'Output-Calculation-sheet'!Y7*'Output-Calculation-sheet'!Y97</f>
        <v>605063995.24973857</v>
      </c>
      <c r="AA118" s="2">
        <f t="shared" si="10"/>
        <v>174815.69076022715</v>
      </c>
    </row>
    <row r="119" spans="1:27" x14ac:dyDescent="0.25">
      <c r="A119" s="2">
        <v>2032</v>
      </c>
      <c r="B119" s="2">
        <f>B9/'Output-Calculation-sheet'!B8*'Output-Calculation-sheet'!B98</f>
        <v>68600916599.260582</v>
      </c>
      <c r="C119" s="2">
        <f>C9/'Output-Calculation-sheet'!C8*'Output-Calculation-sheet'!C98</f>
        <v>0</v>
      </c>
      <c r="D119" s="2">
        <f>D9/'Output-Calculation-sheet'!D8*'Output-Calculation-sheet'!D98</f>
        <v>31802271665.716805</v>
      </c>
      <c r="E119" s="2">
        <f>E9/'Output-Calculation-sheet'!E8*'Output-Calculation-sheet'!E98</f>
        <v>25231869450.253853</v>
      </c>
      <c r="F119" s="2">
        <f>F9/'Output-Calculation-sheet'!F8*'Output-Calculation-sheet'!F98</f>
        <v>16242664830.81427</v>
      </c>
      <c r="G119" s="2">
        <f>G9/'Output-Calculation-sheet'!G8*'Output-Calculation-sheet'!G98</f>
        <v>11412542115.450201</v>
      </c>
      <c r="H119" s="2">
        <f>H9/'Output-Calculation-sheet'!H8*'Output-Calculation-sheet'!H98</f>
        <v>2.3960946970824543E-7</v>
      </c>
      <c r="I119" s="2">
        <f>I9/'Output-Calculation-sheet'!I8*'Output-Calculation-sheet'!I98</f>
        <v>10397725011.89209</v>
      </c>
      <c r="J119" s="2">
        <f>J9/'Output-Calculation-sheet'!J8*'Output-Calculation-sheet'!J98</f>
        <v>10120425445.146877</v>
      </c>
      <c r="K119" s="2">
        <f>K9/'Output-Calculation-sheet'!K8*'Output-Calculation-sheet'!K98</f>
        <v>10023402620.939047</v>
      </c>
      <c r="L119" s="2">
        <f>L9/'Output-Calculation-sheet'!L8*'Output-Calculation-sheet'!L98</f>
        <v>8040905795.0798206</v>
      </c>
      <c r="M119" s="2">
        <f>M9/'Output-Calculation-sheet'!M8*'Output-Calculation-sheet'!M98</f>
        <v>0</v>
      </c>
      <c r="N119" s="2">
        <f>N9/'Output-Calculation-sheet'!N8*'Output-Calculation-sheet'!N98</f>
        <v>3924041931.6997499</v>
      </c>
      <c r="O119" s="2">
        <f>O9/'Output-Calculation-sheet'!O8*'Output-Calculation-sheet'!O98</f>
        <v>0</v>
      </c>
      <c r="P119" s="2">
        <f>P9/'Output-Calculation-sheet'!P8*'Output-Calculation-sheet'!P98</f>
        <v>6862452121.6403952</v>
      </c>
      <c r="Q119" s="2">
        <f>Q9/'Output-Calculation-sheet'!Q8*'Output-Calculation-sheet'!Q98</f>
        <v>6751587110.7345476</v>
      </c>
      <c r="R119" s="2">
        <f>R9/'Output-Calculation-sheet'!R8*'Output-Calculation-sheet'!R98</f>
        <v>6495337830.6771355</v>
      </c>
      <c r="S119" s="2">
        <f>S9/'Output-Calculation-sheet'!S8*'Output-Calculation-sheet'!S98</f>
        <v>3241546984.2151237</v>
      </c>
      <c r="T119" s="2">
        <f>T9/'Output-Calculation-sheet'!T8*'Output-Calculation-sheet'!T98</f>
        <v>2387630240.4792237</v>
      </c>
      <c r="U119" s="2">
        <f>U9/'Output-Calculation-sheet'!U8*'Output-Calculation-sheet'!U98</f>
        <v>2079544766.1015661</v>
      </c>
      <c r="V119" s="2">
        <f>V9/'Output-Calculation-sheet'!V8*'Output-Calculation-sheet'!V98</f>
        <v>1601291061.0558321</v>
      </c>
      <c r="W119" s="2">
        <f>W9/'Output-Calculation-sheet'!W8*'Output-Calculation-sheet'!W98</f>
        <v>1386362959.5526669</v>
      </c>
      <c r="X119" s="2">
        <f>X9/'Output-Calculation-sheet'!X8*'Output-Calculation-sheet'!X98</f>
        <v>0</v>
      </c>
      <c r="Y119" s="2">
        <f>Y9/'Output-Calculation-sheet'!Y8*'Output-Calculation-sheet'!Y98</f>
        <v>808934469.07129753</v>
      </c>
      <c r="AA119" s="2">
        <f t="shared" si="10"/>
        <v>227411.45300978108</v>
      </c>
    </row>
    <row r="120" spans="1:27" x14ac:dyDescent="0.25">
      <c r="A120" s="2">
        <v>2033</v>
      </c>
      <c r="B120" s="2">
        <f>B10/'Output-Calculation-sheet'!B9*'Output-Calculation-sheet'!B99</f>
        <v>72000856083.244766</v>
      </c>
      <c r="C120" s="2">
        <f>C10/'Output-Calculation-sheet'!C9*'Output-Calculation-sheet'!C99</f>
        <v>0</v>
      </c>
      <c r="D120" s="2">
        <f>D10/'Output-Calculation-sheet'!D9*'Output-Calculation-sheet'!D99</f>
        <v>37846095962.770439</v>
      </c>
      <c r="E120" s="2">
        <f>E10/'Output-Calculation-sheet'!E9*'Output-Calculation-sheet'!E99</f>
        <v>30027032733.772495</v>
      </c>
      <c r="F120" s="2">
        <f>F10/'Output-Calculation-sheet'!F9*'Output-Calculation-sheet'!F99</f>
        <v>19329478480.367973</v>
      </c>
      <c r="G120" s="2">
        <f>G10/'Output-Calculation-sheet'!G9*'Output-Calculation-sheet'!G99</f>
        <v>13581422063.525066</v>
      </c>
      <c r="H120" s="2">
        <f>H10/'Output-Calculation-sheet'!H9*'Output-Calculation-sheet'!H99</f>
        <v>0</v>
      </c>
      <c r="I120" s="2">
        <f>I10/'Output-Calculation-sheet'!I9*'Output-Calculation-sheet'!I99</f>
        <v>12373746182.296591</v>
      </c>
      <c r="J120" s="2">
        <f>J10/'Output-Calculation-sheet'!J9*'Output-Calculation-sheet'!J99</f>
        <v>12043747584.748884</v>
      </c>
      <c r="K120" s="2">
        <f>K10/'Output-Calculation-sheet'!K9*'Output-Calculation-sheet'!K99</f>
        <v>11928287440.717987</v>
      </c>
      <c r="L120" s="2">
        <f>L10/'Output-Calculation-sheet'!L9*'Output-Calculation-sheet'!L99</f>
        <v>9569028529.037077</v>
      </c>
      <c r="M120" s="2">
        <f>M10/'Output-Calculation-sheet'!M9*'Output-Calculation-sheet'!M99</f>
        <v>0</v>
      </c>
      <c r="N120" s="2">
        <f>N10/'Output-Calculation-sheet'!N9*'Output-Calculation-sheet'!N99</f>
        <v>3586163812.742794</v>
      </c>
      <c r="O120" s="2">
        <f>O10/'Output-Calculation-sheet'!O9*'Output-Calculation-sheet'!O99</f>
        <v>0</v>
      </c>
      <c r="P120" s="2">
        <f>P10/'Output-Calculation-sheet'!P9*'Output-Calculation-sheet'!P99</f>
        <v>8166192910.2199211</v>
      </c>
      <c r="Q120" s="2">
        <f>Q10/'Output-Calculation-sheet'!Q9*'Output-Calculation-sheet'!Q99</f>
        <v>7859392868.7380352</v>
      </c>
      <c r="R120" s="2">
        <f>R10/'Output-Calculation-sheet'!R9*'Output-Calculation-sheet'!R99</f>
        <v>7729368362.3200188</v>
      </c>
      <c r="S120" s="2">
        <f>S10/'Output-Calculation-sheet'!S9*'Output-Calculation-sheet'!S99</f>
        <v>2973007250.1672759</v>
      </c>
      <c r="T120" s="2">
        <f>T10/'Output-Calculation-sheet'!T9*'Output-Calculation-sheet'!T99</f>
        <v>2841359663.2782111</v>
      </c>
      <c r="U120" s="2">
        <f>U10/'Output-Calculation-sheet'!U9*'Output-Calculation-sheet'!U99</f>
        <v>2475286812.4250817</v>
      </c>
      <c r="V120" s="2">
        <f>V10/'Output-Calculation-sheet'!V9*'Output-Calculation-sheet'!V99</f>
        <v>1905606286.9462361</v>
      </c>
      <c r="W120" s="2">
        <f>W10/'Output-Calculation-sheet'!W9*'Output-Calculation-sheet'!W99</f>
        <v>1649832720.3339784</v>
      </c>
      <c r="X120" s="2">
        <f>X10/'Output-Calculation-sheet'!X9*'Output-Calculation-sheet'!X99</f>
        <v>0</v>
      </c>
      <c r="Y120" s="2">
        <f>Y10/'Output-Calculation-sheet'!Y9*'Output-Calculation-sheet'!Y99</f>
        <v>962668740.79732633</v>
      </c>
      <c r="AA120" s="2">
        <f t="shared" si="10"/>
        <v>258848.5744884501</v>
      </c>
    </row>
    <row r="121" spans="1:27" x14ac:dyDescent="0.25">
      <c r="A121" s="2">
        <v>2034</v>
      </c>
      <c r="B121" s="2">
        <f>B11/'Output-Calculation-sheet'!B10*'Output-Calculation-sheet'!B100</f>
        <v>59263037294.025253</v>
      </c>
      <c r="C121" s="2">
        <f>C11/'Output-Calculation-sheet'!C10*'Output-Calculation-sheet'!C100</f>
        <v>0</v>
      </c>
      <c r="D121" s="2">
        <f>D11/'Output-Calculation-sheet'!D10*'Output-Calculation-sheet'!D100</f>
        <v>41023443182.060768</v>
      </c>
      <c r="E121" s="2">
        <f>E11/'Output-Calculation-sheet'!E10*'Output-Calculation-sheet'!E100</f>
        <v>31740640961.39328</v>
      </c>
      <c r="F121" s="2">
        <f>F11/'Output-Calculation-sheet'!F10*'Output-Calculation-sheet'!F100</f>
        <v>20952435625.563099</v>
      </c>
      <c r="G121" s="2">
        <f>G11/'Output-Calculation-sheet'!G10*'Output-Calculation-sheet'!G100</f>
        <v>14720844964.929441</v>
      </c>
      <c r="H121" s="2">
        <f>H11/'Output-Calculation-sheet'!H10*'Output-Calculation-sheet'!H100</f>
        <v>0</v>
      </c>
      <c r="I121" s="2">
        <f>I11/'Output-Calculation-sheet'!I10*'Output-Calculation-sheet'!I100</f>
        <v>13412108399.91807</v>
      </c>
      <c r="J121" s="2">
        <f>J11/'Output-Calculation-sheet'!J10*'Output-Calculation-sheet'!J100</f>
        <v>13054547265.00671</v>
      </c>
      <c r="K121" s="2">
        <f>K11/'Output-Calculation-sheet'!K10*'Output-Calculation-sheet'!K100</f>
        <v>12929725264.1856</v>
      </c>
      <c r="L121" s="2">
        <f>L11/'Output-Calculation-sheet'!L10*'Output-Calculation-sheet'!L100</f>
        <v>9718906006.7257881</v>
      </c>
      <c r="M121" s="2">
        <f>M11/'Output-Calculation-sheet'!M10*'Output-Calculation-sheet'!M100</f>
        <v>6.9437663296410107E-7</v>
      </c>
      <c r="N121" s="2">
        <f>N11/'Output-Calculation-sheet'!N10*'Output-Calculation-sheet'!N100</f>
        <v>2867127931.3895535</v>
      </c>
      <c r="O121" s="2">
        <f>O11/'Output-Calculation-sheet'!O10*'Output-Calculation-sheet'!O100</f>
        <v>0</v>
      </c>
      <c r="P121" s="2">
        <f>P11/'Output-Calculation-sheet'!P10*'Output-Calculation-sheet'!P100</f>
        <v>8851407615.1218414</v>
      </c>
      <c r="Q121" s="2">
        <f>Q11/'Output-Calculation-sheet'!Q10*'Output-Calculation-sheet'!Q100</f>
        <v>7335212245.3648596</v>
      </c>
      <c r="R121" s="2">
        <f>R11/'Output-Calculation-sheet'!R10*'Output-Calculation-sheet'!R100</f>
        <v>8377921328.7250834</v>
      </c>
      <c r="S121" s="2">
        <f>S11/'Output-Calculation-sheet'!S10*'Output-Calculation-sheet'!S100</f>
        <v>2212012249.3863492</v>
      </c>
      <c r="T121" s="2">
        <f>T11/'Output-Calculation-sheet'!T10*'Output-Calculation-sheet'!T100</f>
        <v>3079721758.2960782</v>
      </c>
      <c r="U121" s="2">
        <f>U11/'Output-Calculation-sheet'!U10*'Output-Calculation-sheet'!U100</f>
        <v>2595392215.3398266</v>
      </c>
      <c r="V121" s="2">
        <f>V11/'Output-Calculation-sheet'!V10*'Output-Calculation-sheet'!V100</f>
        <v>2066175501.9712257</v>
      </c>
      <c r="W121" s="2">
        <f>W11/'Output-Calculation-sheet'!W10*'Output-Calculation-sheet'!W100</f>
        <v>1788396595.5932677</v>
      </c>
      <c r="X121" s="2">
        <f>X11/'Output-Calculation-sheet'!X10*'Output-Calculation-sheet'!X100</f>
        <v>68873727.340331018</v>
      </c>
      <c r="Y121" s="2">
        <f>Y11/'Output-Calculation-sheet'!Y10*'Output-Calculation-sheet'!Y100</f>
        <v>1000466750.9458216</v>
      </c>
      <c r="AA121" s="2">
        <f t="shared" si="10"/>
        <v>257058.39688328232</v>
      </c>
    </row>
    <row r="122" spans="1:27" x14ac:dyDescent="0.25">
      <c r="A122" s="2">
        <v>2035</v>
      </c>
      <c r="B122" s="2">
        <f>B12/'Output-Calculation-sheet'!B11*'Output-Calculation-sheet'!B101</f>
        <v>51852937130.550331</v>
      </c>
      <c r="C122" s="2">
        <f>C12/'Output-Calculation-sheet'!C11*'Output-Calculation-sheet'!C101</f>
        <v>0</v>
      </c>
      <c r="D122" s="2">
        <f>D12/'Output-Calculation-sheet'!D11*'Output-Calculation-sheet'!D101</f>
        <v>36285860889.651054</v>
      </c>
      <c r="E122" s="2">
        <f>E12/'Output-Calculation-sheet'!E11*'Output-Calculation-sheet'!E101</f>
        <v>28179264424.313381</v>
      </c>
      <c r="F122" s="2">
        <f>F12/'Output-Calculation-sheet'!F11*'Output-Calculation-sheet'!F101</f>
        <v>19197218711.395111</v>
      </c>
      <c r="G122" s="2">
        <f>G12/'Output-Calculation-sheet'!G11*'Output-Calculation-sheet'!G101</f>
        <v>13007610854.117926</v>
      </c>
      <c r="H122" s="2">
        <f>H12/'Output-Calculation-sheet'!H11*'Output-Calculation-sheet'!H101</f>
        <v>0</v>
      </c>
      <c r="I122" s="2">
        <f>I12/'Output-Calculation-sheet'!I11*'Output-Calculation-sheet'!I101</f>
        <v>11935502910.007137</v>
      </c>
      <c r="J122" s="2">
        <f>J12/'Output-Calculation-sheet'!J11*'Output-Calculation-sheet'!J101</f>
        <v>11948533129.545919</v>
      </c>
      <c r="K122" s="2">
        <f>K12/'Output-Calculation-sheet'!K11*'Output-Calculation-sheet'!K101</f>
        <v>11730751105.953606</v>
      </c>
      <c r="L122" s="2">
        <f>L12/'Output-Calculation-sheet'!L11*'Output-Calculation-sheet'!L101</f>
        <v>8498166571.4274387</v>
      </c>
      <c r="M122" s="2">
        <f>M12/'Output-Calculation-sheet'!M11*'Output-Calculation-sheet'!M101</f>
        <v>0</v>
      </c>
      <c r="N122" s="2">
        <f>N12/'Output-Calculation-sheet'!N11*'Output-Calculation-sheet'!N101</f>
        <v>2474416429.3206458</v>
      </c>
      <c r="O122" s="2">
        <f>O12/'Output-Calculation-sheet'!O11*'Output-Calculation-sheet'!O101</f>
        <v>0</v>
      </c>
      <c r="P122" s="2">
        <f>P12/'Output-Calculation-sheet'!P11*'Output-Calculation-sheet'!P101</f>
        <v>7888456830.2673998</v>
      </c>
      <c r="Q122" s="2">
        <f>Q12/'Output-Calculation-sheet'!Q11*'Output-Calculation-sheet'!Q101</f>
        <v>6377411860.5126209</v>
      </c>
      <c r="R122" s="2">
        <f>R12/'Output-Calculation-sheet'!R11*'Output-Calculation-sheet'!R101</f>
        <v>7813539781.6004505</v>
      </c>
      <c r="S122" s="2">
        <f>S12/'Output-Calculation-sheet'!S11*'Output-Calculation-sheet'!S101</f>
        <v>1868982144.6015635</v>
      </c>
      <c r="T122" s="2">
        <f>T12/'Output-Calculation-sheet'!T11*'Output-Calculation-sheet'!T101</f>
        <v>2915748194.487277</v>
      </c>
      <c r="U122" s="2">
        <f>U12/'Output-Calculation-sheet'!U11*'Output-Calculation-sheet'!U101</f>
        <v>2302833433.9200473</v>
      </c>
      <c r="V122" s="2">
        <f>V12/'Output-Calculation-sheet'!V11*'Output-Calculation-sheet'!V101</f>
        <v>2005233376.6602964</v>
      </c>
      <c r="W122" s="2">
        <f>W12/'Output-Calculation-sheet'!W11*'Output-Calculation-sheet'!W101</f>
        <v>1689957400.8165989</v>
      </c>
      <c r="X122" s="2">
        <f>X12/'Output-Calculation-sheet'!X11*'Output-Calculation-sheet'!X101</f>
        <v>59585824.426498294</v>
      </c>
      <c r="Y122" s="2">
        <f>Y12/'Output-Calculation-sheet'!Y11*'Output-Calculation-sheet'!Y101</f>
        <v>892709310.30167937</v>
      </c>
      <c r="AA122" s="2">
        <f t="shared" si="10"/>
        <v>228924.72031387698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56634983696.687218</v>
      </c>
      <c r="C129" s="2">
        <f>C8/'Output-Calculation-sheet'!C7*'Output-Calculation-sheet'!C106</f>
        <v>33194804871.811775</v>
      </c>
      <c r="D129" s="2">
        <f>D8/'Output-Calculation-sheet'!D7*'Output-Calculation-sheet'!D106</f>
        <v>23787345319.967926</v>
      </c>
      <c r="E129" s="2">
        <f>E8/'Output-Calculation-sheet'!E7*'Output-Calculation-sheet'!E106</f>
        <v>18872844647.74744</v>
      </c>
      <c r="F129" s="2">
        <f>F8/'Output-Calculation-sheet'!F7*'Output-Calculation-sheet'!F106</f>
        <v>12149127345.229013</v>
      </c>
      <c r="G129" s="2">
        <f>G8/'Output-Calculation-sheet'!G7*'Output-Calculation-sheet'!G106</f>
        <v>8536310296.5583925</v>
      </c>
      <c r="H129" s="2">
        <f>H8/'Output-Calculation-sheet'!H7*'Output-Calculation-sheet'!H106</f>
        <v>8326843012.7992954</v>
      </c>
      <c r="I129" s="2">
        <f>I8/'Output-Calculation-sheet'!I7*'Output-Calculation-sheet'!I106</f>
        <v>7777250634.6195097</v>
      </c>
      <c r="J129" s="2">
        <f>J8/'Output-Calculation-sheet'!J7*'Output-Calculation-sheet'!J106</f>
        <v>7569840103.3521194</v>
      </c>
      <c r="K129" s="2">
        <f>K8/'Output-Calculation-sheet'!K7*'Output-Calculation-sheet'!K106</f>
        <v>7497268137.6254025</v>
      </c>
      <c r="L129" s="2">
        <f>L8/'Output-Calculation-sheet'!L7*'Output-Calculation-sheet'!L106</f>
        <v>6014405985.2673931</v>
      </c>
      <c r="M129" s="2">
        <f>M8/'Output-Calculation-sheet'!M7*'Output-Calculation-sheet'!M106</f>
        <v>5744795802.1056223</v>
      </c>
      <c r="N129" s="2">
        <f>N8/'Output-Calculation-sheet'!N7*'Output-Calculation-sheet'!N106</f>
        <v>5638501580.7990408</v>
      </c>
      <c r="O129" s="2">
        <f>O8/'Output-Calculation-sheet'!O7*'Output-Calculation-sheet'!O106</f>
        <v>7231832478.7236824</v>
      </c>
      <c r="P129" s="2">
        <f>P8/'Output-Calculation-sheet'!P7*'Output-Calculation-sheet'!P106</f>
        <v>5132985418.8488798</v>
      </c>
      <c r="Q129" s="2">
        <f>Q8/'Output-Calculation-sheet'!Q7*'Output-Calculation-sheet'!Q106</f>
        <v>5050027121.5515776</v>
      </c>
      <c r="R129" s="2">
        <f>R8/'Output-Calculation-sheet'!R7*'Output-Calculation-sheet'!R106</f>
        <v>4858358343.0691805</v>
      </c>
      <c r="S129" s="2">
        <f>S8/'Output-Calculation-sheet'!S7*'Output-Calculation-sheet'!S106</f>
        <v>3229113837.236774</v>
      </c>
      <c r="T129" s="2">
        <f>T8/'Output-Calculation-sheet'!T7*'Output-Calculation-sheet'!T106</f>
        <v>1785891100.1944332</v>
      </c>
      <c r="U129" s="2">
        <f>U8/'Output-Calculation-sheet'!U7*'Output-Calculation-sheet'!U106</f>
        <v>1555449821.5203106</v>
      </c>
      <c r="V129" s="2">
        <f>V8/'Output-Calculation-sheet'!V7*'Output-Calculation-sheet'!V106</f>
        <v>1197727942.2278152</v>
      </c>
      <c r="W129" s="2">
        <f>W8/'Output-Calculation-sheet'!W7*'Output-Calculation-sheet'!W106</f>
        <v>1036966547.3626206</v>
      </c>
      <c r="X129" s="2">
        <f>X8/'Output-Calculation-sheet'!X7*'Output-Calculation-sheet'!X106</f>
        <v>622180050.76956165</v>
      </c>
      <c r="Y129" s="2">
        <f>Y8/'Output-Calculation-sheet'!Y7*'Output-Calculation-sheet'!Y106</f>
        <v>605063995.24973857</v>
      </c>
      <c r="AA129" s="2">
        <f t="shared" si="11"/>
        <v>234049.91809132468</v>
      </c>
    </row>
    <row r="130" spans="1:27" x14ac:dyDescent="0.25">
      <c r="A130" s="2">
        <v>2032</v>
      </c>
      <c r="B130" s="2">
        <f>B9/'Output-Calculation-sheet'!B8*'Output-Calculation-sheet'!B107</f>
        <v>45430573442.41806</v>
      </c>
      <c r="C130" s="2">
        <f>C9/'Output-Calculation-sheet'!C8*'Output-Calculation-sheet'!C107</f>
        <v>34165017059.968609</v>
      </c>
      <c r="D130" s="2">
        <f>D9/'Output-Calculation-sheet'!D8*'Output-Calculation-sheet'!D107</f>
        <v>19081359021.845341</v>
      </c>
      <c r="E130" s="2">
        <f>E9/'Output-Calculation-sheet'!E8*'Output-Calculation-sheet'!E107</f>
        <v>15139120089.592852</v>
      </c>
      <c r="F130" s="2">
        <f>F9/'Output-Calculation-sheet'!F8*'Output-Calculation-sheet'!F107</f>
        <v>9745599892.5520763</v>
      </c>
      <c r="G130" s="2">
        <f>G9/'Output-Calculation-sheet'!G8*'Output-Calculation-sheet'!G107</f>
        <v>6847525982.6926737</v>
      </c>
      <c r="H130" s="2">
        <f>H9/'Output-Calculation-sheet'!H8*'Output-Calculation-sheet'!H107</f>
        <v>6679497001.8299732</v>
      </c>
      <c r="I130" s="2">
        <f>I9/'Output-Calculation-sheet'!I8*'Output-Calculation-sheet'!I107</f>
        <v>6238634365.4542618</v>
      </c>
      <c r="J130" s="2">
        <f>J9/'Output-Calculation-sheet'!J8*'Output-Calculation-sheet'!J107</f>
        <v>6072254632.0346184</v>
      </c>
      <c r="K130" s="2">
        <f>K9/'Output-Calculation-sheet'!K8*'Output-Calculation-sheet'!K107</f>
        <v>6014041572.5634279</v>
      </c>
      <c r="L130" s="2">
        <f>L9/'Output-Calculation-sheet'!L8*'Output-Calculation-sheet'!L107</f>
        <v>4824542975.5682077</v>
      </c>
      <c r="M130" s="2">
        <f>M9/'Output-Calculation-sheet'!M8*'Output-Calculation-sheet'!M107</f>
        <v>4608271847.6852045</v>
      </c>
      <c r="N130" s="2">
        <f>N9/'Output-Calculation-sheet'!N8*'Output-Calculation-sheet'!N107</f>
        <v>4523003466.1591835</v>
      </c>
      <c r="O130" s="2">
        <f>O9/'Output-Calculation-sheet'!O8*'Output-Calculation-sheet'!O107</f>
        <v>7439878914.4869413</v>
      </c>
      <c r="P130" s="2">
        <f>P9/'Output-Calculation-sheet'!P8*'Output-Calculation-sheet'!P107</f>
        <v>4117497612.0774794</v>
      </c>
      <c r="Q130" s="2">
        <f>Q9/'Output-Calculation-sheet'!Q8*'Output-Calculation-sheet'!Q107</f>
        <v>4050953494.9647379</v>
      </c>
      <c r="R130" s="2">
        <f>R9/'Output-Calculation-sheet'!R8*'Output-Calculation-sheet'!R107</f>
        <v>3897203104.5098238</v>
      </c>
      <c r="S130" s="2">
        <f>S9/'Output-Calculation-sheet'!S8*'Output-Calculation-sheet'!S107</f>
        <v>2590280488.050415</v>
      </c>
      <c r="T130" s="2">
        <f>T9/'Output-Calculation-sheet'!T8*'Output-Calculation-sheet'!T107</f>
        <v>1432578444.7756186</v>
      </c>
      <c r="U130" s="2">
        <f>U9/'Output-Calculation-sheet'!U8*'Output-Calculation-sheet'!U107</f>
        <v>1247726467.6867163</v>
      </c>
      <c r="V130" s="2">
        <f>V9/'Output-Calculation-sheet'!V8*'Output-Calculation-sheet'!V107</f>
        <v>960774334.38582313</v>
      </c>
      <c r="W130" s="2">
        <f>W9/'Output-Calculation-sheet'!W8*'Output-Calculation-sheet'!W107</f>
        <v>831817862.97285283</v>
      </c>
      <c r="X130" s="2">
        <f>X9/'Output-Calculation-sheet'!X8*'Output-Calculation-sheet'!X107</f>
        <v>499090619.85624647</v>
      </c>
      <c r="Y130" s="2">
        <f>Y9/'Output-Calculation-sheet'!Y8*'Output-Calculation-sheet'!Y107</f>
        <v>485360731.78740698</v>
      </c>
      <c r="AA130" s="2">
        <f t="shared" si="11"/>
        <v>196922.60342591853</v>
      </c>
    </row>
    <row r="131" spans="1:27" x14ac:dyDescent="0.25">
      <c r="A131" s="2">
        <v>2033</v>
      </c>
      <c r="B131" s="2">
        <f>B10/'Output-Calculation-sheet'!B9*'Output-Calculation-sheet'!B108</f>
        <v>30035768411.90461</v>
      </c>
      <c r="C131" s="2">
        <f>C10/'Output-Calculation-sheet'!C9*'Output-Calculation-sheet'!C108</f>
        <v>31430247976.066872</v>
      </c>
      <c r="D131" s="2">
        <f>D10/'Output-Calculation-sheet'!D9*'Output-Calculation-sheet'!D108</f>
        <v>12615368608.076107</v>
      </c>
      <c r="E131" s="2">
        <f>E10/'Output-Calculation-sheet'!E9*'Output-Calculation-sheet'!E108</f>
        <v>10009010911.257498</v>
      </c>
      <c r="F131" s="2">
        <f>F10/'Output-Calculation-sheet'!F9*'Output-Calculation-sheet'!F108</f>
        <v>6443159493.4559908</v>
      </c>
      <c r="G131" s="2">
        <f>G10/'Output-Calculation-sheet'!G9*'Output-Calculation-sheet'!G108</f>
        <v>4527140687.8416882</v>
      </c>
      <c r="H131" s="2">
        <f>H10/'Output-Calculation-sheet'!H9*'Output-Calculation-sheet'!H108</f>
        <v>4416051958.6210775</v>
      </c>
      <c r="I131" s="2">
        <f>I10/'Output-Calculation-sheet'!I9*'Output-Calculation-sheet'!I108</f>
        <v>4124583121.3605886</v>
      </c>
      <c r="J131" s="2">
        <f>J10/'Output-Calculation-sheet'!J9*'Output-Calculation-sheet'!J108</f>
        <v>4014583577.8905244</v>
      </c>
      <c r="K131" s="2">
        <f>K10/'Output-Calculation-sheet'!K9*'Output-Calculation-sheet'!K108</f>
        <v>3976095813.5726624</v>
      </c>
      <c r="L131" s="2">
        <f>L10/'Output-Calculation-sheet'!L9*'Output-Calculation-sheet'!L108</f>
        <v>3189677005.2106285</v>
      </c>
      <c r="M131" s="2">
        <f>M10/'Output-Calculation-sheet'!M9*'Output-Calculation-sheet'!M108</f>
        <v>3046690890.505703</v>
      </c>
      <c r="N131" s="2">
        <f>N10/'Output-Calculation-sheet'!N9*'Output-Calculation-sheet'!N108</f>
        <v>2990317730.5282092</v>
      </c>
      <c r="O131" s="2">
        <f>O10/'Output-Calculation-sheet'!O9*'Output-Calculation-sheet'!O108</f>
        <v>7081856781.1334333</v>
      </c>
      <c r="P131" s="2">
        <f>P10/'Output-Calculation-sheet'!P9*'Output-Calculation-sheet'!P108</f>
        <v>2722224880.6236629</v>
      </c>
      <c r="Q131" s="2">
        <f>Q10/'Output-Calculation-sheet'!Q9*'Output-Calculation-sheet'!Q108</f>
        <v>2678228781.4218397</v>
      </c>
      <c r="R131" s="2">
        <f>R10/'Output-Calculation-sheet'!R9*'Output-Calculation-sheet'!R108</f>
        <v>2576578283.4641309</v>
      </c>
      <c r="S131" s="2">
        <f>S10/'Output-Calculation-sheet'!S9*'Output-Calculation-sheet'!S108</f>
        <v>1712526583.5791256</v>
      </c>
      <c r="T131" s="2">
        <f>T10/'Output-Calculation-sheet'!T9*'Output-Calculation-sheet'!T108</f>
        <v>947127834.29186416</v>
      </c>
      <c r="U131" s="2">
        <f>U10/'Output-Calculation-sheet'!U9*'Output-Calculation-sheet'!U108</f>
        <v>824916144.12607825</v>
      </c>
      <c r="V131" s="2">
        <f>V10/'Output-Calculation-sheet'!V9*'Output-Calculation-sheet'!V108</f>
        <v>635201929.12654543</v>
      </c>
      <c r="W131" s="2">
        <f>W10/'Output-Calculation-sheet'!W9*'Output-Calculation-sheet'!W108</f>
        <v>549944095.91562378</v>
      </c>
      <c r="X131" s="2">
        <f>X10/'Output-Calculation-sheet'!X9*'Output-Calculation-sheet'!X108</f>
        <v>329966393.09556258</v>
      </c>
      <c r="Y131" s="2">
        <f>Y10/'Output-Calculation-sheet'!Y9*'Output-Calculation-sheet'!Y108</f>
        <v>320889080.99653041</v>
      </c>
      <c r="AA131" s="2">
        <f t="shared" si="11"/>
        <v>141198.15697406657</v>
      </c>
    </row>
    <row r="132" spans="1:27" x14ac:dyDescent="0.25">
      <c r="A132" s="2">
        <v>2034</v>
      </c>
      <c r="B132" s="2">
        <f>B11/'Output-Calculation-sheet'!B10*'Output-Calculation-sheet'!B109</f>
        <v>13953171412.94853</v>
      </c>
      <c r="C132" s="2">
        <f>C11/'Output-Calculation-sheet'!C10*'Output-Calculation-sheet'!C109</f>
        <v>25799287475.224018</v>
      </c>
      <c r="D132" s="2">
        <f>D11/'Output-Calculation-sheet'!D10*'Output-Calculation-sheet'!D109</f>
        <v>5860492668.4932203</v>
      </c>
      <c r="E132" s="2">
        <f>E11/'Output-Calculation-sheet'!E10*'Output-Calculation-sheet'!E109</f>
        <v>4649705864.9473886</v>
      </c>
      <c r="F132" s="2">
        <f>F11/'Output-Calculation-sheet'!F10*'Output-Calculation-sheet'!F109</f>
        <v>2993182518.3463449</v>
      </c>
      <c r="G132" s="2">
        <f>G11/'Output-Calculation-sheet'!G10*'Output-Calculation-sheet'!G109</f>
        <v>2103092511.7392399</v>
      </c>
      <c r="H132" s="2">
        <f>H11/'Output-Calculation-sheet'!H10*'Output-Calculation-sheet'!H109</f>
        <v>2492241498.2321887</v>
      </c>
      <c r="I132" s="2">
        <f>I11/'Output-Calculation-sheet'!I10*'Output-Calculation-sheet'!I109</f>
        <v>1916082676.1150753</v>
      </c>
      <c r="J132" s="2">
        <f>J11/'Output-Calculation-sheet'!J10*'Output-Calculation-sheet'!J109</f>
        <v>1864982468.7603393</v>
      </c>
      <c r="K132" s="2">
        <f>K11/'Output-Calculation-sheet'!K10*'Output-Calculation-sheet'!K109</f>
        <v>1847103484.6484427</v>
      </c>
      <c r="L132" s="2">
        <f>L11/'Output-Calculation-sheet'!L10*'Output-Calculation-sheet'!L109</f>
        <v>1481770546.3131983</v>
      </c>
      <c r="M132" s="2">
        <f>M11/'Output-Calculation-sheet'!M10*'Output-Calculation-sheet'!M109</f>
        <v>1415346294.2410114</v>
      </c>
      <c r="N132" s="2">
        <f>N11/'Output-Calculation-sheet'!N10*'Output-Calculation-sheet'!N109</f>
        <v>1389158461.6505275</v>
      </c>
      <c r="O132" s="2">
        <f>O11/'Output-Calculation-sheet'!O10*'Output-Calculation-sheet'!O109</f>
        <v>6122975658.0702724</v>
      </c>
      <c r="P132" s="2">
        <f>P11/'Output-Calculation-sheet'!P10*'Output-Calculation-sheet'!P109</f>
        <v>1264614568.1429992</v>
      </c>
      <c r="Q132" s="2">
        <f>Q11/'Output-Calculation-sheet'!Q10*'Output-Calculation-sheet'!Q109</f>
        <v>1557453302.9337468</v>
      </c>
      <c r="R132" s="2">
        <f>R11/'Output-Calculation-sheet'!R10*'Output-Calculation-sheet'!R109</f>
        <v>1196954737.5794992</v>
      </c>
      <c r="S132" s="2">
        <f>S11/'Output-Calculation-sheet'!S10*'Output-Calculation-sheet'!S109</f>
        <v>795557496.61029398</v>
      </c>
      <c r="T132" s="2">
        <f>T11/'Output-Calculation-sheet'!T10*'Output-Calculation-sheet'!T109</f>
        <v>439990251.84372181</v>
      </c>
      <c r="U132" s="2">
        <f>U11/'Output-Calculation-sheet'!U10*'Output-Calculation-sheet'!U109</f>
        <v>483945630.3356635</v>
      </c>
      <c r="V132" s="2">
        <f>V11/'Output-Calculation-sheet'!V10*'Output-Calculation-sheet'!V109</f>
        <v>295084362.08529174</v>
      </c>
      <c r="W132" s="2">
        <f>W11/'Output-Calculation-sheet'!W10*'Output-Calculation-sheet'!W109</f>
        <v>255477660.39265552</v>
      </c>
      <c r="X132" s="2">
        <f>X11/'Output-Calculation-sheet'!X10*'Output-Calculation-sheet'!X109</f>
        <v>202860277.48893028</v>
      </c>
      <c r="Y132" s="2">
        <f>Y11/'Output-Calculation-sheet'!Y10*'Output-Calculation-sheet'!Y109</f>
        <v>149069705.23131511</v>
      </c>
      <c r="AA132" s="2">
        <f t="shared" si="11"/>
        <v>80529.601532373912</v>
      </c>
    </row>
    <row r="133" spans="1:27" x14ac:dyDescent="0.25">
      <c r="A133" s="2">
        <v>2035</v>
      </c>
      <c r="B133" s="2">
        <f>B12/'Output-Calculation-sheet'!B11*'Output-Calculation-sheet'!B110</f>
        <v>13048605259.187334</v>
      </c>
      <c r="C133" s="2">
        <f>C12/'Output-Calculation-sheet'!C11*'Output-Calculation-sheet'!C110</f>
        <v>16821285475.069586</v>
      </c>
      <c r="D133" s="2">
        <f>D12/'Output-Calculation-sheet'!D11*'Output-Calculation-sheet'!D110</f>
        <v>4961893182.9232292</v>
      </c>
      <c r="E133" s="2">
        <f>E12/'Output-Calculation-sheet'!E11*'Output-Calculation-sheet'!E110</f>
        <v>2449098624.450851</v>
      </c>
      <c r="F133" s="2">
        <f>F12/'Output-Calculation-sheet'!F11*'Output-Calculation-sheet'!F110</f>
        <v>2005943130.2685838</v>
      </c>
      <c r="G133" s="2">
        <f>G12/'Output-Calculation-sheet'!G11*'Output-Calculation-sheet'!G110</f>
        <v>1893116070.7791007</v>
      </c>
      <c r="H133" s="2">
        <f>H12/'Output-Calculation-sheet'!H11*'Output-Calculation-sheet'!H110</f>
        <v>2065648371.2456818</v>
      </c>
      <c r="I133" s="2">
        <f>I12/'Output-Calculation-sheet'!I11*'Output-Calculation-sheet'!I110</f>
        <v>1624835747.8925695</v>
      </c>
      <c r="J133" s="2">
        <f>J12/'Output-Calculation-sheet'!J11*'Output-Calculation-sheet'!J110</f>
        <v>1182279308.3565757</v>
      </c>
      <c r="K133" s="2">
        <f>K12/'Output-Calculation-sheet'!K11*'Output-Calculation-sheet'!K110</f>
        <v>1304167114.199584</v>
      </c>
      <c r="L133" s="2">
        <f>L12/'Output-Calculation-sheet'!L11*'Output-Calculation-sheet'!L110</f>
        <v>570496650.53940058</v>
      </c>
      <c r="M133" s="2">
        <f>M12/'Output-Calculation-sheet'!M11*'Output-Calculation-sheet'!M110</f>
        <v>1136217675.3468416</v>
      </c>
      <c r="N133" s="2">
        <f>N12/'Output-Calculation-sheet'!N11*'Output-Calculation-sheet'!N110</f>
        <v>1032856169.8437191</v>
      </c>
      <c r="O133" s="2">
        <f>O12/'Output-Calculation-sheet'!O11*'Output-Calculation-sheet'!O110</f>
        <v>4559088098.3660946</v>
      </c>
      <c r="P133" s="2">
        <f>P12/'Output-Calculation-sheet'!P11*'Output-Calculation-sheet'!P110</f>
        <v>873364919.26518583</v>
      </c>
      <c r="Q133" s="2">
        <f>Q12/'Output-Calculation-sheet'!Q11*'Output-Calculation-sheet'!Q110</f>
        <v>1255199523.4570355</v>
      </c>
      <c r="R133" s="2">
        <f>R12/'Output-Calculation-sheet'!R11*'Output-Calculation-sheet'!R110</f>
        <v>656502519.73015738</v>
      </c>
      <c r="S133" s="2">
        <f>S12/'Output-Calculation-sheet'!S11*'Output-Calculation-sheet'!S110</f>
        <v>763558324.78039706</v>
      </c>
      <c r="T133" s="2">
        <f>T12/'Output-Calculation-sheet'!T11*'Output-Calculation-sheet'!T110</f>
        <v>182797779.63496697</v>
      </c>
      <c r="U133" s="2">
        <f>U12/'Output-Calculation-sheet'!U11*'Output-Calculation-sheet'!U110</f>
        <v>423060470.63199317</v>
      </c>
      <c r="V133" s="2">
        <f>V12/'Output-Calculation-sheet'!V11*'Output-Calculation-sheet'!V110</f>
        <v>63262938.053542815</v>
      </c>
      <c r="W133" s="2">
        <f>W12/'Output-Calculation-sheet'!W11*'Output-Calculation-sheet'!W110</f>
        <v>126732640.82305691</v>
      </c>
      <c r="X133" s="2">
        <f>X12/'Output-Calculation-sheet'!X11*'Output-Calculation-sheet'!X110</f>
        <v>176255324.31582078</v>
      </c>
      <c r="Y133" s="2">
        <f>Y12/'Output-Calculation-sheet'!Y11*'Output-Calculation-sheet'!Y110</f>
        <v>124455871.39376284</v>
      </c>
      <c r="AA133" s="2">
        <f t="shared" si="11"/>
        <v>59300.721190555065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10934.431387118162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3619.917534434649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2502.0751736622865</v>
      </c>
      <c r="N18" s="2">
        <f>N7/'Output-Calculation-sheet'!N6*'Output-Calculation-sheet'!N24</f>
        <v>775.35046695385222</v>
      </c>
      <c r="O18" s="2">
        <f>O7/'Output-Calculation-sheet'!O6*'Output-Calculation-sheet'!O24</f>
        <v>1785.6863004680347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280.50753278618595</v>
      </c>
      <c r="Y18" s="2">
        <f>Y7/'Output-Calculation-sheet'!Y6*'Output-Calculation-sheet'!Y24</f>
        <v>0</v>
      </c>
      <c r="AA18" s="2">
        <f t="shared" si="0"/>
        <v>20.067472849917383</v>
      </c>
    </row>
    <row r="19" spans="1:27" x14ac:dyDescent="0.25">
      <c r="A19" s="2">
        <v>2031</v>
      </c>
      <c r="B19" s="2">
        <f>B8/'Output-Calculation-sheet'!B7*'Output-Calculation-sheet'!B25</f>
        <v>1268.3828005854234</v>
      </c>
      <c r="C19" s="2">
        <f>C8/'Output-Calculation-sheet'!C7*'Output-Calculation-sheet'!C25</f>
        <v>14514.344840312877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5690.6572205238199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3953.3230025893963</v>
      </c>
      <c r="N19" s="2">
        <f>N8/'Output-Calculation-sheet'!N7*'Output-Calculation-sheet'!N25</f>
        <v>1353.7712489439289</v>
      </c>
      <c r="O19" s="2">
        <f>O8/'Output-Calculation-sheet'!O7*'Output-Calculation-sheet'!O25</f>
        <v>2231.3676730163738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483.04695249463953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442.20777652326984</v>
      </c>
      <c r="Y19" s="2">
        <f>Y8/'Output-Calculation-sheet'!Y7*'Output-Calculation-sheet'!Y25</f>
        <v>0</v>
      </c>
      <c r="AA19" s="2">
        <f t="shared" si="0"/>
        <v>29.937101514989731</v>
      </c>
    </row>
    <row r="20" spans="1:27" x14ac:dyDescent="0.25">
      <c r="A20" s="2">
        <v>2032</v>
      </c>
      <c r="B20" s="2">
        <f>B9/'Output-Calculation-sheet'!B8*'Output-Calculation-sheet'!B26</f>
        <v>7137.9463409638593</v>
      </c>
      <c r="C20" s="2">
        <f>C9/'Output-Calculation-sheet'!C8*'Output-Calculation-sheet'!C26</f>
        <v>16880.874786171767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7755.5184964922855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5396.0469266884411</v>
      </c>
      <c r="N20" s="2">
        <f>N9/'Output-Calculation-sheet'!N8*'Output-Calculation-sheet'!N26</f>
        <v>2435.1391925862854</v>
      </c>
      <c r="O20" s="2">
        <f>O9/'Output-Calculation-sheet'!O8*'Output-Calculation-sheet'!O26</f>
        <v>2674.5348684747782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880.47452154041468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603.68512058904298</v>
      </c>
      <c r="Y20" s="2">
        <f>Y9/'Output-Calculation-sheet'!Y8*'Output-Calculation-sheet'!Y26</f>
        <v>0</v>
      </c>
      <c r="AA20" s="2">
        <f t="shared" si="0"/>
        <v>43.764220253506878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19152.887989684441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9543.8756809863862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6628.3148784537561</v>
      </c>
      <c r="N21" s="2">
        <f>N10/'Output-Calculation-sheet'!N9*'Output-Calculation-sheet'!N27</f>
        <v>3625.6079628577577</v>
      </c>
      <c r="O21" s="2">
        <f>O10/'Output-Calculation-sheet'!O9*'Output-Calculation-sheet'!O27</f>
        <v>2940.2035390246137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1578.433476570144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779.48948115798316</v>
      </c>
      <c r="Y21" s="2">
        <f>Y10/'Output-Calculation-sheet'!Y9*'Output-Calculation-sheet'!Y27</f>
        <v>0</v>
      </c>
      <c r="AA21" s="2">
        <f t="shared" si="0"/>
        <v>61.003584273626522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21404.335037821897</v>
      </c>
      <c r="D22" s="2">
        <f>D11/'Output-Calculation-sheet'!D10*'Output-Calculation-sheet'!D28</f>
        <v>0</v>
      </c>
      <c r="E22" s="2">
        <f>E11/'Output-Calculation-sheet'!E10*'Output-Calculation-sheet'!E28</f>
        <v>1581.5027882440124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11273.952890047718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927.2196830122532</v>
      </c>
      <c r="M22" s="2">
        <f>M11/'Output-Calculation-sheet'!M10*'Output-Calculation-sheet'!M28</f>
        <v>8428.3679602377251</v>
      </c>
      <c r="N22" s="2">
        <f>N11/'Output-Calculation-sheet'!N10*'Output-Calculation-sheet'!N28</f>
        <v>4850.5727098534435</v>
      </c>
      <c r="O22" s="2">
        <f>O11/'Output-Calculation-sheet'!O10*'Output-Calculation-sheet'!O28</f>
        <v>3222.8293624901889</v>
      </c>
      <c r="P22" s="2">
        <f>P11/'Output-Calculation-sheet'!P10*'Output-Calculation-sheet'!P28</f>
        <v>0</v>
      </c>
      <c r="Q22" s="2">
        <f>Q11/'Output-Calculation-sheet'!Q10*'Output-Calculation-sheet'!Q28</f>
        <v>1400.9566622839345</v>
      </c>
      <c r="R22" s="2">
        <f>R11/'Output-Calculation-sheet'!R10*'Output-Calculation-sheet'!R28</f>
        <v>0</v>
      </c>
      <c r="S22" s="2">
        <f>S11/'Output-Calculation-sheet'!S10*'Output-Calculation-sheet'!S28</f>
        <v>2459.9295397796491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811.74485991049573</v>
      </c>
      <c r="Y22" s="2">
        <f>Y11/'Output-Calculation-sheet'!Y10*'Output-Calculation-sheet'!Y28</f>
        <v>84.70558127275973</v>
      </c>
      <c r="AA22" s="2">
        <f t="shared" si="0"/>
        <v>86.896310199909337</v>
      </c>
    </row>
    <row r="23" spans="1:27" x14ac:dyDescent="0.25">
      <c r="A23" s="2">
        <v>2035</v>
      </c>
      <c r="B23" s="2">
        <f>B12/'Output-Calculation-sheet'!B11*'Output-Calculation-sheet'!B29</f>
        <v>29006.948604033914</v>
      </c>
      <c r="C23" s="2">
        <f>C12/'Output-Calculation-sheet'!C11*'Output-Calculation-sheet'!C29</f>
        <v>24645.446692278292</v>
      </c>
      <c r="D23" s="2">
        <f>D12/'Output-Calculation-sheet'!D11*'Output-Calculation-sheet'!D29</f>
        <v>0</v>
      </c>
      <c r="E23" s="2">
        <f>E12/'Output-Calculation-sheet'!E11*'Output-Calculation-sheet'!E29</f>
        <v>4879.3683535576647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10697.708024580101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1765.7100268705924</v>
      </c>
      <c r="M23" s="2">
        <f>M12/'Output-Calculation-sheet'!M11*'Output-Calculation-sheet'!M29</f>
        <v>8109.261251664936</v>
      </c>
      <c r="N23" s="2">
        <f>N12/'Output-Calculation-sheet'!N11*'Output-Calculation-sheet'!N29</f>
        <v>4775.3156424281651</v>
      </c>
      <c r="O23" s="2">
        <f>O12/'Output-Calculation-sheet'!O11*'Output-Calculation-sheet'!O29</f>
        <v>3692.5836534022433</v>
      </c>
      <c r="P23" s="2">
        <f>P12/'Output-Calculation-sheet'!P11*'Output-Calculation-sheet'!P29</f>
        <v>563.54617616036285</v>
      </c>
      <c r="Q23" s="2">
        <f>Q12/'Output-Calculation-sheet'!Q11*'Output-Calculation-sheet'!Q29</f>
        <v>1507.0815830258935</v>
      </c>
      <c r="R23" s="2">
        <f>R12/'Output-Calculation-sheet'!R11*'Output-Calculation-sheet'!R29</f>
        <v>0</v>
      </c>
      <c r="S23" s="2">
        <f>S12/'Output-Calculation-sheet'!S11*'Output-Calculation-sheet'!S29</f>
        <v>2296.0129444075937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760.17836295156383</v>
      </c>
      <c r="Y23" s="2">
        <f>Y12/'Output-Calculation-sheet'!Y11*'Output-Calculation-sheet'!Y29</f>
        <v>107.29209261099243</v>
      </c>
      <c r="AA23" s="2">
        <f t="shared" si="0"/>
        <v>92.806453407972342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22107.500184672572</v>
      </c>
      <c r="C30" s="2">
        <f>C8/'Output-Calculation-sheet'!C7*'Output-Calculation-sheet'!C16</f>
        <v>0</v>
      </c>
      <c r="D30" s="2">
        <f>D8/'Output-Calculation-sheet'!D7*'Output-Calculation-sheet'!D16</f>
        <v>3722.6107775721471</v>
      </c>
      <c r="E30" s="2">
        <f>E8/'Output-Calculation-sheet'!E7*'Output-Calculation-sheet'!E16</f>
        <v>4005.3188771325836</v>
      </c>
      <c r="F30" s="2">
        <f>F8/'Output-Calculation-sheet'!F7*'Output-Calculation-sheet'!F16</f>
        <v>2020.7046869053145</v>
      </c>
      <c r="G30" s="2">
        <f>G8/'Output-Calculation-sheet'!G7*'Output-Calculation-sheet'!G16</f>
        <v>1323.3215675629369</v>
      </c>
      <c r="H30" s="2">
        <f>H8/'Output-Calculation-sheet'!H7*'Output-Calculation-sheet'!H16</f>
        <v>0</v>
      </c>
      <c r="I30" s="2">
        <f>I8/'Output-Calculation-sheet'!I7*'Output-Calculation-sheet'!I16</f>
        <v>1290.0403857038434</v>
      </c>
      <c r="J30" s="2">
        <f>J8/'Output-Calculation-sheet'!J7*'Output-Calculation-sheet'!J16</f>
        <v>1148.3839971566651</v>
      </c>
      <c r="K30" s="2">
        <f>K8/'Output-Calculation-sheet'!K7*'Output-Calculation-sheet'!K16</f>
        <v>1533.3121381012493</v>
      </c>
      <c r="L30" s="2">
        <f>L8/'Output-Calculation-sheet'!L7*'Output-Calculation-sheet'!L16</f>
        <v>1295.150256917992</v>
      </c>
      <c r="M30" s="2">
        <f>M8/'Output-Calculation-sheet'!M7*'Output-Calculation-sheet'!M16</f>
        <v>0</v>
      </c>
      <c r="N30" s="2">
        <f>N8/'Output-Calculation-sheet'!N7*'Output-Calculation-sheet'!N16</f>
        <v>1839.6518251331611</v>
      </c>
      <c r="O30" s="2">
        <f>O8/'Output-Calculation-sheet'!O7*'Output-Calculation-sheet'!O16</f>
        <v>0</v>
      </c>
      <c r="P30" s="2">
        <f>P8/'Output-Calculation-sheet'!P7*'Output-Calculation-sheet'!P16</f>
        <v>1653.4186966327834</v>
      </c>
      <c r="Q30" s="2">
        <f>Q8/'Output-Calculation-sheet'!Q7*'Output-Calculation-sheet'!Q16</f>
        <v>1818.2145085103157</v>
      </c>
      <c r="R30" s="2">
        <f>R8/'Output-Calculation-sheet'!R7*'Output-Calculation-sheet'!R16</f>
        <v>1153.6650083084974</v>
      </c>
      <c r="S30" s="2">
        <f>S8/'Output-Calculation-sheet'!S7*'Output-Calculation-sheet'!S16</f>
        <v>1160.2487061447423</v>
      </c>
      <c r="T30" s="2">
        <f>T8/'Output-Calculation-sheet'!T7*'Output-Calculation-sheet'!T16</f>
        <v>346.31365243570099</v>
      </c>
      <c r="U30" s="2">
        <f>U8/'Output-Calculation-sheet'!U7*'Output-Calculation-sheet'!U16</f>
        <v>345.69462556369194</v>
      </c>
      <c r="V30" s="2">
        <f>V8/'Output-Calculation-sheet'!V7*'Output-Calculation-sheet'!V16</f>
        <v>269.04755594960898</v>
      </c>
      <c r="W30" s="2">
        <f>W8/'Output-Calculation-sheet'!W7*'Output-Calculation-sheet'!W16</f>
        <v>163.19090605301153</v>
      </c>
      <c r="X30" s="2">
        <f>X8/'Output-Calculation-sheet'!X7*'Output-Calculation-sheet'!X16</f>
        <v>0</v>
      </c>
      <c r="Y30" s="2">
        <f>Y8/'Output-Calculation-sheet'!Y7*'Output-Calculation-sheet'!Y16</f>
        <v>138.12254923270021</v>
      </c>
      <c r="AA30" s="2">
        <f t="shared" si="1"/>
        <v>47.333910905689507</v>
      </c>
    </row>
    <row r="31" spans="1:27" x14ac:dyDescent="0.25">
      <c r="A31" s="2">
        <v>2032</v>
      </c>
      <c r="B31" s="2">
        <f>B9/'Output-Calculation-sheet'!B8*'Output-Calculation-sheet'!B17</f>
        <v>30224.423095827049</v>
      </c>
      <c r="C31" s="2">
        <f>C9/'Output-Calculation-sheet'!C8*'Output-Calculation-sheet'!C17</f>
        <v>0</v>
      </c>
      <c r="D31" s="2">
        <f>D9/'Output-Calculation-sheet'!D8*'Output-Calculation-sheet'!D17</f>
        <v>5069.0325889500064</v>
      </c>
      <c r="E31" s="2">
        <f>E9/'Output-Calculation-sheet'!E8*'Output-Calculation-sheet'!E17</f>
        <v>5957.9552354462385</v>
      </c>
      <c r="F31" s="2">
        <f>F9/'Output-Calculation-sheet'!F8*'Output-Calculation-sheet'!F17</f>
        <v>2751.6353490581068</v>
      </c>
      <c r="G31" s="2">
        <f>G9/'Output-Calculation-sheet'!G8*'Output-Calculation-sheet'!G17</f>
        <v>1801.9776424313748</v>
      </c>
      <c r="H31" s="2">
        <f>H9/'Output-Calculation-sheet'!H8*'Output-Calculation-sheet'!H17</f>
        <v>0</v>
      </c>
      <c r="I31" s="2">
        <f>I9/'Output-Calculation-sheet'!I8*'Output-Calculation-sheet'!I17</f>
        <v>1756.6666170009478</v>
      </c>
      <c r="J31" s="2">
        <f>J9/'Output-Calculation-sheet'!J8*'Output-Calculation-sheet'!J17</f>
        <v>1563.7718862071531</v>
      </c>
      <c r="K31" s="2">
        <f>K9/'Output-Calculation-sheet'!K8*'Output-Calculation-sheet'!K17</f>
        <v>2226.3959619298307</v>
      </c>
      <c r="L31" s="2">
        <f>L9/'Output-Calculation-sheet'!L8*'Output-Calculation-sheet'!L17</f>
        <v>1898.7243650116966</v>
      </c>
      <c r="M31" s="2">
        <f>M9/'Output-Calculation-sheet'!M8*'Output-Calculation-sheet'!M17</f>
        <v>0</v>
      </c>
      <c r="N31" s="2">
        <f>N9/'Output-Calculation-sheet'!N8*'Output-Calculation-sheet'!N17</f>
        <v>2064.1075786181232</v>
      </c>
      <c r="O31" s="2">
        <f>O9/'Output-Calculation-sheet'!O8*'Output-Calculation-sheet'!O17</f>
        <v>0</v>
      </c>
      <c r="P31" s="2">
        <f>P9/'Output-Calculation-sheet'!P8*'Output-Calculation-sheet'!P17</f>
        <v>2561.8778774032821</v>
      </c>
      <c r="Q31" s="2">
        <f>Q9/'Output-Calculation-sheet'!Q8*'Output-Calculation-sheet'!Q17</f>
        <v>2731.1971948364135</v>
      </c>
      <c r="R31" s="2">
        <f>R9/'Output-Calculation-sheet'!R8*'Output-Calculation-sheet'!R17</f>
        <v>1786.8935469602488</v>
      </c>
      <c r="S31" s="2">
        <f>S9/'Output-Calculation-sheet'!S8*'Output-Calculation-sheet'!S17</f>
        <v>1543.0119820530722</v>
      </c>
      <c r="T31" s="2">
        <f>T9/'Output-Calculation-sheet'!T8*'Output-Calculation-sheet'!T17</f>
        <v>484.88661914243954</v>
      </c>
      <c r="U31" s="2">
        <f>U9/'Output-Calculation-sheet'!U8*'Output-Calculation-sheet'!U17</f>
        <v>557.28930800609146</v>
      </c>
      <c r="V31" s="2">
        <f>V9/'Output-Calculation-sheet'!V8*'Output-Calculation-sheet'!V17</f>
        <v>399.15988855158793</v>
      </c>
      <c r="W31" s="2">
        <f>W9/'Output-Calculation-sheet'!W8*'Output-Calculation-sheet'!W17</f>
        <v>222.22172784580181</v>
      </c>
      <c r="X31" s="2">
        <f>X9/'Output-Calculation-sheet'!X8*'Output-Calculation-sheet'!X17</f>
        <v>0</v>
      </c>
      <c r="Y31" s="2">
        <f>Y9/'Output-Calculation-sheet'!Y8*'Output-Calculation-sheet'!Y17</f>
        <v>214.71433400421861</v>
      </c>
      <c r="AA31" s="2">
        <f t="shared" si="1"/>
        <v>65.815942799283704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2040.4758617863788</v>
      </c>
      <c r="O32" s="2">
        <f>O10/'Output-Calculation-sheet'!O9*'Output-Calculation-sheet'!O18</f>
        <v>0</v>
      </c>
      <c r="P32" s="2">
        <f>P10/'Output-Calculation-sheet'!P9*'Output-Calculation-sheet'!P18</f>
        <v>3284.2310707735769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2357.9672897357295</v>
      </c>
      <c r="S32" s="2">
        <f>S10/'Output-Calculation-sheet'!S9*'Output-Calculation-sheet'!S18</f>
        <v>1543.2829329535984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761.18925234433391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80.433475652972589</v>
      </c>
    </row>
    <row r="33" spans="1:27" x14ac:dyDescent="0.25">
      <c r="A33" s="2">
        <v>2034</v>
      </c>
      <c r="B33" s="2">
        <f>B11/'Output-Calculation-sheet'!B10*'Output-Calculation-sheet'!B19</f>
        <v>30713.37231774276</v>
      </c>
      <c r="C33" s="2">
        <f>C11/'Output-Calculation-sheet'!C10*'Output-Calculation-sheet'!C19</f>
        <v>0</v>
      </c>
      <c r="D33" s="2">
        <f>D11/'Output-Calculation-sheet'!D10*'Output-Calculation-sheet'!D19</f>
        <v>9177.1667224814755</v>
      </c>
      <c r="E33" s="2">
        <f>E11/'Output-Calculation-sheet'!E10*'Output-Calculation-sheet'!E19</f>
        <v>11332.564081666864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3118.668691867912</v>
      </c>
      <c r="H33" s="2">
        <f>H11/'Output-Calculation-sheet'!H10*'Output-Calculation-sheet'!H19</f>
        <v>0</v>
      </c>
      <c r="I33" s="2">
        <f>I11/'Output-Calculation-sheet'!I10*'Output-Calculation-sheet'!I19</f>
        <v>3407.6372208821604</v>
      </c>
      <c r="J33" s="2">
        <f>J11/'Output-Calculation-sheet'!J10*'Output-Calculation-sheet'!J19</f>
        <v>2877.7578561369305</v>
      </c>
      <c r="K33" s="2">
        <f>K11/'Output-Calculation-sheet'!K10*'Output-Calculation-sheet'!K19</f>
        <v>3992.6519904686211</v>
      </c>
      <c r="L33" s="2">
        <f>L11/'Output-Calculation-sheet'!L10*'Output-Calculation-sheet'!L19</f>
        <v>3250.3394241213259</v>
      </c>
      <c r="M33" s="2">
        <f>M11/'Output-Calculation-sheet'!M10*'Output-Calculation-sheet'!M19</f>
        <v>0</v>
      </c>
      <c r="N33" s="2">
        <f>N11/'Output-Calculation-sheet'!N10*'Output-Calculation-sheet'!N19</f>
        <v>1835.9744244737808</v>
      </c>
      <c r="O33" s="2">
        <f>O11/'Output-Calculation-sheet'!O10*'Output-Calculation-sheet'!O19</f>
        <v>0</v>
      </c>
      <c r="P33" s="2">
        <f>P11/'Output-Calculation-sheet'!P10*'Output-Calculation-sheet'!P19</f>
        <v>4042.7125548999829</v>
      </c>
      <c r="Q33" s="2">
        <f>Q11/'Output-Calculation-sheet'!Q10*'Output-Calculation-sheet'!Q19</f>
        <v>3293.2292067990929</v>
      </c>
      <c r="R33" s="2">
        <f>R11/'Output-Calculation-sheet'!R10*'Output-Calculation-sheet'!R19</f>
        <v>2884.1625660120612</v>
      </c>
      <c r="S33" s="2">
        <f>S11/'Output-Calculation-sheet'!S10*'Output-Calculation-sheet'!S19</f>
        <v>1348.1074393325928</v>
      </c>
      <c r="T33" s="2">
        <f>T11/'Output-Calculation-sheet'!T10*'Output-Calculation-sheet'!T19</f>
        <v>846.35139667522299</v>
      </c>
      <c r="U33" s="2">
        <f>U11/'Output-Calculation-sheet'!U10*'Output-Calculation-sheet'!U19</f>
        <v>906.84736494109848</v>
      </c>
      <c r="V33" s="2">
        <f>V11/'Output-Calculation-sheet'!V10*'Output-Calculation-sheet'!V19</f>
        <v>663.67396312432572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106.90905249207346</v>
      </c>
      <c r="Y33" s="2">
        <f>Y11/'Output-Calculation-sheet'!Y10*'Output-Calculation-sheet'!Y19</f>
        <v>372.47280288421263</v>
      </c>
      <c r="AA33" s="2">
        <f t="shared" si="1"/>
        <v>89.791429010773285</v>
      </c>
    </row>
    <row r="34" spans="1:27" x14ac:dyDescent="0.25">
      <c r="A34" s="2">
        <v>2035</v>
      </c>
      <c r="B34" s="2">
        <f>B12/'Output-Calculation-sheet'!B11*'Output-Calculation-sheet'!B20</f>
        <v>26532.455997803329</v>
      </c>
      <c r="C34" s="2">
        <f>C12/'Output-Calculation-sheet'!C11*'Output-Calculation-sheet'!C20</f>
        <v>0</v>
      </c>
      <c r="D34" s="2">
        <f>D12/'Output-Calculation-sheet'!D11*'Output-Calculation-sheet'!D20</f>
        <v>8539.648681537401</v>
      </c>
      <c r="E34" s="2">
        <f>E12/'Output-Calculation-sheet'!E11*'Output-Calculation-sheet'!E20</f>
        <v>9488.7450908864685</v>
      </c>
      <c r="F34" s="2">
        <f>F12/'Output-Calculation-sheet'!F11*'Output-Calculation-sheet'!F20</f>
        <v>5307.4281107422839</v>
      </c>
      <c r="G34" s="2">
        <f>G12/'Output-Calculation-sheet'!G11*'Output-Calculation-sheet'!G20</f>
        <v>2864.8843539794489</v>
      </c>
      <c r="H34" s="2">
        <f>H12/'Output-Calculation-sheet'!H11*'Output-Calculation-sheet'!H20</f>
        <v>0</v>
      </c>
      <c r="I34" s="2">
        <f>I12/'Output-Calculation-sheet'!I11*'Output-Calculation-sheet'!I20</f>
        <v>3185.0732080611306</v>
      </c>
      <c r="J34" s="2">
        <f>J12/'Output-Calculation-sheet'!J11*'Output-Calculation-sheet'!J20</f>
        <v>2952.2490417119411</v>
      </c>
      <c r="K34" s="2">
        <f>K12/'Output-Calculation-sheet'!K11*'Output-Calculation-sheet'!K20</f>
        <v>3926.1937388651968</v>
      </c>
      <c r="L34" s="2">
        <f>L12/'Output-Calculation-sheet'!L11*'Output-Calculation-sheet'!L20</f>
        <v>3133.2672044044034</v>
      </c>
      <c r="M34" s="2">
        <f>M12/'Output-Calculation-sheet'!M11*'Output-Calculation-sheet'!M20</f>
        <v>0</v>
      </c>
      <c r="N34" s="2">
        <f>N12/'Output-Calculation-sheet'!N11*'Output-Calculation-sheet'!N20</f>
        <v>1680.2411863267521</v>
      </c>
      <c r="O34" s="2">
        <f>O12/'Output-Calculation-sheet'!O11*'Output-Calculation-sheet'!O20</f>
        <v>0</v>
      </c>
      <c r="P34" s="2">
        <f>P12/'Output-Calculation-sheet'!P11*'Output-Calculation-sheet'!P20</f>
        <v>3578.7797509366851</v>
      </c>
      <c r="Q34" s="2">
        <f>Q12/'Output-Calculation-sheet'!Q11*'Output-Calculation-sheet'!Q20</f>
        <v>2984.6689403660721</v>
      </c>
      <c r="R34" s="2">
        <f>R12/'Output-Calculation-sheet'!R11*'Output-Calculation-sheet'!R20</f>
        <v>3006.6006227921143</v>
      </c>
      <c r="S34" s="2">
        <f>S12/'Output-Calculation-sheet'!S11*'Output-Calculation-sheet'!S20</f>
        <v>1148.5116288970648</v>
      </c>
      <c r="T34" s="2">
        <f>T12/'Output-Calculation-sheet'!T11*'Output-Calculation-sheet'!T20</f>
        <v>911.93357671817762</v>
      </c>
      <c r="U34" s="2">
        <f>U12/'Output-Calculation-sheet'!U11*'Output-Calculation-sheet'!U20</f>
        <v>839.39087215034306</v>
      </c>
      <c r="V34" s="2">
        <f>V12/'Output-Calculation-sheet'!V11*'Output-Calculation-sheet'!V20</f>
        <v>826.44145985886405</v>
      </c>
      <c r="W34" s="2">
        <f>W12/'Output-Calculation-sheet'!W11*'Output-Calculation-sheet'!W20</f>
        <v>448.40961680710745</v>
      </c>
      <c r="X34" s="2">
        <f>X12/'Output-Calculation-sheet'!X11*'Output-Calculation-sheet'!X20</f>
        <v>94.671264873072047</v>
      </c>
      <c r="Y34" s="2">
        <f>Y12/'Output-Calculation-sheet'!Y11*'Output-Calculation-sheet'!Y20</f>
        <v>325.45244361637509</v>
      </c>
      <c r="AA34" s="2">
        <f t="shared" si="1"/>
        <v>81.775046791334233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1.2050626055449962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0.23411124532825303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1.4391738508732492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1.312754768696933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0.25503293546417016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1.5677877041611032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1.3409915311346294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0.26051857877258355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1.6015101099072129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1.3004403175892132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0.40031603078156325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0.2526405689007265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0.23719989232354863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7.5681258860384501E-2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2.2964963367885125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1.206408626859145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0.2343727410585526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10.111888594665224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7360.4125347339805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2072.3453154204221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279.01075973367989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11.361163942916786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14481.892715760043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8069.9156613597024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5508.1102771109781</v>
      </c>
      <c r="N52" s="2">
        <f>N8/'Output-Calculation-sheet'!N7*'Output-Calculation-sheet'!N43</f>
        <v>176.05166037926801</v>
      </c>
      <c r="O52" s="2">
        <f>O8/'Output-Calculation-sheet'!O7*'Output-Calculation-sheet'!O43</f>
        <v>677.69044700283769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709.8747835916713</v>
      </c>
      <c r="Y52" s="2">
        <f>Y8/'Output-Calculation-sheet'!Y7*'Output-Calculation-sheet'!Y43</f>
        <v>0</v>
      </c>
      <c r="AA52" s="2">
        <f t="shared" si="3"/>
        <v>29.623535545204501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19806.47545753267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15561.656687174285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10634.767589721598</v>
      </c>
      <c r="N53" s="2">
        <f>N9/'Output-Calculation-sheet'!N8*'Output-Calculation-sheet'!N44</f>
        <v>3787.7492412592592</v>
      </c>
      <c r="O53" s="2">
        <f>O9/'Output-Calculation-sheet'!O8*'Output-Calculation-sheet'!O44</f>
        <v>1476.5064684767747</v>
      </c>
      <c r="P53" s="2">
        <f>P9/'Output-Calculation-sheet'!P8*'Output-Calculation-sheet'!P44</f>
        <v>177.17457246666368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1168.0843803114553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1329.8856193857209</v>
      </c>
      <c r="Y53" s="2">
        <f>Y9/'Output-Calculation-sheet'!Y8*'Output-Calculation-sheet'!Y44</f>
        <v>0</v>
      </c>
      <c r="AA53" s="2">
        <f t="shared" si="3"/>
        <v>53.942300016328424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28584.293163659204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2536.6282669962084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568.19472574087808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121.9392352818287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40153.946648368692</v>
      </c>
      <c r="D55" s="2">
        <f>D11/'Output-Calculation-sheet'!D10*'Output-Calculation-sheet'!D46</f>
        <v>7982.9568045545657</v>
      </c>
      <c r="E55" s="2">
        <f>E11/'Output-Calculation-sheet'!E10*'Output-Calculation-sheet'!E46</f>
        <v>9958.1752776244102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26125.888324691496</v>
      </c>
      <c r="I55" s="2">
        <f>I11/'Output-Calculation-sheet'!I10*'Output-Calculation-sheet'!I46</f>
        <v>1923.6162158505074</v>
      </c>
      <c r="J55" s="2">
        <f>J11/'Output-Calculation-sheet'!J10*'Output-Calculation-sheet'!J46</f>
        <v>1419.7446423208232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18460.424929035798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4033.3845210466861</v>
      </c>
      <c r="P55" s="2">
        <f>P11/'Output-Calculation-sheet'!P10*'Output-Calculation-sheet'!P46</f>
        <v>5177.6206813718773</v>
      </c>
      <c r="Q55" s="2">
        <f>Q11/'Output-Calculation-sheet'!Q10*'Output-Calculation-sheet'!Q46</f>
        <v>4036.5595711200376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6915.5356429021513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1234.7994866694314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1858.1584299549611</v>
      </c>
      <c r="Y55" s="2">
        <f>Y11/'Output-Calculation-sheet'!Y10*'Output-Calculation-sheet'!Y46</f>
        <v>488.57782276671827</v>
      </c>
      <c r="AA55" s="2">
        <f t="shared" si="3"/>
        <v>246.24229005545567</v>
      </c>
    </row>
    <row r="56" spans="1:27" x14ac:dyDescent="0.25">
      <c r="A56" s="2">
        <v>2035</v>
      </c>
      <c r="B56" s="2">
        <f>B12/'Output-Calculation-sheet'!B11*'Output-Calculation-sheet'!B47</f>
        <v>82720.918806230693</v>
      </c>
      <c r="C56" s="2">
        <f>C12/'Output-Calculation-sheet'!C11*'Output-Calculation-sheet'!C47</f>
        <v>61696.160478849255</v>
      </c>
      <c r="D56" s="2">
        <f>D12/'Output-Calculation-sheet'!D11*'Output-Calculation-sheet'!D47</f>
        <v>8436.9059161584046</v>
      </c>
      <c r="E56" s="2">
        <f>E12/'Output-Calculation-sheet'!E11*'Output-Calculation-sheet'!E47</f>
        <v>21232.784388859047</v>
      </c>
      <c r="F56" s="2">
        <f>F12/'Output-Calculation-sheet'!F11*'Output-Calculation-sheet'!F47</f>
        <v>1171.4004711581704</v>
      </c>
      <c r="G56" s="2">
        <f>G12/'Output-Calculation-sheet'!G11*'Output-Calculation-sheet'!G47</f>
        <v>3127.3827372830096</v>
      </c>
      <c r="H56" s="2">
        <f>H12/'Output-Calculation-sheet'!H11*'Output-Calculation-sheet'!H47</f>
        <v>24464.822897416343</v>
      </c>
      <c r="I56" s="2">
        <f>I12/'Output-Calculation-sheet'!I11*'Output-Calculation-sheet'!I47</f>
        <v>1996.2473931155653</v>
      </c>
      <c r="J56" s="2">
        <f>J12/'Output-Calculation-sheet'!J11*'Output-Calculation-sheet'!J47</f>
        <v>3262.7820812625632</v>
      </c>
      <c r="K56" s="2">
        <f>K12/'Output-Calculation-sheet'!K11*'Output-Calculation-sheet'!K47</f>
        <v>4488.8112313448873</v>
      </c>
      <c r="L56" s="2">
        <f>L12/'Output-Calculation-sheet'!L11*'Output-Calculation-sheet'!L47</f>
        <v>4822.0839031526648</v>
      </c>
      <c r="M56" s="2">
        <f>M12/'Output-Calculation-sheet'!M11*'Output-Calculation-sheet'!M47</f>
        <v>17192.843404807532</v>
      </c>
      <c r="N56" s="2">
        <f>N12/'Output-Calculation-sheet'!N11*'Output-Calculation-sheet'!N47</f>
        <v>13747.367803478483</v>
      </c>
      <c r="O56" s="2">
        <f>O12/'Output-Calculation-sheet'!O11*'Output-Calculation-sheet'!O47</f>
        <v>6805.0330956474481</v>
      </c>
      <c r="P56" s="2">
        <f>P12/'Output-Calculation-sheet'!P11*'Output-Calculation-sheet'!P47</f>
        <v>5963.3439132863705</v>
      </c>
      <c r="Q56" s="2">
        <f>Q12/'Output-Calculation-sheet'!Q11*'Output-Calculation-sheet'!Q47</f>
        <v>4343.0633372289667</v>
      </c>
      <c r="R56" s="2">
        <f>R12/'Output-Calculation-sheet'!R11*'Output-Calculation-sheet'!R47</f>
        <v>5053.4963481875247</v>
      </c>
      <c r="S56" s="2">
        <f>S12/'Output-Calculation-sheet'!S11*'Output-Calculation-sheet'!S47</f>
        <v>6402.8610871734154</v>
      </c>
      <c r="T56" s="2">
        <f>T12/'Output-Calculation-sheet'!T11*'Output-Calculation-sheet'!T47</f>
        <v>1657.159718506279</v>
      </c>
      <c r="U56" s="2">
        <f>U12/'Output-Calculation-sheet'!U11*'Output-Calculation-sheet'!U47</f>
        <v>1157.8314816812513</v>
      </c>
      <c r="V56" s="2">
        <f>V12/'Output-Calculation-sheet'!V11*'Output-Calculation-sheet'!V47</f>
        <v>1139.7358492089054</v>
      </c>
      <c r="W56" s="2">
        <f>W12/'Output-Calculation-sheet'!W11*'Output-Calculation-sheet'!W47</f>
        <v>407.1067831692128</v>
      </c>
      <c r="X56" s="2">
        <f>X12/'Output-Calculation-sheet'!X11*'Output-Calculation-sheet'!X47</f>
        <v>1736.0947816927417</v>
      </c>
      <c r="Y56" s="2">
        <f>Y12/'Output-Calculation-sheet'!Y11*'Output-Calculation-sheet'!Y47</f>
        <v>529.1871066341829</v>
      </c>
      <c r="AA56" s="2">
        <f t="shared" si="3"/>
        <v>283.55542501553288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4.4736854825207333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1.3405392105849825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1.1256812201537298</v>
      </c>
      <c r="N62" s="2">
        <f>N7*'Output-Calculation-sheet'!N51/10^9</f>
        <v>0.96163767370937558</v>
      </c>
      <c r="O62" s="2">
        <f>O7*'Output-Calculation-sheet'!O51/10^9</f>
        <v>0.92905213237749629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0.11739524332847551</v>
      </c>
      <c r="Y62" s="2">
        <f>Y7*'Output-Calculation-sheet'!Y51/10^9</f>
        <v>7.5069750087670473E-2</v>
      </c>
      <c r="AA62" s="2">
        <f t="shared" si="4"/>
        <v>32.617794886119292</v>
      </c>
    </row>
    <row r="63" spans="1:27" x14ac:dyDescent="0.25">
      <c r="A63" s="2">
        <v>2031</v>
      </c>
      <c r="B63" s="2">
        <f>B8*'Output-Calculation-sheet'!B52/10^9</f>
        <v>8.6098561073910034</v>
      </c>
      <c r="C63" s="2">
        <f>C8*'Output-Calculation-sheet'!C52/10^9</f>
        <v>5.3969778996072293</v>
      </c>
      <c r="D63" s="2">
        <f>D8*'Output-Calculation-sheet'!D52/10^9</f>
        <v>2.9524841859017692</v>
      </c>
      <c r="E63" s="2">
        <f>E8*'Output-Calculation-sheet'!E52/10^9</f>
        <v>2.935576004494366</v>
      </c>
      <c r="F63" s="2">
        <f>F8*'Output-Calculation-sheet'!F52/10^9</f>
        <v>1.2432171850668856</v>
      </c>
      <c r="G63" s="2">
        <f>G8*'Output-Calculation-sheet'!G52/10^9</f>
        <v>0.89381590775050335</v>
      </c>
      <c r="H63" s="2">
        <f>H8*'Output-Calculation-sheet'!H52/10^9</f>
        <v>1.5613116935056603</v>
      </c>
      <c r="I63" s="2">
        <f>I8*'Output-Calculation-sheet'!I52/10^9</f>
        <v>0.83145641813574178</v>
      </c>
      <c r="J63" s="2">
        <f>J8*'Output-Calculation-sheet'!J52/10^9</f>
        <v>1.1441415065468967</v>
      </c>
      <c r="K63" s="2">
        <f>K8*'Output-Calculation-sheet'!K52/10^9</f>
        <v>1.0052274732524238</v>
      </c>
      <c r="L63" s="2">
        <f>L8*'Output-Calculation-sheet'!L52/10^9</f>
        <v>1.3520774124472847</v>
      </c>
      <c r="M63" s="2">
        <f>M8*'Output-Calculation-sheet'!M52/10^9</f>
        <v>1.2672955971784603</v>
      </c>
      <c r="N63" s="2">
        <f>N8*'Output-Calculation-sheet'!N52/10^9</f>
        <v>1.0576567621963442</v>
      </c>
      <c r="O63" s="2">
        <f>O8*'Output-Calculation-sheet'!O52/10^9</f>
        <v>1.1081232742756895</v>
      </c>
      <c r="P63" s="2">
        <f>P8*'Output-Calculation-sheet'!P52/10^9</f>
        <v>0.69458634421680199</v>
      </c>
      <c r="Q63" s="2">
        <f>Q8*'Output-Calculation-sheet'!Q52/10^9</f>
        <v>0.78606390891618705</v>
      </c>
      <c r="R63" s="2">
        <f>R8*'Output-Calculation-sheet'!R52/10^9</f>
        <v>0.70573014605038176</v>
      </c>
      <c r="S63" s="2">
        <f>S8*'Output-Calculation-sheet'!S52/10^9</f>
        <v>0.5229741567225259</v>
      </c>
      <c r="T63" s="2">
        <f>T8*'Output-Calculation-sheet'!T52/10^9</f>
        <v>0.26830961536092512</v>
      </c>
      <c r="U63" s="2">
        <f>U8*'Output-Calculation-sheet'!U52/10^9</f>
        <v>0.18427206050699965</v>
      </c>
      <c r="V63" s="2">
        <f>V8*'Output-Calculation-sheet'!V52/10^9</f>
        <v>0.3270396107988951</v>
      </c>
      <c r="W63" s="2">
        <f>W8*'Output-Calculation-sheet'!W52/10^9</f>
        <v>0.11837324587084121</v>
      </c>
      <c r="X63" s="2">
        <f>X8*'Output-Calculation-sheet'!X52/10^9</f>
        <v>0.13625465121765221</v>
      </c>
      <c r="Y63" s="2">
        <f>Y8*'Output-Calculation-sheet'!Y52/10^9</f>
        <v>7.7235175472288559E-2</v>
      </c>
      <c r="AA63" s="2">
        <f t="shared" si="4"/>
        <v>35.180056342883766</v>
      </c>
    </row>
    <row r="64" spans="1:27" x14ac:dyDescent="0.25">
      <c r="A64" s="2">
        <v>2032</v>
      </c>
      <c r="B64" s="2">
        <f>B9*'Output-Calculation-sheet'!B53/10^9</f>
        <v>8.9496451475808652</v>
      </c>
      <c r="C64" s="2">
        <f>C9*'Output-Calculation-sheet'!C53/10^9</f>
        <v>5.9713101992375313</v>
      </c>
      <c r="D64" s="2">
        <f>D9*'Output-Calculation-sheet'!D53/10^9</f>
        <v>2.6485559676028565</v>
      </c>
      <c r="E64" s="2">
        <f>E9*'Output-Calculation-sheet'!E53/10^9</f>
        <v>2.7122504410231398</v>
      </c>
      <c r="F64" s="2">
        <f>F9*'Output-Calculation-sheet'!F53/10^9</f>
        <v>1.1440111892583524</v>
      </c>
      <c r="G64" s="2">
        <f>G9*'Output-Calculation-sheet'!G53/10^9</f>
        <v>0.81427130296812855</v>
      </c>
      <c r="H64" s="2">
        <f>H9*'Output-Calculation-sheet'!H53/10^9</f>
        <v>1.6731091469129882</v>
      </c>
      <c r="I64" s="2">
        <f>I9*'Output-Calculation-sheet'!I53/10^9</f>
        <v>0.76121071332313839</v>
      </c>
      <c r="J64" s="2">
        <f>J9*'Output-Calculation-sheet'!J53/10^9</f>
        <v>1.0076893020150326</v>
      </c>
      <c r="K64" s="2">
        <f>K9*'Output-Calculation-sheet'!K53/10^9</f>
        <v>0.93499617108995936</v>
      </c>
      <c r="L64" s="2">
        <f>L9*'Output-Calculation-sheet'!L53/10^9</f>
        <v>1.2028648288698629</v>
      </c>
      <c r="M64" s="2">
        <f>M9*'Output-Calculation-sheet'!M53/10^9</f>
        <v>1.3113000015503669</v>
      </c>
      <c r="N64" s="2">
        <f>N9*'Output-Calculation-sheet'!N53/10^9</f>
        <v>1.1038956856541833</v>
      </c>
      <c r="O64" s="2">
        <f>O9*'Output-Calculation-sheet'!O53/10^9</f>
        <v>1.2154239266399747</v>
      </c>
      <c r="P64" s="2">
        <f>P9*'Output-Calculation-sheet'!P53/10^9</f>
        <v>0.71285905699131125</v>
      </c>
      <c r="Q64" s="2">
        <f>Q9*'Output-Calculation-sheet'!Q53/10^9</f>
        <v>0.78782888730145306</v>
      </c>
      <c r="R64" s="2">
        <f>R9*'Output-Calculation-sheet'!R53/10^9</f>
        <v>0.67535448331585957</v>
      </c>
      <c r="S64" s="2">
        <f>S9*'Output-Calculation-sheet'!S53/10^9</f>
        <v>0.55799374035761573</v>
      </c>
      <c r="T64" s="2">
        <f>T9*'Output-Calculation-sheet'!T53/10^9</f>
        <v>0.24277235820374871</v>
      </c>
      <c r="U64" s="2">
        <f>U9*'Output-Calculation-sheet'!U53/10^9</f>
        <v>0.18272960458631871</v>
      </c>
      <c r="V64" s="2">
        <f>V9*'Output-Calculation-sheet'!V53/10^9</f>
        <v>0.28815447250225762</v>
      </c>
      <c r="W64" s="2">
        <f>W9*'Output-Calculation-sheet'!W53/10^9</f>
        <v>0.10707300821144708</v>
      </c>
      <c r="X64" s="2">
        <f>X9*'Output-Calculation-sheet'!X53/10^9</f>
        <v>0.14533759052903139</v>
      </c>
      <c r="Y64" s="2">
        <f>Y9*'Output-Calculation-sheet'!Y53/10^9</f>
        <v>7.5018831485636081E-2</v>
      </c>
      <c r="AA64" s="2">
        <f t="shared" si="4"/>
        <v>35.225656057211062</v>
      </c>
    </row>
    <row r="65" spans="1:27" x14ac:dyDescent="0.25">
      <c r="A65" s="2">
        <v>2033</v>
      </c>
      <c r="B65" s="2">
        <f>B10*'Output-Calculation-sheet'!B54/10^9</f>
        <v>9.0944260112836215</v>
      </c>
      <c r="C65" s="2">
        <f>C10*'Output-Calculation-sheet'!C54/10^9</f>
        <v>6.1486360076174753</v>
      </c>
      <c r="D65" s="2">
        <f>D10*'Output-Calculation-sheet'!D54/10^9</f>
        <v>2.1485558475949942</v>
      </c>
      <c r="E65" s="2">
        <f>E10*'Output-Calculation-sheet'!E54/10^9</f>
        <v>2.419249314553793</v>
      </c>
      <c r="F65" s="2">
        <f>F10*'Output-Calculation-sheet'!F54/10^9</f>
        <v>0.98217382105334039</v>
      </c>
      <c r="G65" s="2">
        <f>G10*'Output-Calculation-sheet'!G54/10^9</f>
        <v>0.6743511704005668</v>
      </c>
      <c r="H65" s="2">
        <f>H10*'Output-Calculation-sheet'!H54/10^9</f>
        <v>1.6665343611382009</v>
      </c>
      <c r="I65" s="2">
        <f>I10*'Output-Calculation-sheet'!I54/10^9</f>
        <v>0.65663387226860115</v>
      </c>
      <c r="J65" s="2">
        <f>J10*'Output-Calculation-sheet'!J54/10^9</f>
        <v>0.78482393137915962</v>
      </c>
      <c r="K65" s="2">
        <f>K10*'Output-Calculation-sheet'!K54/10^9</f>
        <v>0.83730317258572273</v>
      </c>
      <c r="L65" s="2">
        <f>L10*'Output-Calculation-sheet'!L54/10^9</f>
        <v>0.98903114203663745</v>
      </c>
      <c r="M65" s="2">
        <f>M10*'Output-Calculation-sheet'!M54/10^9</f>
        <v>1.2583071690228935</v>
      </c>
      <c r="N65" s="2">
        <f>N10*'Output-Calculation-sheet'!N54/10^9</f>
        <v>1.0866345821741565</v>
      </c>
      <c r="O65" s="2">
        <f>O10*'Output-Calculation-sheet'!O54/10^9</f>
        <v>1.2437258876429806</v>
      </c>
      <c r="P65" s="2">
        <f>P10*'Output-Calculation-sheet'!P54/10^9</f>
        <v>0.70845348221230831</v>
      </c>
      <c r="Q65" s="2">
        <f>Q10*'Output-Calculation-sheet'!Q54/10^9</f>
        <v>0.77307536135599897</v>
      </c>
      <c r="R65" s="2">
        <f>R10*'Output-Calculation-sheet'!R54/10^9</f>
        <v>0.62371654608609572</v>
      </c>
      <c r="S65" s="2">
        <f>S10*'Output-Calculation-sheet'!S54/10^9</f>
        <v>0.56654634354102162</v>
      </c>
      <c r="T65" s="2">
        <f>T10*'Output-Calculation-sheet'!T54/10^9</f>
        <v>0.20853593800336834</v>
      </c>
      <c r="U65" s="2">
        <f>U10*'Output-Calculation-sheet'!U54/10^9</f>
        <v>0.18006857016521677</v>
      </c>
      <c r="V65" s="2">
        <f>V10*'Output-Calculation-sheet'!V54/10^9</f>
        <v>0.23077649292204111</v>
      </c>
      <c r="W65" s="2">
        <f>W10*'Output-Calculation-sheet'!W54/10^9</f>
        <v>8.7865290747531827E-2</v>
      </c>
      <c r="X65" s="2">
        <f>X10*'Output-Calculation-sheet'!X54/10^9</f>
        <v>0.14472349559732259</v>
      </c>
      <c r="Y65" s="2">
        <f>Y10*'Output-Calculation-sheet'!Y54/10^9</f>
        <v>7.2317843944811375E-2</v>
      </c>
      <c r="AA65" s="2">
        <f t="shared" si="4"/>
        <v>33.586465655327849</v>
      </c>
    </row>
    <row r="66" spans="1:27" x14ac:dyDescent="0.25">
      <c r="A66" s="2">
        <v>2034</v>
      </c>
      <c r="B66" s="2">
        <f>B11*'Output-Calculation-sheet'!B55/10^9</f>
        <v>9.0469967059095069</v>
      </c>
      <c r="C66" s="2">
        <f>C11*'Output-Calculation-sheet'!C55/10^9</f>
        <v>5.9674858446673555</v>
      </c>
      <c r="D66" s="2">
        <f>D11*'Output-Calculation-sheet'!D55/10^9</f>
        <v>1.8923544340926466</v>
      </c>
      <c r="E66" s="2">
        <f>E11*'Output-Calculation-sheet'!E55/10^9</f>
        <v>2.2915155423761964</v>
      </c>
      <c r="F66" s="2">
        <f>F11*'Output-Calculation-sheet'!F55/10^9</f>
        <v>0.88065852670090494</v>
      </c>
      <c r="G66" s="2">
        <f>G11*'Output-Calculation-sheet'!G55/10^9</f>
        <v>0.62947835874698277</v>
      </c>
      <c r="H66" s="2">
        <f>H11*'Output-Calculation-sheet'!H55/10^9</f>
        <v>1.609297455042116</v>
      </c>
      <c r="I66" s="2">
        <f>I11*'Output-Calculation-sheet'!I55/10^9</f>
        <v>0.61555888368845102</v>
      </c>
      <c r="J66" s="2">
        <f>J11*'Output-Calculation-sheet'!J55/10^9</f>
        <v>0.63300708503556435</v>
      </c>
      <c r="K66" s="2">
        <f>K11*'Output-Calculation-sheet'!K55/10^9</f>
        <v>0.75711182136163446</v>
      </c>
      <c r="L66" s="2">
        <f>L11*'Output-Calculation-sheet'!L55/10^9</f>
        <v>0.80178714337145685</v>
      </c>
      <c r="M66" s="2">
        <f>M11*'Output-Calculation-sheet'!M55/10^9</f>
        <v>1.1659000960136887</v>
      </c>
      <c r="N66" s="2">
        <f>N11*'Output-Calculation-sheet'!N55/10^9</f>
        <v>1.0186857707773633</v>
      </c>
      <c r="O66" s="2">
        <f>O11*'Output-Calculation-sheet'!O55/10^9</f>
        <v>1.2021770849465374</v>
      </c>
      <c r="P66" s="2">
        <f>P11*'Output-Calculation-sheet'!P55/10^9</f>
        <v>0.70025187265641586</v>
      </c>
      <c r="Q66" s="2">
        <f>Q11*'Output-Calculation-sheet'!Q55/10^9</f>
        <v>0.76266949877952073</v>
      </c>
      <c r="R66" s="2">
        <f>R11*'Output-Calculation-sheet'!R55/10^9</f>
        <v>0.56714696221464522</v>
      </c>
      <c r="S66" s="2">
        <f>S11*'Output-Calculation-sheet'!S55/10^9</f>
        <v>0.55805884647296111</v>
      </c>
      <c r="T66" s="2">
        <f>T11*'Output-Calculation-sheet'!T55/10^9</f>
        <v>0.1777758185945425</v>
      </c>
      <c r="U66" s="2">
        <f>U11*'Output-Calculation-sheet'!U55/10^9</f>
        <v>0.18077456197255956</v>
      </c>
      <c r="V66" s="2">
        <f>V11*'Output-Calculation-sheet'!V55/10^9</f>
        <v>0.1686515293504034</v>
      </c>
      <c r="W66" s="2">
        <f>W11*'Output-Calculation-sheet'!W55/10^9</f>
        <v>7.6361615914979822E-2</v>
      </c>
      <c r="X66" s="2">
        <f>X11*'Output-Calculation-sheet'!X55/10^9</f>
        <v>0.14362257839998982</v>
      </c>
      <c r="Y66" s="2">
        <f>Y11*'Output-Calculation-sheet'!Y55/10^9</f>
        <v>7.4933687698881285E-2</v>
      </c>
      <c r="AA66" s="2">
        <f t="shared" si="4"/>
        <v>31.922261724785301</v>
      </c>
    </row>
    <row r="67" spans="1:27" x14ac:dyDescent="0.25">
      <c r="A67" s="2">
        <v>2035</v>
      </c>
      <c r="B67" s="2">
        <f>B12*'Output-Calculation-sheet'!B56/10^9</f>
        <v>8.7198047796617342</v>
      </c>
      <c r="C67" s="2">
        <f>C12*'Output-Calculation-sheet'!C56/10^9</f>
        <v>5.4993646497193156</v>
      </c>
      <c r="D67" s="2">
        <f>D12*'Output-Calculation-sheet'!D56/10^9</f>
        <v>1.8160219571560872</v>
      </c>
      <c r="E67" s="2">
        <f>E12*'Output-Calculation-sheet'!E56/10^9</f>
        <v>2.4641022543068245</v>
      </c>
      <c r="F67" s="2">
        <f>F12*'Output-Calculation-sheet'!F56/10^9</f>
        <v>0.89993990619600184</v>
      </c>
      <c r="G67" s="2">
        <f>G12*'Output-Calculation-sheet'!G56/10^9</f>
        <v>0.63043404015107596</v>
      </c>
      <c r="H67" s="2">
        <f>H12*'Output-Calculation-sheet'!H56/10^9</f>
        <v>1.5215420840184881</v>
      </c>
      <c r="I67" s="2">
        <f>I12*'Output-Calculation-sheet'!I56/10^9</f>
        <v>0.61236978036004264</v>
      </c>
      <c r="J67" s="2">
        <f>J12*'Output-Calculation-sheet'!J56/10^9</f>
        <v>0.60664295706476767</v>
      </c>
      <c r="K67" s="2">
        <f>K12*'Output-Calculation-sheet'!K56/10^9</f>
        <v>0.73062012552636535</v>
      </c>
      <c r="L67" s="2">
        <f>L12*'Output-Calculation-sheet'!L56/10^9</f>
        <v>0.73396036280533061</v>
      </c>
      <c r="M67" s="2">
        <f>M12*'Output-Calculation-sheet'!M56/10^9</f>
        <v>1.113279658479944</v>
      </c>
      <c r="N67" s="2">
        <f>N12*'Output-Calculation-sheet'!N56/10^9</f>
        <v>0.95596353081954666</v>
      </c>
      <c r="O67" s="2">
        <f>O12*'Output-Calculation-sheet'!O56/10^9</f>
        <v>1.1058288546072101</v>
      </c>
      <c r="P67" s="2">
        <f>P12*'Output-Calculation-sheet'!P56/10^9</f>
        <v>0.70761771803912665</v>
      </c>
      <c r="Q67" s="2">
        <f>Q12*'Output-Calculation-sheet'!Q56/10^9</f>
        <v>0.7276912003227699</v>
      </c>
      <c r="R67" s="2">
        <f>R12*'Output-Calculation-sheet'!R56/10^9</f>
        <v>0.55401366938904451</v>
      </c>
      <c r="S67" s="2">
        <f>S12*'Output-Calculation-sheet'!S56/10^9</f>
        <v>0.52794268186773785</v>
      </c>
      <c r="T67" s="2">
        <f>T12*'Output-Calculation-sheet'!T56/10^9</f>
        <v>0.16800734585177382</v>
      </c>
      <c r="U67" s="2">
        <f>U12*'Output-Calculation-sheet'!U56/10^9</f>
        <v>0.17544378473388864</v>
      </c>
      <c r="V67" s="2">
        <f>V12*'Output-Calculation-sheet'!V56/10^9</f>
        <v>0.13477129315414943</v>
      </c>
      <c r="W67" s="2">
        <f>W12*'Output-Calculation-sheet'!W56/10^9</f>
        <v>8.1312792036543388E-2</v>
      </c>
      <c r="X67" s="2">
        <f>X12*'Output-Calculation-sheet'!X56/10^9</f>
        <v>0.13825571739739231</v>
      </c>
      <c r="Y67" s="2">
        <f>Y12*'Output-Calculation-sheet'!Y56/10^9</f>
        <v>7.8553070274994696E-2</v>
      </c>
      <c r="AA67" s="2">
        <f t="shared" si="4"/>
        <v>30.703484213940158</v>
      </c>
    </row>
    <row r="68" spans="1:27" x14ac:dyDescent="0.25">
      <c r="B68" s="2">
        <f>SUM(B60:B67)</f>
        <v>64.265467191351632</v>
      </c>
      <c r="C68" s="2">
        <f t="shared" ref="C68:Y68" si="5">SUM(C60:C67)</f>
        <v>39.485789087209781</v>
      </c>
      <c r="D68" s="2">
        <f t="shared" si="5"/>
        <v>19.243242383038652</v>
      </c>
      <c r="E68" s="2">
        <f t="shared" si="5"/>
        <v>20.498314494241768</v>
      </c>
      <c r="F68" s="2">
        <f t="shared" si="5"/>
        <v>8.3311864083628731</v>
      </c>
      <c r="G68" s="2">
        <f t="shared" si="5"/>
        <v>5.9571897124993836</v>
      </c>
      <c r="H68" s="2">
        <f t="shared" si="5"/>
        <v>11.303397173804184</v>
      </c>
      <c r="I68" s="2">
        <f t="shared" si="5"/>
        <v>5.61792794796302</v>
      </c>
      <c r="J68" s="2">
        <f t="shared" si="5"/>
        <v>7.2561972063568216</v>
      </c>
      <c r="K68" s="2">
        <f t="shared" si="5"/>
        <v>6.8589946882248523</v>
      </c>
      <c r="L68" s="2">
        <f t="shared" si="5"/>
        <v>8.7326082823671811</v>
      </c>
      <c r="M68" s="2">
        <f t="shared" si="5"/>
        <v>8.9208711344383786</v>
      </c>
      <c r="N68" s="2">
        <f t="shared" si="5"/>
        <v>7.656814563097619</v>
      </c>
      <c r="O68" s="2">
        <f t="shared" si="5"/>
        <v>8.0655866990339717</v>
      </c>
      <c r="P68" s="2">
        <f t="shared" si="5"/>
        <v>5.1709747411224347</v>
      </c>
      <c r="Q68" s="2">
        <f t="shared" si="5"/>
        <v>5.7176639693747697</v>
      </c>
      <c r="R68" s="2">
        <f t="shared" si="5"/>
        <v>4.9289281762508104</v>
      </c>
      <c r="S68" s="2">
        <f t="shared" si="5"/>
        <v>3.9129020503637131</v>
      </c>
      <c r="T68" s="2">
        <f t="shared" si="5"/>
        <v>1.7711778468448054</v>
      </c>
      <c r="U68" s="2">
        <f t="shared" si="5"/>
        <v>1.3649272514835007</v>
      </c>
      <c r="V68" s="2">
        <f t="shared" si="5"/>
        <v>2.0424149451398712</v>
      </c>
      <c r="W68" s="2">
        <f t="shared" si="5"/>
        <v>0.78013491463848184</v>
      </c>
      <c r="X68" s="2">
        <f t="shared" si="5"/>
        <v>0.99382633863372205</v>
      </c>
      <c r="Y68" s="2">
        <f t="shared" si="5"/>
        <v>0.57297802855609581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1961.5499405066059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542.12553451398253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363.18667432101546</v>
      </c>
      <c r="N73" s="2">
        <f>N7/'Output-Calculation-sheet'!N6*'Output-Calculation-sheet'!N60</f>
        <v>0</v>
      </c>
      <c r="O73" s="2">
        <f>O7/'Output-Calculation-sheet'!O6*'Output-Calculation-sheet'!O60</f>
        <v>80.093526216049483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49.618500791536505</v>
      </c>
      <c r="Y73" s="2">
        <f>Y7/'Output-Calculation-sheet'!Y6*'Output-Calculation-sheet'!Y60</f>
        <v>0</v>
      </c>
      <c r="AA73" s="2">
        <f t="shared" si="6"/>
        <v>2.9965741763491898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3319.8417710303643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1737.1469660551923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1165.3235746839061</v>
      </c>
      <c r="N74" s="2">
        <f>N8/'Output-Calculation-sheet'!N7*'Output-Calculation-sheet'!N61</f>
        <v>48.392200146751293</v>
      </c>
      <c r="O74" s="2">
        <f>O8/'Output-Calculation-sheet'!O7*'Output-Calculation-sheet'!O61</f>
        <v>188.29526389603089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145.58328217541441</v>
      </c>
      <c r="Y74" s="2">
        <f>Y8/'Output-Calculation-sheet'!Y7*'Output-Calculation-sheet'!Y61</f>
        <v>0</v>
      </c>
      <c r="AA74" s="2">
        <f t="shared" si="6"/>
        <v>6.604583057987659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4371.1279179795511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2962.811820563556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2009.9954661261656</v>
      </c>
      <c r="N75" s="2">
        <f>N9/'Output-Calculation-sheet'!N8*'Output-Calculation-sheet'!N62</f>
        <v>776.72832542278479</v>
      </c>
      <c r="O75" s="2">
        <f>O9/'Output-Calculation-sheet'!O8*'Output-Calculation-sheet'!O62</f>
        <v>379.66350418968699</v>
      </c>
      <c r="P75" s="2">
        <f>P9/'Output-Calculation-sheet'!P8*'Output-Calculation-sheet'!P62</f>
        <v>52.000737018965786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256.92359499179963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242.75897997491097</v>
      </c>
      <c r="Y75" s="2">
        <f>Y9/'Output-Calculation-sheet'!Y8*'Output-Calculation-sheet'!Y62</f>
        <v>0</v>
      </c>
      <c r="AA75" s="2">
        <f t="shared" si="6"/>
        <v>11.052010346267419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6016.3467413519083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4156.2337115937025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2830.4194947343321</v>
      </c>
      <c r="N76" s="2">
        <f>N10/'Output-Calculation-sheet'!N9*'Output-Calculation-sheet'!N63</f>
        <v>1619.5632792775366</v>
      </c>
      <c r="O76" s="2">
        <f>O10/'Output-Calculation-sheet'!O9*'Output-Calculation-sheet'!O63</f>
        <v>598.18722087290757</v>
      </c>
      <c r="P76" s="2">
        <f>P10/'Output-Calculation-sheet'!P9*'Output-Calculation-sheet'!P63</f>
        <v>555.19569823073721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427.52785375076718</v>
      </c>
      <c r="S76" s="2">
        <f>S10/'Output-Calculation-sheet'!S9*'Output-Calculation-sheet'!S63</f>
        <v>718.15761217207091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151.93390051919334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333.29766870219532</v>
      </c>
      <c r="Y76" s="2">
        <f>Y10/'Output-Calculation-sheet'!Y9*'Output-Calculation-sheet'!Y63</f>
        <v>6.3227211161056562</v>
      </c>
      <c r="AA76" s="2">
        <f t="shared" si="6"/>
        <v>24.176608736611964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7832.7573655215565</v>
      </c>
      <c r="D77" s="2">
        <f>D11/'Output-Calculation-sheet'!D10*'Output-Calculation-sheet'!D64</f>
        <v>1833.0485624635421</v>
      </c>
      <c r="E77" s="2">
        <f>E11/'Output-Calculation-sheet'!E10*'Output-Calculation-sheet'!E64</f>
        <v>2285.5618419450866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971.50508061546941</v>
      </c>
      <c r="H77" s="2">
        <f>H11/'Output-Calculation-sheet'!H10*'Output-Calculation-sheet'!H64</f>
        <v>4860.9954232509663</v>
      </c>
      <c r="I77" s="2">
        <f>I11/'Output-Calculation-sheet'!I10*'Output-Calculation-sheet'!I64</f>
        <v>570.92277213149544</v>
      </c>
      <c r="J77" s="2">
        <f>J11/'Output-Calculation-sheet'!J10*'Output-Calculation-sheet'!J64</f>
        <v>399.85171835544634</v>
      </c>
      <c r="K77" s="2">
        <f>K11/'Output-Calculation-sheet'!K10*'Output-Calculation-sheet'!K64</f>
        <v>869.48923023945463</v>
      </c>
      <c r="L77" s="2">
        <f>L11/'Output-Calculation-sheet'!L10*'Output-Calculation-sheet'!L64</f>
        <v>357.89303840588371</v>
      </c>
      <c r="M77" s="2">
        <f>M11/'Output-Calculation-sheet'!M10*'Output-Calculation-sheet'!M64</f>
        <v>3472.0579839697248</v>
      </c>
      <c r="N77" s="2">
        <f>N11/'Output-Calculation-sheet'!N10*'Output-Calculation-sheet'!N64</f>
        <v>2444.5461564821253</v>
      </c>
      <c r="O77" s="2">
        <f>O11/'Output-Calculation-sheet'!O10*'Output-Calculation-sheet'!O64</f>
        <v>890.24774502728803</v>
      </c>
      <c r="P77" s="2">
        <f>P11/'Output-Calculation-sheet'!P10*'Output-Calculation-sheet'!P64</f>
        <v>1083.8778480614249</v>
      </c>
      <c r="Q77" s="2">
        <f>Q11/'Output-Calculation-sheet'!Q10*'Output-Calculation-sheet'!Q64</f>
        <v>763.18025004696847</v>
      </c>
      <c r="R77" s="2">
        <f>R11/'Output-Calculation-sheet'!R10*'Output-Calculation-sheet'!R64</f>
        <v>923.33149591068434</v>
      </c>
      <c r="S77" s="2">
        <f>S11/'Output-Calculation-sheet'!S10*'Output-Calculation-sheet'!S64</f>
        <v>1229.2773003032762</v>
      </c>
      <c r="T77" s="2">
        <f>T11/'Output-Calculation-sheet'!T10*'Output-Calculation-sheet'!T64</f>
        <v>254.49017309739429</v>
      </c>
      <c r="U77" s="2">
        <f>U11/'Output-Calculation-sheet'!U10*'Output-Calculation-sheet'!U64</f>
        <v>270.10242964856172</v>
      </c>
      <c r="V77" s="2">
        <f>V11/'Output-Calculation-sheet'!V10*'Output-Calculation-sheet'!V64</f>
        <v>134.60529171567742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347.56044961093374</v>
      </c>
      <c r="Y77" s="2">
        <f>Y11/'Output-Calculation-sheet'!Y10*'Output-Calculation-sheet'!Y64</f>
        <v>84.523963338642261</v>
      </c>
      <c r="AA77" s="2">
        <f t="shared" si="6"/>
        <v>47.033048665227057</v>
      </c>
    </row>
    <row r="78" spans="1:27" x14ac:dyDescent="0.25">
      <c r="A78" s="2">
        <v>2035</v>
      </c>
      <c r="B78" s="2">
        <f>B12/'Output-Calculation-sheet'!B11*'Output-Calculation-sheet'!B65</f>
        <v>14327.887446060337</v>
      </c>
      <c r="C78" s="2">
        <f>C12/'Output-Calculation-sheet'!C11*'Output-Calculation-sheet'!C65</f>
        <v>11103.721506420683</v>
      </c>
      <c r="D78" s="2">
        <f>D12/'Output-Calculation-sheet'!D11*'Output-Calculation-sheet'!D65</f>
        <v>1913.9589787800687</v>
      </c>
      <c r="E78" s="2">
        <f>E12/'Output-Calculation-sheet'!E11*'Output-Calculation-sheet'!E65</f>
        <v>3316.5609215397835</v>
      </c>
      <c r="F78" s="2">
        <f>F12/'Output-Calculation-sheet'!F11*'Output-Calculation-sheet'!F65</f>
        <v>424.42181871002828</v>
      </c>
      <c r="G78" s="2">
        <f>G12/'Output-Calculation-sheet'!G11*'Output-Calculation-sheet'!G65</f>
        <v>840.49251758765104</v>
      </c>
      <c r="H78" s="2">
        <f>H12/'Output-Calculation-sheet'!H11*'Output-Calculation-sheet'!H65</f>
        <v>4557.623851246246</v>
      </c>
      <c r="I78" s="2">
        <f>I12/'Output-Calculation-sheet'!I11*'Output-Calculation-sheet'!I65</f>
        <v>556.65056095301316</v>
      </c>
      <c r="J78" s="2">
        <f>J12/'Output-Calculation-sheet'!J11*'Output-Calculation-sheet'!J65</f>
        <v>805.69763760791886</v>
      </c>
      <c r="K78" s="2">
        <f>K12/'Output-Calculation-sheet'!K11*'Output-Calculation-sheet'!K65</f>
        <v>1009.7447092390184</v>
      </c>
      <c r="L78" s="2">
        <f>L12/'Output-Calculation-sheet'!L11*'Output-Calculation-sheet'!L65</f>
        <v>856.55810979677995</v>
      </c>
      <c r="M78" s="2">
        <f>M12/'Output-Calculation-sheet'!M11*'Output-Calculation-sheet'!M65</f>
        <v>3320.9534927672103</v>
      </c>
      <c r="N78" s="2">
        <f>N12/'Output-Calculation-sheet'!N11*'Output-Calculation-sheet'!N65</f>
        <v>2355.5585986344863</v>
      </c>
      <c r="O78" s="2">
        <f>O12/'Output-Calculation-sheet'!O11*'Output-Calculation-sheet'!O65</f>
        <v>1322.3967938919491</v>
      </c>
      <c r="P78" s="2">
        <f>P12/'Output-Calculation-sheet'!P11*'Output-Calculation-sheet'!P65</f>
        <v>1156.6037812431327</v>
      </c>
      <c r="Q78" s="2">
        <f>Q12/'Output-Calculation-sheet'!Q11*'Output-Calculation-sheet'!Q65</f>
        <v>796.20897598825627</v>
      </c>
      <c r="R78" s="2">
        <f>R12/'Output-Calculation-sheet'!R11*'Output-Calculation-sheet'!R65</f>
        <v>1077.8112325039649</v>
      </c>
      <c r="S78" s="2">
        <f>S12/'Output-Calculation-sheet'!S11*'Output-Calculation-sheet'!S65</f>
        <v>1123.1275050603419</v>
      </c>
      <c r="T78" s="2">
        <f>T12/'Output-Calculation-sheet'!T11*'Output-Calculation-sheet'!T65</f>
        <v>371.79157291393653</v>
      </c>
      <c r="U78" s="2">
        <f>U12/'Output-Calculation-sheet'!U11*'Output-Calculation-sheet'!U65</f>
        <v>254.3595639623264</v>
      </c>
      <c r="V78" s="2">
        <f>V12/'Output-Calculation-sheet'!V11*'Output-Calculation-sheet'!V65</f>
        <v>208.76161638009785</v>
      </c>
      <c r="W78" s="2">
        <f>W12/'Output-Calculation-sheet'!W11*'Output-Calculation-sheet'!W65</f>
        <v>100.53481449415065</v>
      </c>
      <c r="X78" s="2">
        <f>X12/'Output-Calculation-sheet'!X11*'Output-Calculation-sheet'!X65</f>
        <v>325.10956797849252</v>
      </c>
      <c r="Y78" s="2">
        <f>Y12/'Output-Calculation-sheet'!Y11*'Output-Calculation-sheet'!Y65</f>
        <v>88.950894641595127</v>
      </c>
      <c r="AA78" s="2">
        <f t="shared" si="6"/>
        <v>52.215486468401473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34.876344966709986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0.12463747343907559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317.12173830131479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82.144296606404566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0.39926603490771934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575.76963539339158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111.8565506421799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0.68762618603557146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705.78501638664704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137.11504145925448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0.8429000578459015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684.44227241537533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35.115441296628354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132.96872047406657</v>
      </c>
      <c r="P88" s="2">
        <f>P11/'Output-Calculation-sheet'!P10*'Output-Calculation-sheet'!P73</f>
        <v>0</v>
      </c>
      <c r="Q88" s="2">
        <f>Q11/'Output-Calculation-sheet'!Q10*'Output-Calculation-sheet'!Q73</f>
        <v>20.807008098556896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6.6387069175775881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2.6507252923751228</v>
      </c>
      <c r="Y88" s="2">
        <f>Y11/'Output-Calculation-sheet'!Y10*'Output-Calculation-sheet'!Y73</f>
        <v>0</v>
      </c>
      <c r="AA88" s="2">
        <f t="shared" si="7"/>
        <v>0.88262287449457988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529.1265907276952</v>
      </c>
      <c r="D89" s="2">
        <f>D12/'Output-Calculation-sheet'!D11*'Output-Calculation-sheet'!D74</f>
        <v>93.743399068426726</v>
      </c>
      <c r="E89" s="2">
        <f>E12/'Output-Calculation-sheet'!E11*'Output-Calculation-sheet'!E74</f>
        <v>149.00199571129156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33.627771368634512</v>
      </c>
      <c r="H89" s="2">
        <f>H12/'Output-Calculation-sheet'!H11*'Output-Calculation-sheet'!H74</f>
        <v>65.152657516421684</v>
      </c>
      <c r="I89" s="2">
        <f>I12/'Output-Calculation-sheet'!I11*'Output-Calculation-sheet'!I74</f>
        <v>30.246172622963112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29.727226697648263</v>
      </c>
      <c r="L89" s="2">
        <f>L12/'Output-Calculation-sheet'!L11*'Output-Calculation-sheet'!L74</f>
        <v>23.637666191924826</v>
      </c>
      <c r="M89" s="2">
        <f>M12/'Output-Calculation-sheet'!M11*'Output-Calculation-sheet'!M74</f>
        <v>44.831403923878831</v>
      </c>
      <c r="N89" s="2">
        <f>N12/'Output-Calculation-sheet'!N11*'Output-Calculation-sheet'!N74</f>
        <v>22.031038146600132</v>
      </c>
      <c r="O89" s="2">
        <f>O12/'Output-Calculation-sheet'!O11*'Output-Calculation-sheet'!O74</f>
        <v>102.79506186778622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19.302503721017629</v>
      </c>
      <c r="R89" s="2">
        <f>R12/'Output-Calculation-sheet'!R11*'Output-Calculation-sheet'!R74</f>
        <v>19.142031621922442</v>
      </c>
      <c r="S89" s="2">
        <f>S12/'Output-Calculation-sheet'!S11*'Output-Calculation-sheet'!S74</f>
        <v>25.257834663405976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6.1586780940492094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9.8362310577492451</v>
      </c>
      <c r="Y89" s="2">
        <f>Y12/'Output-Calculation-sheet'!Y11*'Output-Calculation-sheet'!Y74</f>
        <v>4.7460727052393086</v>
      </c>
      <c r="AA89" s="2">
        <f t="shared" si="7"/>
        <v>1.7877373948287305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1477280735.1437564</v>
      </c>
      <c r="C93" s="2">
        <f>C5/'Output-Calculation-sheet'!C4*'Output-Calculation-sheet'!C76</f>
        <v>401609081.11304128</v>
      </c>
      <c r="D93" s="2">
        <f>D5/'Output-Calculation-sheet'!D4*'Output-Calculation-sheet'!D76</f>
        <v>383593440.99946404</v>
      </c>
      <c r="E93" s="2">
        <f>E5/'Output-Calculation-sheet'!E4*'Output-Calculation-sheet'!E76</f>
        <v>978626146.14008617</v>
      </c>
      <c r="F93" s="2">
        <f>F5/'Output-Calculation-sheet'!F4*'Output-Calculation-sheet'!F76</f>
        <v>353111537.03620279</v>
      </c>
      <c r="G93" s="2">
        <f>G5/'Output-Calculation-sheet'!G4*'Output-Calculation-sheet'!G76</f>
        <v>244058822.3107425</v>
      </c>
      <c r="H93" s="2">
        <f>H5/'Output-Calculation-sheet'!H4*'Output-Calculation-sheet'!H76</f>
        <v>252402295.0718984</v>
      </c>
      <c r="I93" s="2">
        <f>I5/'Output-Calculation-sheet'!I4*'Output-Calculation-sheet'!I76</f>
        <v>173059499.83037877</v>
      </c>
      <c r="J93" s="2">
        <f>J5/'Output-Calculation-sheet'!J4*'Output-Calculation-sheet'!J76</f>
        <v>123163294.62919915</v>
      </c>
      <c r="K93" s="2">
        <f>K5/'Output-Calculation-sheet'!K4*'Output-Calculation-sheet'!K76</f>
        <v>169967930.81129497</v>
      </c>
      <c r="L93" s="2">
        <f>L5/'Output-Calculation-sheet'!L4*'Output-Calculation-sheet'!L76</f>
        <v>129490305.55081508</v>
      </c>
      <c r="M93" s="2">
        <f>M5/'Output-Calculation-sheet'!M4*'Output-Calculation-sheet'!M76</f>
        <v>185781869.46630865</v>
      </c>
      <c r="N93" s="2">
        <f>N5/'Output-Calculation-sheet'!N4*'Output-Calculation-sheet'!N76</f>
        <v>129590940.64925458</v>
      </c>
      <c r="O93" s="2">
        <f>O5/'Output-Calculation-sheet'!O4*'Output-Calculation-sheet'!O76</f>
        <v>53136349.448772147</v>
      </c>
      <c r="P93" s="2">
        <f>P5/'Output-Calculation-sheet'!P4*'Output-Calculation-sheet'!P76</f>
        <v>247737090.444758</v>
      </c>
      <c r="Q93" s="2">
        <f>Q5/'Output-Calculation-sheet'!Q4*'Output-Calculation-sheet'!Q76</f>
        <v>104957115.57019013</v>
      </c>
      <c r="R93" s="2">
        <f>R5/'Output-Calculation-sheet'!R4*'Output-Calculation-sheet'!R76</f>
        <v>137790719.82872197</v>
      </c>
      <c r="S93" s="2">
        <f>S5/'Output-Calculation-sheet'!S4*'Output-Calculation-sheet'!S76</f>
        <v>79804220.345589176</v>
      </c>
      <c r="T93" s="2">
        <f>T5/'Output-Calculation-sheet'!T4*'Output-Calculation-sheet'!T76</f>
        <v>54228204.118828662</v>
      </c>
      <c r="U93" s="2">
        <f>U5/'Output-Calculation-sheet'!U4*'Output-Calculation-sheet'!U76</f>
        <v>40433121.427008748</v>
      </c>
      <c r="V93" s="2">
        <f>V5/'Output-Calculation-sheet'!V4*'Output-Calculation-sheet'!V76</f>
        <v>19101279.108912881</v>
      </c>
      <c r="W93" s="2">
        <f>W5/'Output-Calculation-sheet'!W4*'Output-Calculation-sheet'!W76</f>
        <v>55080731.550147265</v>
      </c>
      <c r="X93" s="2">
        <f>X5/'Output-Calculation-sheet'!X4*'Output-Calculation-sheet'!X76</f>
        <v>21377015.113118052</v>
      </c>
      <c r="Y93" s="2">
        <f>Y5/'Output-Calculation-sheet'!Y4*'Output-Calculation-sheet'!Y76</f>
        <v>31813621.27936523</v>
      </c>
      <c r="AA93" s="2">
        <f>SUM(B93:Y93)/10^9</f>
        <v>5.8471953669878562</v>
      </c>
    </row>
    <row r="94" spans="1:27" x14ac:dyDescent="0.25">
      <c r="A94" s="2">
        <v>2029</v>
      </c>
      <c r="B94" s="2">
        <f>B6/'Output-Calculation-sheet'!B5*'Output-Calculation-sheet'!B77</f>
        <v>3841882008.5984173</v>
      </c>
      <c r="C94" s="2">
        <f>C6/'Output-Calculation-sheet'!C5*'Output-Calculation-sheet'!C77</f>
        <v>996599815.67387855</v>
      </c>
      <c r="D94" s="2">
        <f>D6/'Output-Calculation-sheet'!D5*'Output-Calculation-sheet'!D77</f>
        <v>905596768.36777806</v>
      </c>
      <c r="E94" s="2">
        <f>E6/'Output-Calculation-sheet'!E5*'Output-Calculation-sheet'!E77</f>
        <v>2637740796.0665698</v>
      </c>
      <c r="F94" s="2">
        <f>F6/'Output-Calculation-sheet'!F5*'Output-Calculation-sheet'!F77</f>
        <v>883793974.53900969</v>
      </c>
      <c r="G94" s="2">
        <f>G6/'Output-Calculation-sheet'!G5*'Output-Calculation-sheet'!G77</f>
        <v>601689553.22602272</v>
      </c>
      <c r="H94" s="2">
        <f>H6/'Output-Calculation-sheet'!H5*'Output-Calculation-sheet'!H77</f>
        <v>658108331.01544762</v>
      </c>
      <c r="I94" s="2">
        <f>I6/'Output-Calculation-sheet'!I5*'Output-Calculation-sheet'!I77</f>
        <v>420464432.05112499</v>
      </c>
      <c r="J94" s="2">
        <f>J6/'Output-Calculation-sheet'!J5*'Output-Calculation-sheet'!J77</f>
        <v>310433691.63676882</v>
      </c>
      <c r="K94" s="2">
        <f>K6/'Output-Calculation-sheet'!K5*'Output-Calculation-sheet'!K77</f>
        <v>412118546.67485797</v>
      </c>
      <c r="L94" s="2">
        <f>L6/'Output-Calculation-sheet'!L5*'Output-Calculation-sheet'!L77</f>
        <v>332469824.71580839</v>
      </c>
      <c r="M94" s="2">
        <f>M6/'Output-Calculation-sheet'!M5*'Output-Calculation-sheet'!M77</f>
        <v>490491736.06113625</v>
      </c>
      <c r="N94" s="2">
        <f>N6/'Output-Calculation-sheet'!N5*'Output-Calculation-sheet'!N77</f>
        <v>336135074.40829509</v>
      </c>
      <c r="O94" s="2">
        <f>O6/'Output-Calculation-sheet'!O5*'Output-Calculation-sheet'!O77</f>
        <v>132587317.24470411</v>
      </c>
      <c r="P94" s="2">
        <f>P6/'Output-Calculation-sheet'!P5*'Output-Calculation-sheet'!P77</f>
        <v>644875280.87937772</v>
      </c>
      <c r="Q94" s="2">
        <f>Q6/'Output-Calculation-sheet'!Q5*'Output-Calculation-sheet'!Q77</f>
        <v>271616751.96848989</v>
      </c>
      <c r="R94" s="2">
        <f>R6/'Output-Calculation-sheet'!R5*'Output-Calculation-sheet'!R77</f>
        <v>356727546.02982265</v>
      </c>
      <c r="S94" s="2">
        <f>S6/'Output-Calculation-sheet'!S5*'Output-Calculation-sheet'!S77</f>
        <v>205204139.13553137</v>
      </c>
      <c r="T94" s="2">
        <f>T6/'Output-Calculation-sheet'!T5*'Output-Calculation-sheet'!T77</f>
        <v>133867704.59223099</v>
      </c>
      <c r="U94" s="2">
        <f>U6/'Output-Calculation-sheet'!U5*'Output-Calculation-sheet'!U77</f>
        <v>101829467.40183617</v>
      </c>
      <c r="V94" s="2">
        <f>V6/'Output-Calculation-sheet'!V5*'Output-Calculation-sheet'!V77</f>
        <v>47322703.107680105</v>
      </c>
      <c r="W94" s="2">
        <f>W6/'Output-Calculation-sheet'!W5*'Output-Calculation-sheet'!W77</f>
        <v>140551336.44087368</v>
      </c>
      <c r="X94" s="2">
        <f>X6/'Output-Calculation-sheet'!X5*'Output-Calculation-sheet'!X77</f>
        <v>56786914.562368535</v>
      </c>
      <c r="Y94" s="2">
        <f>Y6/'Output-Calculation-sheet'!Y5*'Output-Calculation-sheet'!Y77</f>
        <v>83146999.113479942</v>
      </c>
      <c r="AA94" s="2">
        <f t="shared" ref="AA94:AA100" si="8">SUM(B94:Y94)/10^9</f>
        <v>15.002040713511509</v>
      </c>
    </row>
    <row r="95" spans="1:27" x14ac:dyDescent="0.25">
      <c r="A95" s="2">
        <v>2030</v>
      </c>
      <c r="B95" s="2">
        <f>B7/'Output-Calculation-sheet'!B6*'Output-Calculation-sheet'!B78</f>
        <v>6798174399.2558546</v>
      </c>
      <c r="C95" s="2">
        <f>C7/'Output-Calculation-sheet'!C6*'Output-Calculation-sheet'!C78</f>
        <v>1680381284.0684829</v>
      </c>
      <c r="D95" s="2">
        <f>D7/'Output-Calculation-sheet'!D6*'Output-Calculation-sheet'!D78</f>
        <v>1451877462.5611746</v>
      </c>
      <c r="E95" s="2">
        <f>E7/'Output-Calculation-sheet'!E6*'Output-Calculation-sheet'!E78</f>
        <v>4838411283.1588583</v>
      </c>
      <c r="F95" s="2">
        <f>F7/'Output-Calculation-sheet'!F6*'Output-Calculation-sheet'!F78</f>
        <v>1497625542.043282</v>
      </c>
      <c r="G95" s="2">
        <f>G7/'Output-Calculation-sheet'!G6*'Output-Calculation-sheet'!G78</f>
        <v>1005472838.2512615</v>
      </c>
      <c r="H95" s="2">
        <f>H7/'Output-Calculation-sheet'!H6*'Output-Calculation-sheet'!H78</f>
        <v>1167460983.3835607</v>
      </c>
      <c r="I95" s="2">
        <f>I7/'Output-Calculation-sheet'!I6*'Output-Calculation-sheet'!I78</f>
        <v>691560073.73421431</v>
      </c>
      <c r="J95" s="2">
        <f>J7/'Output-Calculation-sheet'!J6*'Output-Calculation-sheet'!J78</f>
        <v>532037643.32011086</v>
      </c>
      <c r="K95" s="2">
        <f>K7/'Output-Calculation-sheet'!K6*'Output-Calculation-sheet'!K78</f>
        <v>677124060.78020406</v>
      </c>
      <c r="L95" s="2">
        <f>L7/'Output-Calculation-sheet'!L6*'Output-Calculation-sheet'!L78</f>
        <v>580697972.17128408</v>
      </c>
      <c r="M95" s="2">
        <f>M7/'Output-Calculation-sheet'!M6*'Output-Calculation-sheet'!M78</f>
        <v>882237699.13666975</v>
      </c>
      <c r="N95" s="2">
        <f>N7/'Output-Calculation-sheet'!N6*'Output-Calculation-sheet'!N78</f>
        <v>594280756.31899679</v>
      </c>
      <c r="O95" s="2">
        <f>O7/'Output-Calculation-sheet'!O6*'Output-Calculation-sheet'!O78</f>
        <v>225324730.01779905</v>
      </c>
      <c r="P95" s="2">
        <f>P7/'Output-Calculation-sheet'!P6*'Output-Calculation-sheet'!P78</f>
        <v>1138698411.9111385</v>
      </c>
      <c r="Q95" s="2">
        <f>Q7/'Output-Calculation-sheet'!Q6*'Output-Calculation-sheet'!Q78</f>
        <v>479028939.80456054</v>
      </c>
      <c r="R95" s="2">
        <f>R7/'Output-Calculation-sheet'!R6*'Output-Calculation-sheet'!R78</f>
        <v>627910355.66433501</v>
      </c>
      <c r="S95" s="2">
        <f>S7/'Output-Calculation-sheet'!S6*'Output-Calculation-sheet'!S78</f>
        <v>358868588.18381184</v>
      </c>
      <c r="T95" s="2">
        <f>T7/'Output-Calculation-sheet'!T6*'Output-Calculation-sheet'!T78</f>
        <v>223776475.68277028</v>
      </c>
      <c r="U95" s="2">
        <f>U7/'Output-Calculation-sheet'!U6*'Output-Calculation-sheet'!U78</f>
        <v>174018233.55258778</v>
      </c>
      <c r="V95" s="2">
        <f>V7/'Output-Calculation-sheet'!V6*'Output-Calculation-sheet'!V78</f>
        <v>79664420.053495049</v>
      </c>
      <c r="W95" s="2">
        <f>W7/'Output-Calculation-sheet'!W6*'Output-Calculation-sheet'!W78</f>
        <v>242576348.89311105</v>
      </c>
      <c r="X95" s="2">
        <f>X7/'Output-Calculation-sheet'!X6*'Output-Calculation-sheet'!X78</f>
        <v>102734074.47315302</v>
      </c>
      <c r="Y95" s="2">
        <f>Y7/'Output-Calculation-sheet'!Y6*'Output-Calculation-sheet'!Y78</f>
        <v>147381301.12150511</v>
      </c>
      <c r="AA95" s="2">
        <f t="shared" si="8"/>
        <v>26.197323877542221</v>
      </c>
    </row>
    <row r="96" spans="1:27" x14ac:dyDescent="0.25">
      <c r="A96" s="2">
        <v>2031</v>
      </c>
      <c r="B96" s="2">
        <f>B8/'Output-Calculation-sheet'!B7*'Output-Calculation-sheet'!B79</f>
        <v>9828383174.8246231</v>
      </c>
      <c r="C96" s="2">
        <f>C8/'Output-Calculation-sheet'!C7*'Output-Calculation-sheet'!C79</f>
        <v>2373389828.925168</v>
      </c>
      <c r="D96" s="2">
        <f>D8/'Output-Calculation-sheet'!D7*'Output-Calculation-sheet'!D79</f>
        <v>1926839444.3461699</v>
      </c>
      <c r="E96" s="2">
        <f>E8/'Output-Calculation-sheet'!E7*'Output-Calculation-sheet'!E79</f>
        <v>7219166442.947423</v>
      </c>
      <c r="F96" s="2">
        <f>F8/'Output-Calculation-sheet'!F7*'Output-Calculation-sheet'!F79</f>
        <v>2105941318.6873503</v>
      </c>
      <c r="G96" s="2">
        <f>G8/'Output-Calculation-sheet'!G7*'Output-Calculation-sheet'!G79</f>
        <v>1351711040.840863</v>
      </c>
      <c r="H96" s="2">
        <f>H8/'Output-Calculation-sheet'!H7*'Output-Calculation-sheet'!H79</f>
        <v>1665260938.3033803</v>
      </c>
      <c r="I96" s="2">
        <f>I8/'Output-Calculation-sheet'!I7*'Output-Calculation-sheet'!I79</f>
        <v>972011698.45400965</v>
      </c>
      <c r="J96" s="2">
        <f>J8/'Output-Calculation-sheet'!J7*'Output-Calculation-sheet'!J79</f>
        <v>736594432.02422976</v>
      </c>
      <c r="K96" s="2">
        <f>K8/'Output-Calculation-sheet'!K7*'Output-Calculation-sheet'!K79</f>
        <v>923784856.09974039</v>
      </c>
      <c r="L96" s="2">
        <f>L8/'Output-Calculation-sheet'!L7*'Output-Calculation-sheet'!L79</f>
        <v>838637239.48255444</v>
      </c>
      <c r="M96" s="2">
        <f>M8/'Output-Calculation-sheet'!M7*'Output-Calculation-sheet'!M79</f>
        <v>1284908231.3107347</v>
      </c>
      <c r="N96" s="2">
        <f>N8/'Output-Calculation-sheet'!N7*'Output-Calculation-sheet'!N79</f>
        <v>835277102.66943705</v>
      </c>
      <c r="O96" s="2">
        <f>O8/'Output-Calculation-sheet'!O7*'Output-Calculation-sheet'!O79</f>
        <v>313413965.35430056</v>
      </c>
      <c r="P96" s="2">
        <f>P8/'Output-Calculation-sheet'!P7*'Output-Calculation-sheet'!P79</f>
        <v>1590792940.0363736</v>
      </c>
      <c r="Q96" s="2">
        <f>Q8/'Output-Calculation-sheet'!Q7*'Output-Calculation-sheet'!Q79</f>
        <v>675400141.65253806</v>
      </c>
      <c r="R96" s="2">
        <f>R8/'Output-Calculation-sheet'!R7*'Output-Calculation-sheet'!R79</f>
        <v>896445092.4867717</v>
      </c>
      <c r="S96" s="2">
        <f>S8/'Output-Calculation-sheet'!S7*'Output-Calculation-sheet'!S79</f>
        <v>505559877.21259713</v>
      </c>
      <c r="T96" s="2">
        <f>T8/'Output-Calculation-sheet'!T7*'Output-Calculation-sheet'!T79</f>
        <v>304995043.85000652</v>
      </c>
      <c r="U96" s="2">
        <f>U8/'Output-Calculation-sheet'!U7*'Output-Calculation-sheet'!U79</f>
        <v>240068904.30115023</v>
      </c>
      <c r="V96" s="2">
        <f>V8/'Output-Calculation-sheet'!V7*'Output-Calculation-sheet'!V79</f>
        <v>110183745.07943234</v>
      </c>
      <c r="W96" s="2">
        <f>W8/'Output-Calculation-sheet'!W7*'Output-Calculation-sheet'!W79</f>
        <v>339243082.56421542</v>
      </c>
      <c r="X96" s="2">
        <f>X8/'Output-Calculation-sheet'!X7*'Output-Calculation-sheet'!X79</f>
        <v>153006140.66079453</v>
      </c>
      <c r="Y96" s="2">
        <f>Y8/'Output-Calculation-sheet'!Y7*'Output-Calculation-sheet'!Y79</f>
        <v>210564472.20524862</v>
      </c>
      <c r="AA96" s="2">
        <f t="shared" si="8"/>
        <v>37.401579154319109</v>
      </c>
    </row>
    <row r="97" spans="1:27" x14ac:dyDescent="0.25">
      <c r="A97" s="2">
        <v>2032</v>
      </c>
      <c r="B97" s="2">
        <f>B9/'Output-Calculation-sheet'!B8*'Output-Calculation-sheet'!B80</f>
        <v>12272441950.077084</v>
      </c>
      <c r="C97" s="2">
        <f>C9/'Output-Calculation-sheet'!C8*'Output-Calculation-sheet'!C80</f>
        <v>2898527983.1047044</v>
      </c>
      <c r="D97" s="2">
        <f>D9/'Output-Calculation-sheet'!D8*'Output-Calculation-sheet'!D80</f>
        <v>2214161350.5945921</v>
      </c>
      <c r="E97" s="2">
        <f>E9/'Output-Calculation-sheet'!E8*'Output-Calculation-sheet'!E80</f>
        <v>9321294048.9607639</v>
      </c>
      <c r="F97" s="2">
        <f>F9/'Output-Calculation-sheet'!F8*'Output-Calculation-sheet'!F80</f>
        <v>2556220700.1990047</v>
      </c>
      <c r="G97" s="2">
        <f>G9/'Output-Calculation-sheet'!G8*'Output-Calculation-sheet'!G80</f>
        <v>1566311753.317091</v>
      </c>
      <c r="H97" s="2">
        <f>H9/'Output-Calculation-sheet'!H8*'Output-Calculation-sheet'!H80</f>
        <v>2050861518.3317683</v>
      </c>
      <c r="I97" s="2">
        <f>I9/'Output-Calculation-sheet'!I8*'Output-Calculation-sheet'!I80</f>
        <v>1181295930.9287679</v>
      </c>
      <c r="J97" s="2">
        <f>J9/'Output-Calculation-sheet'!J8*'Output-Calculation-sheet'!J80</f>
        <v>882756379.42189837</v>
      </c>
      <c r="K97" s="2">
        <f>K9/'Output-Calculation-sheet'!K8*'Output-Calculation-sheet'!K80</f>
        <v>1088737288.2354329</v>
      </c>
      <c r="L97" s="2">
        <f>L9/'Output-Calculation-sheet'!L8*'Output-Calculation-sheet'!L80</f>
        <v>1050160039.2985768</v>
      </c>
      <c r="M97" s="2">
        <f>M9/'Output-Calculation-sheet'!M8*'Output-Calculation-sheet'!M80</f>
        <v>1617992078.7685194</v>
      </c>
      <c r="N97" s="2">
        <f>N9/'Output-Calculation-sheet'!N8*'Output-Calculation-sheet'!N80</f>
        <v>1016594258.5925373</v>
      </c>
      <c r="O97" s="2">
        <f>O9/'Output-Calculation-sheet'!O8*'Output-Calculation-sheet'!O80</f>
        <v>377886551.02618533</v>
      </c>
      <c r="P97" s="2">
        <f>P9/'Output-Calculation-sheet'!P8*'Output-Calculation-sheet'!P80</f>
        <v>1905858681.6999245</v>
      </c>
      <c r="Q97" s="2">
        <f>Q9/'Output-Calculation-sheet'!Q8*'Output-Calculation-sheet'!Q80</f>
        <v>824351608.47276986</v>
      </c>
      <c r="R97" s="2">
        <f>R9/'Output-Calculation-sheet'!R8*'Output-Calculation-sheet'!R80</f>
        <v>1104634815.8418071</v>
      </c>
      <c r="S97" s="2">
        <f>S9/'Output-Calculation-sheet'!S8*'Output-Calculation-sheet'!S80</f>
        <v>614798813.84117091</v>
      </c>
      <c r="T97" s="2">
        <f>T9/'Output-Calculation-sheet'!T8*'Output-Calculation-sheet'!T80</f>
        <v>358486583.02229905</v>
      </c>
      <c r="U97" s="2">
        <f>U9/'Output-Calculation-sheet'!U8*'Output-Calculation-sheet'!U80</f>
        <v>285255553.5396961</v>
      </c>
      <c r="V97" s="2">
        <f>V9/'Output-Calculation-sheet'!V8*'Output-Calculation-sheet'!V80</f>
        <v>131576987.49243931</v>
      </c>
      <c r="W97" s="2">
        <f>W9/'Output-Calculation-sheet'!W8*'Output-Calculation-sheet'!W80</f>
        <v>407160348.71587777</v>
      </c>
      <c r="X97" s="2">
        <f>X9/'Output-Calculation-sheet'!X8*'Output-Calculation-sheet'!X80</f>
        <v>197201192.66883597</v>
      </c>
      <c r="Y97" s="2">
        <f>Y9/'Output-Calculation-sheet'!Y8*'Output-Calculation-sheet'!Y80</f>
        <v>258866971.76970473</v>
      </c>
      <c r="AA97" s="2">
        <f t="shared" si="8"/>
        <v>46.183433387921461</v>
      </c>
    </row>
    <row r="98" spans="1:27" x14ac:dyDescent="0.25">
      <c r="A98" s="2">
        <v>2033</v>
      </c>
      <c r="B98" s="2">
        <f>B10/'Output-Calculation-sheet'!B9*'Output-Calculation-sheet'!B81</f>
        <v>13722997251.325207</v>
      </c>
      <c r="C98" s="2">
        <f>C10/'Output-Calculation-sheet'!C9*'Output-Calculation-sheet'!C81</f>
        <v>3177707636.845469</v>
      </c>
      <c r="D98" s="2">
        <f>D10/'Output-Calculation-sheet'!D9*'Output-Calculation-sheet'!D81</f>
        <v>2286033515.3008366</v>
      </c>
      <c r="E98" s="2">
        <f>E10/'Output-Calculation-sheet'!E9*'Output-Calculation-sheet'!E81</f>
        <v>10790952244.771488</v>
      </c>
      <c r="F98" s="2">
        <f>F10/'Output-Calculation-sheet'!F9*'Output-Calculation-sheet'!F81</f>
        <v>2780294825.3104591</v>
      </c>
      <c r="G98" s="2">
        <f>G10/'Output-Calculation-sheet'!G9*'Output-Calculation-sheet'!G81</f>
        <v>1624305228.8523073</v>
      </c>
      <c r="H98" s="2">
        <f>H10/'Output-Calculation-sheet'!H9*'Output-Calculation-sheet'!H81</f>
        <v>2261282271.0031338</v>
      </c>
      <c r="I98" s="2">
        <f>I10/'Output-Calculation-sheet'!I9*'Output-Calculation-sheet'!I81</f>
        <v>1288688594.5048647</v>
      </c>
      <c r="J98" s="2">
        <f>J10/'Output-Calculation-sheet'!J9*'Output-Calculation-sheet'!J81</f>
        <v>950657513.46801233</v>
      </c>
      <c r="K98" s="2">
        <f>K10/'Output-Calculation-sheet'!K9*'Output-Calculation-sheet'!K81</f>
        <v>1151198409.5309241</v>
      </c>
      <c r="L98" s="2">
        <f>L10/'Output-Calculation-sheet'!L9*'Output-Calculation-sheet'!L81</f>
        <v>1179862978.2303574</v>
      </c>
      <c r="M98" s="2">
        <f>M10/'Output-Calculation-sheet'!M9*'Output-Calculation-sheet'!M81</f>
        <v>1828366477.4322288</v>
      </c>
      <c r="N98" s="2">
        <f>N10/'Output-Calculation-sheet'!N9*'Output-Calculation-sheet'!N81</f>
        <v>1111126200.9711969</v>
      </c>
      <c r="O98" s="2">
        <f>O10/'Output-Calculation-sheet'!O9*'Output-Calculation-sheet'!O81</f>
        <v>409816748.71563101</v>
      </c>
      <c r="P98" s="2">
        <f>P10/'Output-Calculation-sheet'!P9*'Output-Calculation-sheet'!P81</f>
        <v>2033104883.4124761</v>
      </c>
      <c r="Q98" s="2">
        <f>Q10/'Output-Calculation-sheet'!Q9*'Output-Calculation-sheet'!Q81</f>
        <v>903376327.70637739</v>
      </c>
      <c r="R98" s="2">
        <f>R10/'Output-Calculation-sheet'!R9*'Output-Calculation-sheet'!R81</f>
        <v>1219354206.6573181</v>
      </c>
      <c r="S98" s="2">
        <f>S10/'Output-Calculation-sheet'!S9*'Output-Calculation-sheet'!S81</f>
        <v>669669514.84108722</v>
      </c>
      <c r="T98" s="2">
        <f>T10/'Output-Calculation-sheet'!T9*'Output-Calculation-sheet'!T81</f>
        <v>377302292.08870488</v>
      </c>
      <c r="U98" s="2">
        <f>U10/'Output-Calculation-sheet'!U9*'Output-Calculation-sheet'!U81</f>
        <v>303173439.70065302</v>
      </c>
      <c r="V98" s="2">
        <f>V10/'Output-Calculation-sheet'!V9*'Output-Calculation-sheet'!V81</f>
        <v>140808329.08661917</v>
      </c>
      <c r="W98" s="2">
        <f>W10/'Output-Calculation-sheet'!W9*'Output-Calculation-sheet'!W81</f>
        <v>435446758.93076551</v>
      </c>
      <c r="X98" s="2">
        <f>X10/'Output-Calculation-sheet'!X9*'Output-Calculation-sheet'!X81</f>
        <v>228277359.83261493</v>
      </c>
      <c r="Y98" s="2">
        <f>Y10/'Output-Calculation-sheet'!Y9*'Output-Calculation-sheet'!Y81</f>
        <v>284200115.42275703</v>
      </c>
      <c r="AA98" s="2">
        <f t="shared" si="8"/>
        <v>51.158003123941491</v>
      </c>
    </row>
    <row r="99" spans="1:27" x14ac:dyDescent="0.25">
      <c r="A99" s="2">
        <v>2034</v>
      </c>
      <c r="B99" s="2">
        <f>B11/'Output-Calculation-sheet'!B10*'Output-Calculation-sheet'!B82</f>
        <v>14088390778.615702</v>
      </c>
      <c r="C99" s="2">
        <f>C11/'Output-Calculation-sheet'!C10*'Output-Calculation-sheet'!C82</f>
        <v>3206980504.3560171</v>
      </c>
      <c r="D99" s="2">
        <f>D11/'Output-Calculation-sheet'!D10*'Output-Calculation-sheet'!D82</f>
        <v>2175388065.268682</v>
      </c>
      <c r="E99" s="2">
        <f>E11/'Output-Calculation-sheet'!E10*'Output-Calculation-sheet'!E82</f>
        <v>11481326371.056149</v>
      </c>
      <c r="F99" s="2">
        <f>F11/'Output-Calculation-sheet'!F10*'Output-Calculation-sheet'!F82</f>
        <v>2779126064.3415551</v>
      </c>
      <c r="G99" s="2">
        <f>G11/'Output-Calculation-sheet'!G10*'Output-Calculation-sheet'!G82</f>
        <v>1546751287.1438346</v>
      </c>
      <c r="H99" s="2">
        <f>H11/'Output-Calculation-sheet'!H10*'Output-Calculation-sheet'!H82</f>
        <v>2288788645.9641137</v>
      </c>
      <c r="I99" s="2">
        <f>I11/'Output-Calculation-sheet'!I10*'Output-Calculation-sheet'!I82</f>
        <v>1294211598.3173954</v>
      </c>
      <c r="J99" s="2">
        <f>J11/'Output-Calculation-sheet'!J10*'Output-Calculation-sheet'!J82</f>
        <v>943473877.91551089</v>
      </c>
      <c r="K99" s="2">
        <f>K11/'Output-Calculation-sheet'!K10*'Output-Calculation-sheet'!K82</f>
        <v>1120238529.2979956</v>
      </c>
      <c r="L99" s="2">
        <f>L11/'Output-Calculation-sheet'!L10*'Output-Calculation-sheet'!L82</f>
        <v>1219476830.0510285</v>
      </c>
      <c r="M99" s="2">
        <f>M11/'Output-Calculation-sheet'!M10*'Output-Calculation-sheet'!M82</f>
        <v>1900980862.4695497</v>
      </c>
      <c r="N99" s="2">
        <f>N11/'Output-Calculation-sheet'!N10*'Output-Calculation-sheet'!N82</f>
        <v>1118482221.3929198</v>
      </c>
      <c r="O99" s="2">
        <f>O11/'Output-Calculation-sheet'!O10*'Output-Calculation-sheet'!O82</f>
        <v>409921955.06987375</v>
      </c>
      <c r="P99" s="2">
        <f>P11/'Output-Calculation-sheet'!P10*'Output-Calculation-sheet'!P82</f>
        <v>1981407423.6418979</v>
      </c>
      <c r="Q99" s="2">
        <f>Q11/'Output-Calculation-sheet'!Q10*'Output-Calculation-sheet'!Q82</f>
        <v>911425813.27748561</v>
      </c>
      <c r="R99" s="2">
        <f>R11/'Output-Calculation-sheet'!R10*'Output-Calculation-sheet'!R82</f>
        <v>1236325356.2351661</v>
      </c>
      <c r="S99" s="2">
        <f>S11/'Output-Calculation-sheet'!S10*'Output-Calculation-sheet'!S82</f>
        <v>669984308.11170447</v>
      </c>
      <c r="T99" s="2">
        <f>T11/'Output-Calculation-sheet'!T10*'Output-Calculation-sheet'!T82</f>
        <v>364834644.88710529</v>
      </c>
      <c r="U99" s="2">
        <f>U11/'Output-Calculation-sheet'!U10*'Output-Calculation-sheet'!U82</f>
        <v>295674463.1467939</v>
      </c>
      <c r="V99" s="2">
        <f>V11/'Output-Calculation-sheet'!V10*'Output-Calculation-sheet'!V82</f>
        <v>138500629.10799706</v>
      </c>
      <c r="W99" s="2">
        <f>W11/'Output-Calculation-sheet'!W10*'Output-Calculation-sheet'!W82</f>
        <v>425747341.67175812</v>
      </c>
      <c r="X99" s="2">
        <f>X11/'Output-Calculation-sheet'!X10*'Output-Calculation-sheet'!X82</f>
        <v>243332473.2158331</v>
      </c>
      <c r="Y99" s="2">
        <f>Y11/'Output-Calculation-sheet'!Y10*'Output-Calculation-sheet'!Y82</f>
        <v>285764052.53810936</v>
      </c>
      <c r="AA99" s="2">
        <f t="shared" si="8"/>
        <v>52.126534097094186</v>
      </c>
    </row>
    <row r="100" spans="1:27" x14ac:dyDescent="0.25">
      <c r="A100" s="2">
        <v>2035</v>
      </c>
      <c r="B100" s="2">
        <f>B12/'Output-Calculation-sheet'!B11*'Output-Calculation-sheet'!B83</f>
        <v>13482189798.193682</v>
      </c>
      <c r="C100" s="2">
        <f>C12/'Output-Calculation-sheet'!C11*'Output-Calculation-sheet'!C83</f>
        <v>3025444253.4755411</v>
      </c>
      <c r="D100" s="2">
        <f>D12/'Output-Calculation-sheet'!D11*'Output-Calculation-sheet'!D83</f>
        <v>1938049157.4726727</v>
      </c>
      <c r="E100" s="2">
        <f>E12/'Output-Calculation-sheet'!E11*'Output-Calculation-sheet'!E83</f>
        <v>11396827397.466341</v>
      </c>
      <c r="F100" s="2">
        <f>F12/'Output-Calculation-sheet'!F11*'Output-Calculation-sheet'!F83</f>
        <v>2592915090.9967136</v>
      </c>
      <c r="G100" s="2">
        <f>G12/'Output-Calculation-sheet'!G11*'Output-Calculation-sheet'!G83</f>
        <v>1374160205.0421755</v>
      </c>
      <c r="H100" s="2">
        <f>H12/'Output-Calculation-sheet'!H11*'Output-Calculation-sheet'!H83</f>
        <v>2159361043.3325157</v>
      </c>
      <c r="I100" s="2">
        <f>I12/'Output-Calculation-sheet'!I11*'Output-Calculation-sheet'!I83</f>
        <v>1215181119.9223104</v>
      </c>
      <c r="J100" s="2">
        <f>J12/'Output-Calculation-sheet'!J11*'Output-Calculation-sheet'!J83</f>
        <v>876291669.65860462</v>
      </c>
      <c r="K100" s="2">
        <f>K12/'Output-Calculation-sheet'!K11*'Output-Calculation-sheet'!K83</f>
        <v>1019044277.5668439</v>
      </c>
      <c r="L100" s="2">
        <f>L12/'Output-Calculation-sheet'!L11*'Output-Calculation-sheet'!L83</f>
        <v>1177349132.4673064</v>
      </c>
      <c r="M100" s="2">
        <f>M12/'Output-Calculation-sheet'!M11*'Output-Calculation-sheet'!M83</f>
        <v>1846352678.5064385</v>
      </c>
      <c r="N100" s="2">
        <f>N12/'Output-Calculation-sheet'!N11*'Output-Calculation-sheet'!N83</f>
        <v>1053019072.4657167</v>
      </c>
      <c r="O100" s="2">
        <f>O12/'Output-Calculation-sheet'!O11*'Output-Calculation-sheet'!O83</f>
        <v>384003494.60466331</v>
      </c>
      <c r="P100" s="2">
        <f>P12/'Output-Calculation-sheet'!P11*'Output-Calculation-sheet'!P83</f>
        <v>1792728737.4784949</v>
      </c>
      <c r="Q100" s="2">
        <f>Q12/'Output-Calculation-sheet'!Q11*'Output-Calculation-sheet'!Q83</f>
        <v>859614805.33624101</v>
      </c>
      <c r="R100" s="2">
        <f>R12/'Output-Calculation-sheet'!R11*'Output-Calculation-sheet'!R83</f>
        <v>1169138056.7924731</v>
      </c>
      <c r="S100" s="2">
        <f>S12/'Output-Calculation-sheet'!S11*'Output-Calculation-sheet'!S83</f>
        <v>625196067.97603619</v>
      </c>
      <c r="T100" s="2">
        <f>T12/'Output-Calculation-sheet'!T11*'Output-Calculation-sheet'!T83</f>
        <v>329292862.1073463</v>
      </c>
      <c r="U100" s="2">
        <f>U12/'Output-Calculation-sheet'!U11*'Output-Calculation-sheet'!U83</f>
        <v>268820571.23462051</v>
      </c>
      <c r="V100" s="2">
        <f>V12/'Output-Calculation-sheet'!V11*'Output-Calculation-sheet'!V83</f>
        <v>127170918.74183647</v>
      </c>
      <c r="W100" s="2">
        <f>W12/'Output-Calculation-sheet'!W11*'Output-Calculation-sheet'!W83</f>
        <v>386685032.1466291</v>
      </c>
      <c r="X100" s="2">
        <f>X12/'Output-Calculation-sheet'!X11*'Output-Calculation-sheet'!X83</f>
        <v>242495333.82081068</v>
      </c>
      <c r="Y100" s="2">
        <f>Y12/'Output-Calculation-sheet'!Y11*'Output-Calculation-sheet'!Y83</f>
        <v>267303560.83178309</v>
      </c>
      <c r="AA100" s="2">
        <f t="shared" si="8"/>
        <v>49.608634337637788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15689706690.198675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5340519534.7781324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3684504284.1931787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2615242835.1254601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399034407.03605312</v>
      </c>
      <c r="Y106" s="2">
        <f>Y7/'Output-Calculation-sheet'!Y6*'Output-Calculation-sheet'!Y87</f>
        <v>0</v>
      </c>
      <c r="AA106" s="2">
        <f t="shared" si="9"/>
        <v>29165.722100198378</v>
      </c>
    </row>
    <row r="107" spans="1:27" x14ac:dyDescent="0.25">
      <c r="A107" s="2">
        <v>2031</v>
      </c>
      <c r="B107" s="2">
        <f>B8/'Output-Calculation-sheet'!B7*'Output-Calculation-sheet'!B88</f>
        <v>1631814080.3497627</v>
      </c>
      <c r="C107" s="2">
        <f>C8/'Output-Calculation-sheet'!C7*'Output-Calculation-sheet'!C88</f>
        <v>21042739793.679066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8384883168.0232706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5784868188.7744036</v>
      </c>
      <c r="N107" s="2">
        <f>N8/'Output-Calculation-sheet'!N7*'Output-Calculation-sheet'!N88</f>
        <v>1931171400.5230217</v>
      </c>
      <c r="O107" s="2">
        <f>O8/'Output-Calculation-sheet'!O7*'Output-Calculation-sheet'!O88</f>
        <v>3315345864.6419034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580195374.54794157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626502569.38866603</v>
      </c>
      <c r="Y107" s="2">
        <f>Y8/'Output-Calculation-sheet'!Y7*'Output-Calculation-sheet'!Y88</f>
        <v>0</v>
      </c>
      <c r="AA107" s="2">
        <f t="shared" si="9"/>
        <v>43297.520439928034</v>
      </c>
    </row>
    <row r="108" spans="1:27" x14ac:dyDescent="0.25">
      <c r="A108" s="2">
        <v>2032</v>
      </c>
      <c r="B108" s="2">
        <f>B9/'Output-Calculation-sheet'!B8*'Output-Calculation-sheet'!B89</f>
        <v>7300435308.4509535</v>
      </c>
      <c r="C108" s="2">
        <f>C9/'Output-Calculation-sheet'!C8*'Output-Calculation-sheet'!C89</f>
        <v>24799227304.668343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11417860460.711189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7877330899.5538816</v>
      </c>
      <c r="N108" s="2">
        <f>N9/'Output-Calculation-sheet'!N8*'Output-Calculation-sheet'!N89</f>
        <v>3706907165.3644843</v>
      </c>
      <c r="O108" s="2">
        <f>O9/'Output-Calculation-sheet'!O8*'Output-Calculation-sheet'!O89</f>
        <v>3968686076.7016325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1103123085.2715812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853138482.54097438</v>
      </c>
      <c r="Y108" s="2">
        <f>Y9/'Output-Calculation-sheet'!Y8*'Output-Calculation-sheet'!Y89</f>
        <v>0</v>
      </c>
      <c r="AA108" s="2">
        <f t="shared" si="9"/>
        <v>61026.70878326305</v>
      </c>
    </row>
    <row r="109" spans="1:27" x14ac:dyDescent="0.25">
      <c r="A109" s="2">
        <v>2033</v>
      </c>
      <c r="B109" s="2">
        <f>B10/'Output-Calculation-sheet'!B9*'Output-Calculation-sheet'!B90</f>
        <v>19126350991.085793</v>
      </c>
      <c r="C109" s="2">
        <f>C10/'Output-Calculation-sheet'!C9*'Output-Calculation-sheet'!C90</f>
        <v>28212097435.267704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13996564222.662138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9656413001.544241</v>
      </c>
      <c r="N109" s="2">
        <f>N10/'Output-Calculation-sheet'!N9*'Output-Calculation-sheet'!N90</f>
        <v>5688420010.7336369</v>
      </c>
      <c r="O109" s="2">
        <f>O10/'Output-Calculation-sheet'!O9*'Output-Calculation-sheet'!O90</f>
        <v>4407288777.6248169</v>
      </c>
      <c r="P109" s="2">
        <f>P10/'Output-Calculation-sheet'!P9*'Output-Calculation-sheet'!P90</f>
        <v>0</v>
      </c>
      <c r="Q109" s="2">
        <f>Q10/'Output-Calculation-sheet'!Q9*'Output-Calculation-sheet'!Q90</f>
        <v>185139083.53119344</v>
      </c>
      <c r="R109" s="2">
        <f>R10/'Output-Calculation-sheet'!R9*'Output-Calculation-sheet'!R90</f>
        <v>-3.8146216901626209E-7</v>
      </c>
      <c r="S109" s="2">
        <f>S10/'Output-Calculation-sheet'!S9*'Output-Calculation-sheet'!S90</f>
        <v>2286540054.704896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1045818743.9526736</v>
      </c>
      <c r="Y109" s="2">
        <f>Y10/'Output-Calculation-sheet'!Y9*'Output-Calculation-sheet'!Y90</f>
        <v>0</v>
      </c>
      <c r="AA109" s="2">
        <f t="shared" si="9"/>
        <v>84604.632321107085</v>
      </c>
    </row>
    <row r="110" spans="1:27" x14ac:dyDescent="0.25">
      <c r="A110" s="2">
        <v>2034</v>
      </c>
      <c r="B110" s="2">
        <f>B11/'Output-Calculation-sheet'!B10*'Output-Calculation-sheet'!B91</f>
        <v>42347358751.34819</v>
      </c>
      <c r="C110" s="2">
        <f>C11/'Output-Calculation-sheet'!C10*'Output-Calculation-sheet'!C91</f>
        <v>31216191456.14613</v>
      </c>
      <c r="D110" s="2">
        <f>D11/'Output-Calculation-sheet'!D10*'Output-Calculation-sheet'!D91</f>
        <v>0</v>
      </c>
      <c r="E110" s="2">
        <f>E11/'Output-Calculation-sheet'!E10*'Output-Calculation-sheet'!E91</f>
        <v>896290384.33449364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15436895478.851271</v>
      </c>
      <c r="I110" s="2">
        <f>I11/'Output-Calculation-sheet'!I10*'Output-Calculation-sheet'!I91</f>
        <v>-1.4862021901984397E-6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720397714.36132467</v>
      </c>
      <c r="M110" s="2">
        <f>M11/'Output-Calculation-sheet'!M10*'Output-Calculation-sheet'!M91</f>
        <v>10925372395.344423</v>
      </c>
      <c r="N110" s="2">
        <f>N11/'Output-Calculation-sheet'!N10*'Output-Calculation-sheet'!N91</f>
        <v>7561101237.9763498</v>
      </c>
      <c r="O110" s="2">
        <f>O11/'Output-Calculation-sheet'!O10*'Output-Calculation-sheet'!O91</f>
        <v>4794204945.8551998</v>
      </c>
      <c r="P110" s="2">
        <f>P11/'Output-Calculation-sheet'!P10*'Output-Calculation-sheet'!P91</f>
        <v>0</v>
      </c>
      <c r="Q110" s="2">
        <f>Q11/'Output-Calculation-sheet'!Q10*'Output-Calculation-sheet'!Q91</f>
        <v>1210406914.3976743</v>
      </c>
      <c r="R110" s="2">
        <f>R11/'Output-Calculation-sheet'!R10*'Output-Calculation-sheet'!R91</f>
        <v>0</v>
      </c>
      <c r="S110" s="2">
        <f>S11/'Output-Calculation-sheet'!S10*'Output-Calculation-sheet'!S91</f>
        <v>3701481915.8490763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1066555901.3961654</v>
      </c>
      <c r="Y110" s="2">
        <f>Y11/'Output-Calculation-sheet'!Y10*'Output-Calculation-sheet'!Y91</f>
        <v>47427963.115343638</v>
      </c>
      <c r="AA110" s="2">
        <f t="shared" si="9"/>
        <v>119923.68505897564</v>
      </c>
    </row>
    <row r="111" spans="1:27" x14ac:dyDescent="0.25">
      <c r="A111" s="2">
        <v>2035</v>
      </c>
      <c r="B111" s="2">
        <f>B12/'Output-Calculation-sheet'!B11*'Output-Calculation-sheet'!B92</f>
        <v>40496081543.449272</v>
      </c>
      <c r="C111" s="2">
        <f>C12/'Output-Calculation-sheet'!C11*'Output-Calculation-sheet'!C92</f>
        <v>35504944529.482704</v>
      </c>
      <c r="D111" s="2">
        <f>D12/'Output-Calculation-sheet'!D11*'Output-Calculation-sheet'!D92</f>
        <v>-1.0599378645868875E-6</v>
      </c>
      <c r="E111" s="2">
        <f>E12/'Output-Calculation-sheet'!E11*'Output-Calculation-sheet'!E92</f>
        <v>3284565723.0006976</v>
      </c>
      <c r="F111" s="2">
        <f>F12/'Output-Calculation-sheet'!F11*'Output-Calculation-sheet'!F92</f>
        <v>-2.3285004853644416E-7</v>
      </c>
      <c r="G111" s="2">
        <f>G12/'Output-Calculation-sheet'!G11*'Output-Calculation-sheet'!G92</f>
        <v>0</v>
      </c>
      <c r="H111" s="2">
        <f>H12/'Output-Calculation-sheet'!H11*'Output-Calculation-sheet'!H92</f>
        <v>14758327858.493826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1598190122.9450831</v>
      </c>
      <c r="M111" s="2">
        <f>M12/'Output-Calculation-sheet'!M11*'Output-Calculation-sheet'!M92</f>
        <v>10516812996.176451</v>
      </c>
      <c r="N111" s="2">
        <f>N12/'Output-Calculation-sheet'!N11*'Output-Calculation-sheet'!N92</f>
        <v>7404420423.1060972</v>
      </c>
      <c r="O111" s="2">
        <f>O12/'Output-Calculation-sheet'!O11*'Output-Calculation-sheet'!O92</f>
        <v>5365038750.9787512</v>
      </c>
      <c r="P111" s="2">
        <f>P12/'Output-Calculation-sheet'!P11*'Output-Calculation-sheet'!P92</f>
        <v>318168006.91696578</v>
      </c>
      <c r="Q111" s="2">
        <f>Q12/'Output-Calculation-sheet'!Q11*'Output-Calculation-sheet'!Q92</f>
        <v>1407165067.8896039</v>
      </c>
      <c r="R111" s="2">
        <f>R12/'Output-Calculation-sheet'!R11*'Output-Calculation-sheet'!R92</f>
        <v>0</v>
      </c>
      <c r="S111" s="2">
        <f>S12/'Output-Calculation-sheet'!S11*'Output-Calculation-sheet'!S92</f>
        <v>3537273867.9721513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1028009590.2345709</v>
      </c>
      <c r="Y111" s="2">
        <f>Y12/'Output-Calculation-sheet'!Y11*'Output-Calculation-sheet'!Y92</f>
        <v>69613946.888275087</v>
      </c>
      <c r="AA111" s="2">
        <f t="shared" si="9"/>
        <v>125288.61242753443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55408684599.277184</v>
      </c>
      <c r="C118" s="2">
        <f>C8/'Output-Calculation-sheet'!C7*'Output-Calculation-sheet'!C97</f>
        <v>0</v>
      </c>
      <c r="D118" s="2">
        <f>D8/'Output-Calculation-sheet'!D7*'Output-Calculation-sheet'!D97</f>
        <v>23957666718.709877</v>
      </c>
      <c r="E118" s="2">
        <f>E8/'Output-Calculation-sheet'!E7*'Output-Calculation-sheet'!E97</f>
        <v>19007977393.978931</v>
      </c>
      <c r="F118" s="2">
        <f>F8/'Output-Calculation-sheet'!F7*'Output-Calculation-sheet'!F97</f>
        <v>12236117143.169874</v>
      </c>
      <c r="G118" s="2">
        <f>G8/'Output-Calculation-sheet'!G7*'Output-Calculation-sheet'!G97</f>
        <v>8597431715.9622097</v>
      </c>
      <c r="H118" s="2">
        <f>H8/'Output-Calculation-sheet'!H7*'Output-Calculation-sheet'!H97</f>
        <v>0</v>
      </c>
      <c r="I118" s="2">
        <f>I8/'Output-Calculation-sheet'!I7*'Output-Calculation-sheet'!I97</f>
        <v>7832937059.0034523</v>
      </c>
      <c r="J118" s="2">
        <f>J8/'Output-Calculation-sheet'!J7*'Output-Calculation-sheet'!J97</f>
        <v>7624041433.4002275</v>
      </c>
      <c r="K118" s="2">
        <f>K8/'Output-Calculation-sheet'!K7*'Output-Calculation-sheet'!K97</f>
        <v>7550949840.1763783</v>
      </c>
      <c r="L118" s="2">
        <f>L8/'Output-Calculation-sheet'!L7*'Output-Calculation-sheet'!L97</f>
        <v>6057470145.0646954</v>
      </c>
      <c r="M118" s="2">
        <f>M8/'Output-Calculation-sheet'!M7*'Output-Calculation-sheet'!M97</f>
        <v>0</v>
      </c>
      <c r="N118" s="2">
        <f>N8/'Output-Calculation-sheet'!N7*'Output-Calculation-sheet'!N97</f>
        <v>3747657908.054328</v>
      </c>
      <c r="O118" s="2">
        <f>O8/'Output-Calculation-sheet'!O7*'Output-Calculation-sheet'!O97</f>
        <v>0</v>
      </c>
      <c r="P118" s="2">
        <f>P8/'Output-Calculation-sheet'!P7*'Output-Calculation-sheet'!P97</f>
        <v>5169738458.9422817</v>
      </c>
      <c r="Q118" s="2">
        <f>Q8/'Output-Calculation-sheet'!Q7*'Output-Calculation-sheet'!Q97</f>
        <v>5086186166.2645416</v>
      </c>
      <c r="R118" s="2">
        <f>R8/'Output-Calculation-sheet'!R7*'Output-Calculation-sheet'!R97</f>
        <v>4893145007.0474663</v>
      </c>
      <c r="S118" s="2">
        <f>S8/'Output-Calculation-sheet'!S7*'Output-Calculation-sheet'!S97</f>
        <v>2672039840.0537462</v>
      </c>
      <c r="T118" s="2">
        <f>T8/'Output-Calculation-sheet'!T7*'Output-Calculation-sheet'!T97</f>
        <v>1798678381.2505748</v>
      </c>
      <c r="U118" s="2">
        <f>U8/'Output-Calculation-sheet'!U7*'Output-Calculation-sheet'!U97</f>
        <v>1566587104.2103579</v>
      </c>
      <c r="V118" s="2">
        <f>V8/'Output-Calculation-sheet'!V7*'Output-Calculation-sheet'!V97</f>
        <v>1206303876.0148153</v>
      </c>
      <c r="W118" s="2">
        <f>W8/'Output-Calculation-sheet'!W7*'Output-Calculation-sheet'!W97</f>
        <v>1044391402.4870452</v>
      </c>
      <c r="X118" s="2">
        <f>X8/'Output-Calculation-sheet'!X7*'Output-Calculation-sheet'!X97</f>
        <v>0</v>
      </c>
      <c r="Y118" s="2">
        <f>Y8/'Output-Calculation-sheet'!Y7*'Output-Calculation-sheet'!Y97</f>
        <v>609396355.36025608</v>
      </c>
      <c r="AA118" s="2">
        <f t="shared" si="10"/>
        <v>176067.40054842818</v>
      </c>
    </row>
    <row r="119" spans="1:27" x14ac:dyDescent="0.25">
      <c r="A119" s="2">
        <v>2032</v>
      </c>
      <c r="B119" s="2">
        <f>B9/'Output-Calculation-sheet'!B8*'Output-Calculation-sheet'!B98</f>
        <v>70372071601.26619</v>
      </c>
      <c r="C119" s="2">
        <f>C9/'Output-Calculation-sheet'!C8*'Output-Calculation-sheet'!C98</f>
        <v>0</v>
      </c>
      <c r="D119" s="2">
        <f>D9/'Output-Calculation-sheet'!D8*'Output-Calculation-sheet'!D98</f>
        <v>32623350381.98111</v>
      </c>
      <c r="E119" s="2">
        <f>E9/'Output-Calculation-sheet'!E8*'Output-Calculation-sheet'!E98</f>
        <v>25883311938.228588</v>
      </c>
      <c r="F119" s="2">
        <f>F9/'Output-Calculation-sheet'!F8*'Output-Calculation-sheet'!F98</f>
        <v>16662021866.946165</v>
      </c>
      <c r="G119" s="2">
        <f>G9/'Output-Calculation-sheet'!G8*'Output-Calculation-sheet'!G98</f>
        <v>11707193878.945694</v>
      </c>
      <c r="H119" s="2">
        <f>H9/'Output-Calculation-sheet'!H8*'Output-Calculation-sheet'!H98</f>
        <v>2.4579576475851083E-7</v>
      </c>
      <c r="I119" s="2">
        <f>I9/'Output-Calculation-sheet'!I8*'Output-Calculation-sheet'!I98</f>
        <v>10666175982.771538</v>
      </c>
      <c r="J119" s="2">
        <f>J9/'Output-Calculation-sheet'!J8*'Output-Calculation-sheet'!J98</f>
        <v>10381717028.965015</v>
      </c>
      <c r="K119" s="2">
        <f>K9/'Output-Calculation-sheet'!K8*'Output-Calculation-sheet'!K98</f>
        <v>10282189246.093027</v>
      </c>
      <c r="L119" s="2">
        <f>L9/'Output-Calculation-sheet'!L8*'Output-Calculation-sheet'!L98</f>
        <v>8248507839.2741556</v>
      </c>
      <c r="M119" s="2">
        <f>M9/'Output-Calculation-sheet'!M8*'Output-Calculation-sheet'!M98</f>
        <v>0</v>
      </c>
      <c r="N119" s="2">
        <f>N9/'Output-Calculation-sheet'!N8*'Output-Calculation-sheet'!N98</f>
        <v>4025353792.239594</v>
      </c>
      <c r="O119" s="2">
        <f>O9/'Output-Calculation-sheet'!O8*'Output-Calculation-sheet'!O98</f>
        <v>0</v>
      </c>
      <c r="P119" s="2">
        <f>P9/'Output-Calculation-sheet'!P8*'Output-Calculation-sheet'!P98</f>
        <v>7039628564.8105192</v>
      </c>
      <c r="Q119" s="2">
        <f>Q9/'Output-Calculation-sheet'!Q8*'Output-Calculation-sheet'!Q98</f>
        <v>6925901214.327486</v>
      </c>
      <c r="R119" s="2">
        <f>R9/'Output-Calculation-sheet'!R8*'Output-Calculation-sheet'!R98</f>
        <v>6663036028.5849457</v>
      </c>
      <c r="S119" s="2">
        <f>S9/'Output-Calculation-sheet'!S8*'Output-Calculation-sheet'!S98</f>
        <v>3325238025.6755042</v>
      </c>
      <c r="T119" s="2">
        <f>T9/'Output-Calculation-sheet'!T8*'Output-Calculation-sheet'!T98</f>
        <v>2449274653.6008148</v>
      </c>
      <c r="U119" s="2">
        <f>U9/'Output-Calculation-sheet'!U8*'Output-Calculation-sheet'!U98</f>
        <v>2133234954.1772029</v>
      </c>
      <c r="V119" s="2">
        <f>V9/'Output-Calculation-sheet'!V8*'Output-Calculation-sheet'!V98</f>
        <v>1642633579.6846058</v>
      </c>
      <c r="W119" s="2">
        <f>W9/'Output-Calculation-sheet'!W8*'Output-Calculation-sheet'!W98</f>
        <v>1422156412.6452963</v>
      </c>
      <c r="X119" s="2">
        <f>X9/'Output-Calculation-sheet'!X8*'Output-Calculation-sheet'!X98</f>
        <v>0</v>
      </c>
      <c r="Y119" s="2">
        <f>Y9/'Output-Calculation-sheet'!Y8*'Output-Calculation-sheet'!Y98</f>
        <v>829819734.19916654</v>
      </c>
      <c r="AA119" s="2">
        <f t="shared" si="10"/>
        <v>233282.8167244166</v>
      </c>
    </row>
    <row r="120" spans="1:27" x14ac:dyDescent="0.25">
      <c r="A120" s="2">
        <v>2033</v>
      </c>
      <c r="B120" s="2">
        <f>B10/'Output-Calculation-sheet'!B9*'Output-Calculation-sheet'!B99</f>
        <v>76079707415.427826</v>
      </c>
      <c r="C120" s="2">
        <f>C10/'Output-Calculation-sheet'!C9*'Output-Calculation-sheet'!C99</f>
        <v>0</v>
      </c>
      <c r="D120" s="2">
        <f>D10/'Output-Calculation-sheet'!D9*'Output-Calculation-sheet'!D99</f>
        <v>39990078789.269035</v>
      </c>
      <c r="E120" s="2">
        <f>E10/'Output-Calculation-sheet'!E9*'Output-Calculation-sheet'!E99</f>
        <v>31728065320.469112</v>
      </c>
      <c r="F120" s="2">
        <f>F10/'Output-Calculation-sheet'!F9*'Output-Calculation-sheet'!F99</f>
        <v>20424494197.388039</v>
      </c>
      <c r="G120" s="2">
        <f>G10/'Output-Calculation-sheet'!G9*'Output-Calculation-sheet'!G99</f>
        <v>14350810158.198578</v>
      </c>
      <c r="H120" s="2">
        <f>H10/'Output-Calculation-sheet'!H9*'Output-Calculation-sheet'!H99</f>
        <v>0</v>
      </c>
      <c r="I120" s="2">
        <f>I10/'Output-Calculation-sheet'!I9*'Output-Calculation-sheet'!I99</f>
        <v>13074719390.745712</v>
      </c>
      <c r="J120" s="2">
        <f>J10/'Output-Calculation-sheet'!J9*'Output-Calculation-sheet'!J99</f>
        <v>12726026359.65308</v>
      </c>
      <c r="K120" s="2">
        <f>K10/'Output-Calculation-sheet'!K9*'Output-Calculation-sheet'!K99</f>
        <v>12604025393.916536</v>
      </c>
      <c r="L120" s="2">
        <f>L10/'Output-Calculation-sheet'!L9*'Output-Calculation-sheet'!L99</f>
        <v>10111114371.991983</v>
      </c>
      <c r="M120" s="2">
        <f>M10/'Output-Calculation-sheet'!M9*'Output-Calculation-sheet'!M99</f>
        <v>0</v>
      </c>
      <c r="N120" s="2">
        <f>N10/'Output-Calculation-sheet'!N9*'Output-Calculation-sheet'!N99</f>
        <v>3789320133.9415441</v>
      </c>
      <c r="O120" s="2">
        <f>O10/'Output-Calculation-sheet'!O9*'Output-Calculation-sheet'!O99</f>
        <v>0</v>
      </c>
      <c r="P120" s="2">
        <f>P10/'Output-Calculation-sheet'!P9*'Output-Calculation-sheet'!P99</f>
        <v>8628808060.1315289</v>
      </c>
      <c r="Q120" s="2">
        <f>Q10/'Output-Calculation-sheet'!Q9*'Output-Calculation-sheet'!Q99</f>
        <v>8304627784.2193012</v>
      </c>
      <c r="R120" s="2">
        <f>R10/'Output-Calculation-sheet'!R9*'Output-Calculation-sheet'!R99</f>
        <v>8167237384.3929281</v>
      </c>
      <c r="S120" s="2">
        <f>S10/'Output-Calculation-sheet'!S9*'Output-Calculation-sheet'!S99</f>
        <v>3141428227.9527974</v>
      </c>
      <c r="T120" s="2">
        <f>T10/'Output-Calculation-sheet'!T9*'Output-Calculation-sheet'!T99</f>
        <v>3002322800.0827827</v>
      </c>
      <c r="U120" s="2">
        <f>U10/'Output-Calculation-sheet'!U9*'Output-Calculation-sheet'!U99</f>
        <v>2615511907.8145337</v>
      </c>
      <c r="V120" s="2">
        <f>V10/'Output-Calculation-sheet'!V9*'Output-Calculation-sheet'!V99</f>
        <v>2013558958.1358755</v>
      </c>
      <c r="W120" s="2">
        <f>W10/'Output-Calculation-sheet'!W9*'Output-Calculation-sheet'!W99</f>
        <v>1743295808.9038303</v>
      </c>
      <c r="X120" s="2">
        <f>X10/'Output-Calculation-sheet'!X9*'Output-Calculation-sheet'!X99</f>
        <v>0</v>
      </c>
      <c r="Y120" s="2">
        <f>Y10/'Output-Calculation-sheet'!Y9*'Output-Calculation-sheet'!Y99</f>
        <v>1017203962.8690248</v>
      </c>
      <c r="AA120" s="2">
        <f t="shared" si="10"/>
        <v>273512.35642550403</v>
      </c>
    </row>
    <row r="121" spans="1:27" x14ac:dyDescent="0.25">
      <c r="A121" s="2">
        <v>2034</v>
      </c>
      <c r="B121" s="2">
        <f>B11/'Output-Calculation-sheet'!B10*'Output-Calculation-sheet'!B100</f>
        <v>65360468407.571037</v>
      </c>
      <c r="C121" s="2">
        <f>C11/'Output-Calculation-sheet'!C10*'Output-Calculation-sheet'!C100</f>
        <v>0</v>
      </c>
      <c r="D121" s="2">
        <f>D11/'Output-Calculation-sheet'!D10*'Output-Calculation-sheet'!D100</f>
        <v>45244246405.527908</v>
      </c>
      <c r="E121" s="2">
        <f>E11/'Output-Calculation-sheet'!E10*'Output-Calculation-sheet'!E100</f>
        <v>35006359031.185776</v>
      </c>
      <c r="F121" s="2">
        <f>F11/'Output-Calculation-sheet'!F10*'Output-Calculation-sheet'!F100</f>
        <v>23108181242.41412</v>
      </c>
      <c r="G121" s="2">
        <f>G11/'Output-Calculation-sheet'!G10*'Output-Calculation-sheet'!G100</f>
        <v>16235437233.657017</v>
      </c>
      <c r="H121" s="2">
        <f>H11/'Output-Calculation-sheet'!H10*'Output-Calculation-sheet'!H100</f>
        <v>0</v>
      </c>
      <c r="I121" s="2">
        <f>I11/'Output-Calculation-sheet'!I10*'Output-Calculation-sheet'!I100</f>
        <v>14792047916.857985</v>
      </c>
      <c r="J121" s="2">
        <f>J11/'Output-Calculation-sheet'!J10*'Output-Calculation-sheet'!J100</f>
        <v>14397698178.315214</v>
      </c>
      <c r="K121" s="2">
        <f>K11/'Output-Calculation-sheet'!K10*'Output-Calculation-sheet'!K100</f>
        <v>14260033542.586857</v>
      </c>
      <c r="L121" s="2">
        <f>L11/'Output-Calculation-sheet'!L10*'Output-Calculation-sheet'!L100</f>
        <v>10718860828.16069</v>
      </c>
      <c r="M121" s="2">
        <f>M11/'Output-Calculation-sheet'!M10*'Output-Calculation-sheet'!M100</f>
        <v>7.6581937163691838E-7</v>
      </c>
      <c r="N121" s="2">
        <f>N11/'Output-Calculation-sheet'!N10*'Output-Calculation-sheet'!N100</f>
        <v>3162119815.9370122</v>
      </c>
      <c r="O121" s="2">
        <f>O11/'Output-Calculation-sheet'!O10*'Output-Calculation-sheet'!O100</f>
        <v>0</v>
      </c>
      <c r="P121" s="2">
        <f>P11/'Output-Calculation-sheet'!P10*'Output-Calculation-sheet'!P100</f>
        <v>9762107617.2724438</v>
      </c>
      <c r="Q121" s="2">
        <f>Q11/'Output-Calculation-sheet'!Q10*'Output-Calculation-sheet'!Q100</f>
        <v>8089914559.1772308</v>
      </c>
      <c r="R121" s="2">
        <f>R11/'Output-Calculation-sheet'!R10*'Output-Calculation-sheet'!R100</f>
        <v>9239905467.7283211</v>
      </c>
      <c r="S121" s="2">
        <f>S11/'Output-Calculation-sheet'!S10*'Output-Calculation-sheet'!S100</f>
        <v>2439600859.9065275</v>
      </c>
      <c r="T121" s="2">
        <f>T11/'Output-Calculation-sheet'!T10*'Output-Calculation-sheet'!T100</f>
        <v>3396586909.4514618</v>
      </c>
      <c r="U121" s="2">
        <f>U11/'Output-Calculation-sheet'!U10*'Output-Calculation-sheet'!U100</f>
        <v>2862425866.8071475</v>
      </c>
      <c r="V121" s="2">
        <f>V11/'Output-Calculation-sheet'!V10*'Output-Calculation-sheet'!V100</f>
        <v>2278759320.9419012</v>
      </c>
      <c r="W121" s="2">
        <f>W11/'Output-Calculation-sheet'!W10*'Output-Calculation-sheet'!W100</f>
        <v>1972400412.1919341</v>
      </c>
      <c r="X121" s="2">
        <f>X11/'Output-Calculation-sheet'!X10*'Output-Calculation-sheet'!X100</f>
        <v>75959979.195889235</v>
      </c>
      <c r="Y121" s="2">
        <f>Y11/'Output-Calculation-sheet'!Y10*'Output-Calculation-sheet'!Y100</f>
        <v>1103402364.3370061</v>
      </c>
      <c r="AA121" s="2">
        <f t="shared" si="10"/>
        <v>283506.51595922344</v>
      </c>
    </row>
    <row r="122" spans="1:27" x14ac:dyDescent="0.25">
      <c r="A122" s="2">
        <v>2035</v>
      </c>
      <c r="B122" s="2">
        <f>B12/'Output-Calculation-sheet'!B11*'Output-Calculation-sheet'!B101</f>
        <v>60667811710.15657</v>
      </c>
      <c r="C122" s="2">
        <f>C12/'Output-Calculation-sheet'!C11*'Output-Calculation-sheet'!C101</f>
        <v>0</v>
      </c>
      <c r="D122" s="2">
        <f>D12/'Output-Calculation-sheet'!D11*'Output-Calculation-sheet'!D101</f>
        <v>42454369955.01049</v>
      </c>
      <c r="E122" s="2">
        <f>E12/'Output-Calculation-sheet'!E11*'Output-Calculation-sheet'!E101</f>
        <v>32969671591.037483</v>
      </c>
      <c r="F122" s="2">
        <f>F12/'Output-Calculation-sheet'!F11*'Output-Calculation-sheet'!F101</f>
        <v>22460699713.294182</v>
      </c>
      <c r="G122" s="2">
        <f>G12/'Output-Calculation-sheet'!G11*'Output-Calculation-sheet'!G101</f>
        <v>15218873409.423006</v>
      </c>
      <c r="H122" s="2">
        <f>H12/'Output-Calculation-sheet'!H11*'Output-Calculation-sheet'!H101</f>
        <v>0</v>
      </c>
      <c r="I122" s="2">
        <f>I12/'Output-Calculation-sheet'!I11*'Output-Calculation-sheet'!I101</f>
        <v>13964509693.776217</v>
      </c>
      <c r="J122" s="2">
        <f>J12/'Output-Calculation-sheet'!J11*'Output-Calculation-sheet'!J101</f>
        <v>13979755019.292309</v>
      </c>
      <c r="K122" s="2">
        <f>K12/'Output-Calculation-sheet'!K11*'Output-Calculation-sheet'!K101</f>
        <v>13724950575.565422</v>
      </c>
      <c r="L122" s="2">
        <f>L12/'Output-Calculation-sheet'!L11*'Output-Calculation-sheet'!L101</f>
        <v>9942834446.1735382</v>
      </c>
      <c r="M122" s="2">
        <f>M12/'Output-Calculation-sheet'!M11*'Output-Calculation-sheet'!M101</f>
        <v>0</v>
      </c>
      <c r="N122" s="2">
        <f>N12/'Output-Calculation-sheet'!N11*'Output-Calculation-sheet'!N101</f>
        <v>2895061270.079874</v>
      </c>
      <c r="O122" s="2">
        <f>O12/'Output-Calculation-sheet'!O11*'Output-Calculation-sheet'!O101</f>
        <v>0</v>
      </c>
      <c r="P122" s="2">
        <f>P12/'Output-Calculation-sheet'!P11*'Output-Calculation-sheet'!P101</f>
        <v>9229475515.6771564</v>
      </c>
      <c r="Q122" s="2">
        <f>Q12/'Output-Calculation-sheet'!Q11*'Output-Calculation-sheet'!Q101</f>
        <v>7461556535.8928537</v>
      </c>
      <c r="R122" s="2">
        <f>R12/'Output-Calculation-sheet'!R11*'Output-Calculation-sheet'!R101</f>
        <v>9141822748.9502869</v>
      </c>
      <c r="S122" s="2">
        <f>S12/'Output-Calculation-sheet'!S11*'Output-Calculation-sheet'!S101</f>
        <v>2186704613.3347716</v>
      </c>
      <c r="T122" s="2">
        <f>T12/'Output-Calculation-sheet'!T11*'Output-Calculation-sheet'!T101</f>
        <v>3411418373.6983175</v>
      </c>
      <c r="U122" s="2">
        <f>U12/'Output-Calculation-sheet'!U11*'Output-Calculation-sheet'!U101</f>
        <v>2694309578.2052174</v>
      </c>
      <c r="V122" s="2">
        <f>V12/'Output-Calculation-sheet'!V11*'Output-Calculation-sheet'!V101</f>
        <v>2346118227.0902386</v>
      </c>
      <c r="W122" s="2">
        <f>W12/'Output-Calculation-sheet'!W11*'Output-Calculation-sheet'!W101</f>
        <v>1977246093.7515824</v>
      </c>
      <c r="X122" s="2">
        <f>X12/'Output-Calculation-sheet'!X11*'Output-Calculation-sheet'!X101</f>
        <v>69715271.24490355</v>
      </c>
      <c r="Y122" s="2">
        <f>Y12/'Output-Calculation-sheet'!Y11*'Output-Calculation-sheet'!Y101</f>
        <v>1044467745.6347442</v>
      </c>
      <c r="AA122" s="2">
        <f t="shared" si="10"/>
        <v>267841.37208728911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30157216879.004772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6319890156.9000664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243467.27663728897</v>
      </c>
    </row>
    <row r="129" spans="1:27" x14ac:dyDescent="0.25">
      <c r="A129" s="2">
        <v>2031</v>
      </c>
      <c r="B129" s="2">
        <f>B8/'Output-Calculation-sheet'!B7*'Output-Calculation-sheet'!B106</f>
        <v>57040499718.386803</v>
      </c>
      <c r="C129" s="2">
        <f>C8/'Output-Calculation-sheet'!C7*'Output-Calculation-sheet'!C106</f>
        <v>33432485265.343842</v>
      </c>
      <c r="D129" s="2">
        <f>D8/'Output-Calculation-sheet'!D7*'Output-Calculation-sheet'!D106</f>
        <v>23957666718.709877</v>
      </c>
      <c r="E129" s="2">
        <f>E8/'Output-Calculation-sheet'!E7*'Output-Calculation-sheet'!E106</f>
        <v>19007977393.978931</v>
      </c>
      <c r="F129" s="2">
        <f>F8/'Output-Calculation-sheet'!F7*'Output-Calculation-sheet'!F106</f>
        <v>12236117143.169874</v>
      </c>
      <c r="G129" s="2">
        <f>G8/'Output-Calculation-sheet'!G7*'Output-Calculation-sheet'!G106</f>
        <v>8597431715.9622097</v>
      </c>
      <c r="H129" s="2">
        <f>H8/'Output-Calculation-sheet'!H7*'Output-Calculation-sheet'!H106</f>
        <v>8386464611.1730375</v>
      </c>
      <c r="I129" s="2">
        <f>I8/'Output-Calculation-sheet'!I7*'Output-Calculation-sheet'!I106</f>
        <v>7832937059.0034523</v>
      </c>
      <c r="J129" s="2">
        <f>J8/'Output-Calculation-sheet'!J7*'Output-Calculation-sheet'!J106</f>
        <v>7624041433.4002275</v>
      </c>
      <c r="K129" s="2">
        <f>K8/'Output-Calculation-sheet'!K7*'Output-Calculation-sheet'!K106</f>
        <v>7550949840.1763783</v>
      </c>
      <c r="L129" s="2">
        <f>L8/'Output-Calculation-sheet'!L7*'Output-Calculation-sheet'!L106</f>
        <v>6057470145.0646954</v>
      </c>
      <c r="M129" s="2">
        <f>M8/'Output-Calculation-sheet'!M7*'Output-Calculation-sheet'!M106</f>
        <v>5785929507.5838957</v>
      </c>
      <c r="N129" s="2">
        <f>N8/'Output-Calculation-sheet'!N7*'Output-Calculation-sheet'!N106</f>
        <v>5678874201.7507458</v>
      </c>
      <c r="O129" s="2">
        <f>O8/'Output-Calculation-sheet'!O7*'Output-Calculation-sheet'!O106</f>
        <v>7283613617.2523985</v>
      </c>
      <c r="P129" s="2">
        <f>P8/'Output-Calculation-sheet'!P7*'Output-Calculation-sheet'!P106</f>
        <v>5169738458.9422817</v>
      </c>
      <c r="Q129" s="2">
        <f>Q8/'Output-Calculation-sheet'!Q7*'Output-Calculation-sheet'!Q106</f>
        <v>5086186166.2645416</v>
      </c>
      <c r="R129" s="2">
        <f>R8/'Output-Calculation-sheet'!R7*'Output-Calculation-sheet'!R106</f>
        <v>4893145007.0474663</v>
      </c>
      <c r="S129" s="2">
        <f>S8/'Output-Calculation-sheet'!S7*'Output-Calculation-sheet'!S106</f>
        <v>3252234836.1568804</v>
      </c>
      <c r="T129" s="2">
        <f>T8/'Output-Calculation-sheet'!T7*'Output-Calculation-sheet'!T106</f>
        <v>1798678381.2505748</v>
      </c>
      <c r="U129" s="2">
        <f>U8/'Output-Calculation-sheet'!U7*'Output-Calculation-sheet'!U106</f>
        <v>1566587104.2103579</v>
      </c>
      <c r="V129" s="2">
        <f>V8/'Output-Calculation-sheet'!V7*'Output-Calculation-sheet'!V106</f>
        <v>1206303876.0148153</v>
      </c>
      <c r="W129" s="2">
        <f>W8/'Output-Calculation-sheet'!W7*'Output-Calculation-sheet'!W106</f>
        <v>1044391402.4870452</v>
      </c>
      <c r="X129" s="2">
        <f>X8/'Output-Calculation-sheet'!X7*'Output-Calculation-sheet'!X106</f>
        <v>626634964.72027707</v>
      </c>
      <c r="Y129" s="2">
        <f>Y8/'Output-Calculation-sheet'!Y7*'Output-Calculation-sheet'!Y106</f>
        <v>609396355.36025608</v>
      </c>
      <c r="AA129" s="2">
        <f t="shared" si="11"/>
        <v>235725.75492341086</v>
      </c>
    </row>
    <row r="130" spans="1:27" x14ac:dyDescent="0.25">
      <c r="A130" s="2">
        <v>2032</v>
      </c>
      <c r="B130" s="2">
        <f>B9/'Output-Calculation-sheet'!B8*'Output-Calculation-sheet'!B107</f>
        <v>46603510939.253044</v>
      </c>
      <c r="C130" s="2">
        <f>C9/'Output-Calculation-sheet'!C8*'Output-Calculation-sheet'!C107</f>
        <v>35047097706.395744</v>
      </c>
      <c r="D130" s="2">
        <f>D9/'Output-Calculation-sheet'!D8*'Output-Calculation-sheet'!D107</f>
        <v>19574006148.909683</v>
      </c>
      <c r="E130" s="2">
        <f>E9/'Output-Calculation-sheet'!E8*'Output-Calculation-sheet'!E107</f>
        <v>15529985541.570429</v>
      </c>
      <c r="F130" s="2">
        <f>F9/'Output-Calculation-sheet'!F8*'Output-Calculation-sheet'!F107</f>
        <v>9997214139.8961849</v>
      </c>
      <c r="G130" s="2">
        <f>G9/'Output-Calculation-sheet'!G8*'Output-Calculation-sheet'!G107</f>
        <v>7024317059.2092857</v>
      </c>
      <c r="H130" s="2">
        <f>H9/'Output-Calculation-sheet'!H8*'Output-Calculation-sheet'!H107</f>
        <v>6851949865.6128492</v>
      </c>
      <c r="I130" s="2">
        <f>I9/'Output-Calculation-sheet'!I8*'Output-Calculation-sheet'!I107</f>
        <v>6399704931.414855</v>
      </c>
      <c r="J130" s="2">
        <f>J9/'Output-Calculation-sheet'!J8*'Output-Calculation-sheet'!J107</f>
        <v>6229029565.9295368</v>
      </c>
      <c r="K130" s="2">
        <f>K9/'Output-Calculation-sheet'!K8*'Output-Calculation-sheet'!K107</f>
        <v>6169313547.6558161</v>
      </c>
      <c r="L130" s="2">
        <f>L9/'Output-Calculation-sheet'!L8*'Output-Calculation-sheet'!L107</f>
        <v>4949104189.1374855</v>
      </c>
      <c r="M130" s="2">
        <f>M9/'Output-Calculation-sheet'!M8*'Output-Calculation-sheet'!M107</f>
        <v>4727249321.1395063</v>
      </c>
      <c r="N130" s="2">
        <f>N9/'Output-Calculation-sheet'!N8*'Output-Calculation-sheet'!N107</f>
        <v>4639779459.984066</v>
      </c>
      <c r="O130" s="2">
        <f>O9/'Output-Calculation-sheet'!O8*'Output-Calculation-sheet'!O107</f>
        <v>7631963501.7918835</v>
      </c>
      <c r="P130" s="2">
        <f>P9/'Output-Calculation-sheet'!P8*'Output-Calculation-sheet'!P107</f>
        <v>4223804158.0086131</v>
      </c>
      <c r="Q130" s="2">
        <f>Q9/'Output-Calculation-sheet'!Q8*'Output-Calculation-sheet'!Q107</f>
        <v>4155541988.8388295</v>
      </c>
      <c r="R130" s="2">
        <f>R9/'Output-Calculation-sheet'!R8*'Output-Calculation-sheet'!R107</f>
        <v>3997822033.7393894</v>
      </c>
      <c r="S130" s="2">
        <f>S9/'Output-Calculation-sheet'!S8*'Output-Calculation-sheet'!S107</f>
        <v>2657156974.1155806</v>
      </c>
      <c r="T130" s="2">
        <f>T9/'Output-Calculation-sheet'!T8*'Output-Calculation-sheet'!T107</f>
        <v>1469565100.4066472</v>
      </c>
      <c r="U130" s="2">
        <f>U9/'Output-Calculation-sheet'!U8*'Output-Calculation-sheet'!U107</f>
        <v>1279940570.4120135</v>
      </c>
      <c r="V130" s="2">
        <f>V9/'Output-Calculation-sheet'!V8*'Output-Calculation-sheet'!V107</f>
        <v>985579837.75958395</v>
      </c>
      <c r="W130" s="2">
        <f>W9/'Output-Calculation-sheet'!W8*'Output-Calculation-sheet'!W107</f>
        <v>853293937.08084607</v>
      </c>
      <c r="X130" s="2">
        <f>X9/'Output-Calculation-sheet'!X8*'Output-Calculation-sheet'!X107</f>
        <v>511976261.79272753</v>
      </c>
      <c r="Y130" s="2">
        <f>Y9/'Output-Calculation-sheet'!Y8*'Output-Calculation-sheet'!Y107</f>
        <v>497891892.16393811</v>
      </c>
      <c r="AA130" s="2">
        <f t="shared" si="11"/>
        <v>202006.79867221852</v>
      </c>
    </row>
    <row r="131" spans="1:27" x14ac:dyDescent="0.25">
      <c r="A131" s="2">
        <v>2033</v>
      </c>
      <c r="B131" s="2">
        <f>B10/'Output-Calculation-sheet'!B9*'Output-Calculation-sheet'!B108</f>
        <v>31737295875.111378</v>
      </c>
      <c r="C131" s="2">
        <f>C10/'Output-Calculation-sheet'!C9*'Output-Calculation-sheet'!C108</f>
        <v>33210772761.491707</v>
      </c>
      <c r="D131" s="2">
        <f>D10/'Output-Calculation-sheet'!D9*'Output-Calculation-sheet'!D108</f>
        <v>13330029736.459631</v>
      </c>
      <c r="E131" s="2">
        <f>E10/'Output-Calculation-sheet'!E9*'Output-Calculation-sheet'!E108</f>
        <v>10576021773.489704</v>
      </c>
      <c r="F131" s="2">
        <f>F10/'Output-Calculation-sheet'!F9*'Output-Calculation-sheet'!F108</f>
        <v>6808164732.4626799</v>
      </c>
      <c r="G131" s="2">
        <f>G10/'Output-Calculation-sheet'!G9*'Output-Calculation-sheet'!G108</f>
        <v>4783603386.0661926</v>
      </c>
      <c r="H131" s="2">
        <f>H10/'Output-Calculation-sheet'!H9*'Output-Calculation-sheet'!H108</f>
        <v>4666221475.9610634</v>
      </c>
      <c r="I131" s="2">
        <f>I10/'Output-Calculation-sheet'!I9*'Output-Calculation-sheet'!I108</f>
        <v>4358240917.5930471</v>
      </c>
      <c r="J131" s="2">
        <f>J10/'Output-Calculation-sheet'!J9*'Output-Calculation-sheet'!J108</f>
        <v>4242009895.6541204</v>
      </c>
      <c r="K131" s="2">
        <f>K10/'Output-Calculation-sheet'!K9*'Output-Calculation-sheet'!K108</f>
        <v>4201341797.9721785</v>
      </c>
      <c r="L131" s="2">
        <f>L10/'Output-Calculation-sheet'!L9*'Output-Calculation-sheet'!L108</f>
        <v>3370372333.1508288</v>
      </c>
      <c r="M131" s="2">
        <f>M10/'Output-Calculation-sheet'!M9*'Output-Calculation-sheet'!M108</f>
        <v>3219286049.4177241</v>
      </c>
      <c r="N131" s="2">
        <f>N10/'Output-Calculation-sheet'!N9*'Output-Calculation-sheet'!N108</f>
        <v>3159719347.7077856</v>
      </c>
      <c r="O131" s="2">
        <f>O10/'Output-Calculation-sheet'!O9*'Output-Calculation-sheet'!O108</f>
        <v>7483044246.6360502</v>
      </c>
      <c r="P131" s="2">
        <f>P10/'Output-Calculation-sheet'!P9*'Output-Calculation-sheet'!P108</f>
        <v>2876439027.2998662</v>
      </c>
      <c r="Q131" s="2">
        <f>Q10/'Output-Calculation-sheet'!Q9*'Output-Calculation-sheet'!Q108</f>
        <v>2829950547.3458934</v>
      </c>
      <c r="R131" s="2">
        <f>R10/'Output-Calculation-sheet'!R9*'Output-Calculation-sheet'!R108</f>
        <v>2722541544.6763444</v>
      </c>
      <c r="S131" s="2">
        <f>S10/'Output-Calculation-sheet'!S9*'Output-Calculation-sheet'!S108</f>
        <v>1809541281.9704149</v>
      </c>
      <c r="T131" s="2">
        <f>T10/'Output-Calculation-sheet'!T9*'Output-Calculation-sheet'!T108</f>
        <v>1000782663.3980981</v>
      </c>
      <c r="U131" s="2">
        <f>U10/'Output-Calculation-sheet'!U9*'Output-Calculation-sheet'!U108</f>
        <v>871647676.17227805</v>
      </c>
      <c r="V131" s="2">
        <f>V10/'Output-Calculation-sheet'!V9*'Output-Calculation-sheet'!V108</f>
        <v>671186143.42293596</v>
      </c>
      <c r="W131" s="2">
        <f>W10/'Output-Calculation-sheet'!W9*'Output-Calculation-sheet'!W108</f>
        <v>581098450.60354888</v>
      </c>
      <c r="X131" s="2">
        <f>X10/'Output-Calculation-sheet'!X9*'Output-Calculation-sheet'!X108</f>
        <v>348659002.25700659</v>
      </c>
      <c r="Y131" s="2">
        <f>Y10/'Output-Calculation-sheet'!Y9*'Output-Calculation-sheet'!Y108</f>
        <v>339067460.07014084</v>
      </c>
      <c r="AA131" s="2">
        <f t="shared" si="11"/>
        <v>149197.0381263906</v>
      </c>
    </row>
    <row r="132" spans="1:27" x14ac:dyDescent="0.25">
      <c r="A132" s="2">
        <v>2034</v>
      </c>
      <c r="B132" s="2">
        <f>B11/'Output-Calculation-sheet'!B10*'Output-Calculation-sheet'!B109</f>
        <v>15388779599.613768</v>
      </c>
      <c r="C132" s="2">
        <f>C11/'Output-Calculation-sheet'!C10*'Output-Calculation-sheet'!C109</f>
        <v>28453714000.450436</v>
      </c>
      <c r="D132" s="2">
        <f>D11/'Output-Calculation-sheet'!D10*'Output-Calculation-sheet'!D109</f>
        <v>6463464638.3618679</v>
      </c>
      <c r="E132" s="2">
        <f>E11/'Output-Calculation-sheet'!E10*'Output-Calculation-sheet'!E109</f>
        <v>5128102897.9766893</v>
      </c>
      <c r="F132" s="2">
        <f>F11/'Output-Calculation-sheet'!F10*'Output-Calculation-sheet'!F109</f>
        <v>3301143855.6186471</v>
      </c>
      <c r="G132" s="2">
        <f>G11/'Output-Calculation-sheet'!G10*'Output-Calculation-sheet'!G109</f>
        <v>2319474632.8938169</v>
      </c>
      <c r="H132" s="2">
        <f>H11/'Output-Calculation-sheet'!H10*'Output-Calculation-sheet'!H109</f>
        <v>2748662220.9568233</v>
      </c>
      <c r="I132" s="2">
        <f>I11/'Output-Calculation-sheet'!I10*'Output-Calculation-sheet'!I109</f>
        <v>2113223805.8804243</v>
      </c>
      <c r="J132" s="2">
        <f>J11/'Output-Calculation-sheet'!J10*'Output-Calculation-sheet'!J109</f>
        <v>2056866021.3163469</v>
      </c>
      <c r="K132" s="2">
        <f>K11/'Output-Calculation-sheet'!K10*'Output-Calculation-sheet'!K109</f>
        <v>2037147511.6083927</v>
      </c>
      <c r="L132" s="2">
        <f>L11/'Output-Calculation-sheet'!L10*'Output-Calculation-sheet'!L109</f>
        <v>1634226347.5135314</v>
      </c>
      <c r="M132" s="2">
        <f>M11/'Output-Calculation-sheet'!M10*'Output-Calculation-sheet'!M109</f>
        <v>1560967864.1941416</v>
      </c>
      <c r="N132" s="2">
        <f>N11/'Output-Calculation-sheet'!N10*'Output-Calculation-sheet'!N109</f>
        <v>1532085628.6077175</v>
      </c>
      <c r="O132" s="2">
        <f>O11/'Output-Calculation-sheet'!O10*'Output-Calculation-sheet'!O109</f>
        <v>6752953870.2866278</v>
      </c>
      <c r="P132" s="2">
        <f>P11/'Output-Calculation-sheet'!P10*'Output-Calculation-sheet'!P109</f>
        <v>1394727713.9843409</v>
      </c>
      <c r="Q132" s="2">
        <f>Q11/'Output-Calculation-sheet'!Q10*'Output-Calculation-sheet'!Q109</f>
        <v>1717695920.6059983</v>
      </c>
      <c r="R132" s="2">
        <f>R11/'Output-Calculation-sheet'!R10*'Output-Calculation-sheet'!R109</f>
        <v>1320106526.47978</v>
      </c>
      <c r="S132" s="2">
        <f>S11/'Output-Calculation-sheet'!S10*'Output-Calculation-sheet'!S109</f>
        <v>877410490.54948997</v>
      </c>
      <c r="T132" s="2">
        <f>T11/'Output-Calculation-sheet'!T10*'Output-Calculation-sheet'!T109</f>
        <v>485259788.7042504</v>
      </c>
      <c r="U132" s="2">
        <f>U11/'Output-Calculation-sheet'!U10*'Output-Calculation-sheet'!U109</f>
        <v>533737630.17922693</v>
      </c>
      <c r="V132" s="2">
        <f>V11/'Output-Calculation-sheet'!V10*'Output-Calculation-sheet'!V109</f>
        <v>325444881.09772289</v>
      </c>
      <c r="W132" s="2">
        <f>W11/'Output-Calculation-sheet'!W10*'Output-Calculation-sheet'!W109</f>
        <v>281763141.29984337</v>
      </c>
      <c r="X132" s="2">
        <f>X11/'Output-Calculation-sheet'!X10*'Output-Calculation-sheet'!X109</f>
        <v>223732082.65015909</v>
      </c>
      <c r="Y132" s="2">
        <f>Y11/'Output-Calculation-sheet'!Y10*'Output-Calculation-sheet'!Y109</f>
        <v>164407128.02075016</v>
      </c>
      <c r="AA132" s="2">
        <f t="shared" si="11"/>
        <v>88815.098198850799</v>
      </c>
    </row>
    <row r="133" spans="1:27" x14ac:dyDescent="0.25">
      <c r="A133" s="2">
        <v>2035</v>
      </c>
      <c r="B133" s="2">
        <f>B12/'Output-Calculation-sheet'!B11*'Output-Calculation-sheet'!B110</f>
        <v>15266836764.741896</v>
      </c>
      <c r="C133" s="2">
        <f>C12/'Output-Calculation-sheet'!C11*'Output-Calculation-sheet'!C110</f>
        <v>19680863542.116619</v>
      </c>
      <c r="D133" s="2">
        <f>D12/'Output-Calculation-sheet'!D11*'Output-Calculation-sheet'!D110</f>
        <v>5805403088.152915</v>
      </c>
      <c r="E133" s="2">
        <f>E12/'Output-Calculation-sheet'!E11*'Output-Calculation-sheet'!E110</f>
        <v>2865439499.2843628</v>
      </c>
      <c r="F133" s="2">
        <f>F12/'Output-Calculation-sheet'!F11*'Output-Calculation-sheet'!F110</f>
        <v>2346948637.1046176</v>
      </c>
      <c r="G133" s="2">
        <f>G12/'Output-Calculation-sheet'!G11*'Output-Calculation-sheet'!G110</f>
        <v>2214941248.9081693</v>
      </c>
      <c r="H133" s="2">
        <f>H12/'Output-Calculation-sheet'!H11*'Output-Calculation-sheet'!H110</f>
        <v>2416803625.4264665</v>
      </c>
      <c r="I133" s="2">
        <f>I12/'Output-Calculation-sheet'!I11*'Output-Calculation-sheet'!I110</f>
        <v>1901053916.4810398</v>
      </c>
      <c r="J133" s="2">
        <f>J12/'Output-Calculation-sheet'!J11*'Output-Calculation-sheet'!J110</f>
        <v>1383263946.7964041</v>
      </c>
      <c r="K133" s="2">
        <f>K12/'Output-Calculation-sheet'!K11*'Output-Calculation-sheet'!K110</f>
        <v>1525872386.4307914</v>
      </c>
      <c r="L133" s="2">
        <f>L12/'Output-Calculation-sheet'!L11*'Output-Calculation-sheet'!L110</f>
        <v>667479708.79758751</v>
      </c>
      <c r="M133" s="2">
        <f>M12/'Output-Calculation-sheet'!M11*'Output-Calculation-sheet'!M110</f>
        <v>1329371946.9765823</v>
      </c>
      <c r="N133" s="2">
        <f>N12/'Output-Calculation-sheet'!N11*'Output-Calculation-sheet'!N110</f>
        <v>1208439234.174722</v>
      </c>
      <c r="O133" s="2">
        <f>O12/'Output-Calculation-sheet'!O11*'Output-Calculation-sheet'!O110</f>
        <v>5334122108.1713963</v>
      </c>
      <c r="P133" s="2">
        <f>P12/'Output-Calculation-sheet'!P11*'Output-Calculation-sheet'!P110</f>
        <v>1021834854.6551088</v>
      </c>
      <c r="Q133" s="2">
        <f>Q12/'Output-Calculation-sheet'!Q11*'Output-Calculation-sheet'!Q110</f>
        <v>1468580423.0538774</v>
      </c>
      <c r="R133" s="2">
        <f>R12/'Output-Calculation-sheet'!R11*'Output-Calculation-sheet'!R110</f>
        <v>768106368.86307907</v>
      </c>
      <c r="S133" s="2">
        <f>S12/'Output-Calculation-sheet'!S11*'Output-Calculation-sheet'!S110</f>
        <v>893361403.24840379</v>
      </c>
      <c r="T133" s="2">
        <f>T12/'Output-Calculation-sheet'!T11*'Output-Calculation-sheet'!T110</f>
        <v>213872962.45162898</v>
      </c>
      <c r="U133" s="2">
        <f>U12/'Output-Calculation-sheet'!U11*'Output-Calculation-sheet'!U110</f>
        <v>494979732.96463841</v>
      </c>
      <c r="V133" s="2">
        <f>V12/'Output-Calculation-sheet'!V11*'Output-Calculation-sheet'!V110</f>
        <v>74017485.343224213</v>
      </c>
      <c r="W133" s="2">
        <f>W12/'Output-Calculation-sheet'!W11*'Output-Calculation-sheet'!W110</f>
        <v>148276884.90676087</v>
      </c>
      <c r="X133" s="2">
        <f>X12/'Output-Calculation-sheet'!X11*'Output-Calculation-sheet'!X110</f>
        <v>206218305.46614802</v>
      </c>
      <c r="Y133" s="2">
        <f>Y12/'Output-Calculation-sheet'!Y11*'Output-Calculation-sheet'!Y110</f>
        <v>145613070.15127093</v>
      </c>
      <c r="AA133" s="2">
        <f t="shared" si="11"/>
        <v>69381.701144667706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23.391999999999999</v>
      </c>
      <c r="C13" s="7">
        <v>0</v>
      </c>
      <c r="D13" s="7">
        <v>9.9390000000000001</v>
      </c>
      <c r="E13" s="7">
        <v>13.455</v>
      </c>
      <c r="F13" s="7">
        <v>10.794</v>
      </c>
      <c r="G13" s="7">
        <v>9.8490000000000002</v>
      </c>
      <c r="H13" s="7">
        <v>0</v>
      </c>
      <c r="I13" s="7">
        <v>10.675000000000001</v>
      </c>
      <c r="J13" s="7">
        <v>9.6020000000000003</v>
      </c>
      <c r="K13" s="7">
        <v>12.909000000000001</v>
      </c>
      <c r="L13" s="7">
        <v>13.712999999999999</v>
      </c>
      <c r="M13" s="7">
        <v>0</v>
      </c>
      <c r="N13" s="7">
        <v>28.24</v>
      </c>
      <c r="O13" s="7">
        <v>0</v>
      </c>
      <c r="P13" s="7">
        <v>18.675000000000001</v>
      </c>
      <c r="Q13" s="7">
        <v>21.914000000000001</v>
      </c>
      <c r="R13" s="7">
        <v>14.939</v>
      </c>
      <c r="S13" s="7">
        <v>26.134</v>
      </c>
      <c r="T13" s="7">
        <v>12.239000000000001</v>
      </c>
      <c r="U13" s="7">
        <v>14.048999999999999</v>
      </c>
      <c r="V13" s="7">
        <v>14.18</v>
      </c>
      <c r="W13" s="7">
        <v>9.9320000000000004</v>
      </c>
      <c r="X13" s="7">
        <v>0</v>
      </c>
      <c r="Y13" s="7">
        <v>14.552</v>
      </c>
    </row>
    <row r="14" spans="1:25" ht="28.5" customHeight="1" x14ac:dyDescent="0.25">
      <c r="A14" s="4"/>
      <c r="B14" s="7">
        <v>46.784999999999997</v>
      </c>
      <c r="C14" s="7">
        <v>0</v>
      </c>
      <c r="D14" s="7">
        <v>19.876999999999999</v>
      </c>
      <c r="E14" s="7">
        <v>26.911000000000001</v>
      </c>
      <c r="F14" s="7">
        <v>21.587</v>
      </c>
      <c r="G14" s="7">
        <v>19.698</v>
      </c>
      <c r="H14" s="7">
        <v>0</v>
      </c>
      <c r="I14" s="7">
        <v>21.35</v>
      </c>
      <c r="J14" s="7">
        <v>19.202999999999999</v>
      </c>
      <c r="K14" s="7">
        <v>25.818000000000001</v>
      </c>
      <c r="L14" s="7">
        <v>27.425999999999998</v>
      </c>
      <c r="M14" s="7">
        <v>0</v>
      </c>
      <c r="N14" s="7">
        <v>56.481000000000002</v>
      </c>
      <c r="O14" s="7">
        <v>0</v>
      </c>
      <c r="P14" s="7">
        <v>37.35</v>
      </c>
      <c r="Q14" s="7">
        <v>43.829000000000001</v>
      </c>
      <c r="R14" s="7">
        <v>29.878</v>
      </c>
      <c r="S14" s="7">
        <v>52.268999999999998</v>
      </c>
      <c r="T14" s="7">
        <v>24.478000000000002</v>
      </c>
      <c r="U14" s="7">
        <v>28.097000000000001</v>
      </c>
      <c r="V14" s="7">
        <v>28.359000000000002</v>
      </c>
      <c r="W14" s="7">
        <v>19.864999999999998</v>
      </c>
      <c r="X14" s="7">
        <v>0</v>
      </c>
      <c r="Y14" s="7">
        <v>29.103999999999999</v>
      </c>
    </row>
    <row r="15" spans="1:25" ht="28.5" customHeight="1" x14ac:dyDescent="0.25">
      <c r="A15" s="4"/>
      <c r="B15" s="7">
        <v>71.661000000000001</v>
      </c>
      <c r="C15" s="7">
        <v>0</v>
      </c>
      <c r="D15" s="7">
        <v>29.815999999999999</v>
      </c>
      <c r="E15" s="7">
        <v>40.366</v>
      </c>
      <c r="F15" s="7">
        <v>32.381</v>
      </c>
      <c r="G15" s="7">
        <v>29.547000000000001</v>
      </c>
      <c r="H15" s="7">
        <v>0</v>
      </c>
      <c r="I15" s="7">
        <v>32.024999999999999</v>
      </c>
      <c r="J15" s="7">
        <v>28.805</v>
      </c>
      <c r="K15" s="7">
        <v>38.728000000000002</v>
      </c>
      <c r="L15" s="7">
        <v>41.14</v>
      </c>
      <c r="M15" s="7">
        <v>0</v>
      </c>
      <c r="N15" s="7">
        <v>56.948999999999998</v>
      </c>
      <c r="O15" s="7">
        <v>0</v>
      </c>
      <c r="P15" s="7">
        <v>56.024999999999999</v>
      </c>
      <c r="Q15" s="7">
        <v>66.563999999999993</v>
      </c>
      <c r="R15" s="7">
        <v>44.817</v>
      </c>
      <c r="S15" s="7">
        <v>70.165000000000006</v>
      </c>
      <c r="T15" s="7">
        <v>36.716999999999999</v>
      </c>
      <c r="U15" s="7">
        <v>42.146000000000001</v>
      </c>
      <c r="V15" s="7">
        <v>42.539000000000001</v>
      </c>
      <c r="W15" s="7">
        <v>29.797000000000001</v>
      </c>
      <c r="X15" s="7">
        <v>0</v>
      </c>
      <c r="Y15" s="7">
        <v>43.655999999999999</v>
      </c>
    </row>
    <row r="16" spans="1:25" ht="28.5" customHeight="1" x14ac:dyDescent="0.25">
      <c r="A16" s="4"/>
      <c r="B16" s="7">
        <v>99.262</v>
      </c>
      <c r="C16" s="7">
        <v>0</v>
      </c>
      <c r="D16" s="7">
        <v>39.755000000000003</v>
      </c>
      <c r="E16" s="7">
        <v>53.822000000000003</v>
      </c>
      <c r="F16" s="7">
        <v>43.173999999999999</v>
      </c>
      <c r="G16" s="7">
        <v>39.396000000000001</v>
      </c>
      <c r="H16" s="7">
        <v>0</v>
      </c>
      <c r="I16" s="7">
        <v>42.698999999999998</v>
      </c>
      <c r="J16" s="7">
        <v>38.406999999999996</v>
      </c>
      <c r="K16" s="7">
        <v>51.637</v>
      </c>
      <c r="L16" s="7">
        <v>54.853000000000002</v>
      </c>
      <c r="M16" s="7">
        <v>0</v>
      </c>
      <c r="N16" s="7">
        <v>83.596000000000004</v>
      </c>
      <c r="O16" s="7">
        <v>0</v>
      </c>
      <c r="P16" s="7">
        <v>81.328999999999994</v>
      </c>
      <c r="Q16" s="7">
        <v>94.301000000000002</v>
      </c>
      <c r="R16" s="7">
        <v>60.335999999999999</v>
      </c>
      <c r="S16" s="7">
        <v>91.974999999999994</v>
      </c>
      <c r="T16" s="7">
        <v>48.956000000000003</v>
      </c>
      <c r="U16" s="7">
        <v>56.194000000000003</v>
      </c>
      <c r="V16" s="7">
        <v>56.718000000000004</v>
      </c>
      <c r="W16" s="7">
        <v>39.728999999999999</v>
      </c>
      <c r="X16" s="7">
        <v>0</v>
      </c>
      <c r="Y16" s="7">
        <v>58.27</v>
      </c>
    </row>
    <row r="17" spans="1:25" ht="28.5" customHeight="1" x14ac:dyDescent="0.25">
      <c r="A17" s="4"/>
      <c r="B17" s="7">
        <v>124.574</v>
      </c>
      <c r="C17" s="7">
        <v>0</v>
      </c>
      <c r="D17" s="7">
        <v>49.692999999999998</v>
      </c>
      <c r="E17" s="7">
        <v>73.492999999999995</v>
      </c>
      <c r="F17" s="7">
        <v>53.968000000000004</v>
      </c>
      <c r="G17" s="7">
        <v>49.244999999999997</v>
      </c>
      <c r="H17" s="7">
        <v>0</v>
      </c>
      <c r="I17" s="7">
        <v>53.374000000000002</v>
      </c>
      <c r="J17" s="7">
        <v>48.009</v>
      </c>
      <c r="K17" s="7">
        <v>68.826999999999998</v>
      </c>
      <c r="L17" s="7">
        <v>73.819000000000003</v>
      </c>
      <c r="M17" s="7">
        <v>0</v>
      </c>
      <c r="N17" s="7">
        <v>86.100999999999999</v>
      </c>
      <c r="O17" s="7">
        <v>0</v>
      </c>
      <c r="P17" s="7">
        <v>115.67700000000001</v>
      </c>
      <c r="Q17" s="7">
        <v>130.03200000000001</v>
      </c>
      <c r="R17" s="7">
        <v>85.787000000000006</v>
      </c>
      <c r="S17" s="7">
        <v>112.283</v>
      </c>
      <c r="T17" s="7">
        <v>62.921999999999997</v>
      </c>
      <c r="U17" s="7">
        <v>83.158000000000001</v>
      </c>
      <c r="V17" s="7">
        <v>77.244</v>
      </c>
      <c r="W17" s="7">
        <v>49.661999999999999</v>
      </c>
      <c r="X17" s="7">
        <v>0</v>
      </c>
      <c r="Y17" s="7">
        <v>83.150999999999996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83.322999999999993</v>
      </c>
      <c r="O18" s="7">
        <v>0</v>
      </c>
      <c r="P18" s="7">
        <v>145.17099999999999</v>
      </c>
      <c r="Q18" s="7">
        <v>166.798</v>
      </c>
      <c r="R18" s="7">
        <v>110.82</v>
      </c>
      <c r="S18" s="7">
        <v>109.938</v>
      </c>
      <c r="T18" s="7">
        <v>87.435000000000002</v>
      </c>
      <c r="U18" s="7">
        <v>111.19199999999999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127.788</v>
      </c>
      <c r="C19" s="7">
        <v>0</v>
      </c>
      <c r="D19" s="7">
        <v>90.817999999999998</v>
      </c>
      <c r="E19" s="7">
        <v>141.114</v>
      </c>
      <c r="F19" s="7">
        <v>103.09099999999999</v>
      </c>
      <c r="G19" s="7">
        <v>86.034999999999997</v>
      </c>
      <c r="H19" s="7">
        <v>0</v>
      </c>
      <c r="I19" s="7">
        <v>104.517</v>
      </c>
      <c r="J19" s="7">
        <v>89.186000000000007</v>
      </c>
      <c r="K19" s="7">
        <v>124.598</v>
      </c>
      <c r="L19" s="7">
        <v>127.56399999999999</v>
      </c>
      <c r="M19" s="7">
        <v>0</v>
      </c>
      <c r="N19" s="7">
        <v>77.31</v>
      </c>
      <c r="O19" s="7">
        <v>0</v>
      </c>
      <c r="P19" s="7">
        <v>184.27</v>
      </c>
      <c r="Q19" s="7">
        <v>158.27500000000001</v>
      </c>
      <c r="R19" s="7">
        <v>139.77699999999999</v>
      </c>
      <c r="S19" s="7">
        <v>99.028999999999996</v>
      </c>
      <c r="T19" s="7">
        <v>110.86799999999999</v>
      </c>
      <c r="U19" s="7">
        <v>136.6</v>
      </c>
      <c r="V19" s="7">
        <v>129.648</v>
      </c>
      <c r="W19" s="7">
        <v>93.373000000000005</v>
      </c>
      <c r="X19" s="7">
        <v>40.332000000000001</v>
      </c>
      <c r="Y19" s="7">
        <v>145.61099999999999</v>
      </c>
    </row>
    <row r="20" spans="1:25" ht="28.5" customHeight="1" x14ac:dyDescent="0.25">
      <c r="A20" s="4"/>
      <c r="B20" s="7">
        <v>118.997</v>
      </c>
      <c r="C20" s="7">
        <v>0</v>
      </c>
      <c r="D20" s="7">
        <v>91.096000000000004</v>
      </c>
      <c r="E20" s="7">
        <v>127.364</v>
      </c>
      <c r="F20" s="7">
        <v>113.271</v>
      </c>
      <c r="G20" s="7">
        <v>85.194000000000003</v>
      </c>
      <c r="H20" s="7">
        <v>0</v>
      </c>
      <c r="I20" s="7">
        <v>105.30500000000001</v>
      </c>
      <c r="J20" s="7">
        <v>98.626000000000005</v>
      </c>
      <c r="K20" s="7">
        <v>132.07400000000001</v>
      </c>
      <c r="L20" s="7">
        <v>132.554</v>
      </c>
      <c r="M20" s="7">
        <v>0</v>
      </c>
      <c r="N20" s="7">
        <v>76.266999999999996</v>
      </c>
      <c r="O20" s="7">
        <v>0</v>
      </c>
      <c r="P20" s="7">
        <v>175.83799999999999</v>
      </c>
      <c r="Q20" s="7">
        <v>154.626</v>
      </c>
      <c r="R20" s="7">
        <v>157.06800000000001</v>
      </c>
      <c r="S20" s="7">
        <v>90.942999999999998</v>
      </c>
      <c r="T20" s="7">
        <v>128.77000000000001</v>
      </c>
      <c r="U20" s="7">
        <v>136.29400000000001</v>
      </c>
      <c r="V20" s="7">
        <v>174.02799999999999</v>
      </c>
      <c r="W20" s="7">
        <v>109.044</v>
      </c>
      <c r="X20" s="7">
        <v>38.499000000000002</v>
      </c>
      <c r="Y20" s="7">
        <v>137.14599999999999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39.040999999999997</v>
      </c>
      <c r="D22" s="7">
        <v>0</v>
      </c>
      <c r="E22" s="7">
        <v>0</v>
      </c>
      <c r="F22" s="7">
        <v>0</v>
      </c>
      <c r="G22" s="7">
        <v>0</v>
      </c>
      <c r="H22" s="7">
        <v>39.567999999999998</v>
      </c>
      <c r="I22" s="7">
        <v>0</v>
      </c>
      <c r="J22" s="7">
        <v>0</v>
      </c>
      <c r="K22" s="7">
        <v>0</v>
      </c>
      <c r="L22" s="7">
        <v>0</v>
      </c>
      <c r="M22" s="7">
        <v>39.673000000000002</v>
      </c>
      <c r="N22" s="7">
        <v>0</v>
      </c>
      <c r="O22" s="7">
        <v>39.045999999999999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39.167000000000002</v>
      </c>
      <c r="Y22" s="7">
        <v>0</v>
      </c>
    </row>
    <row r="23" spans="1:25" x14ac:dyDescent="0.25">
      <c r="B23" s="7">
        <v>0</v>
      </c>
      <c r="C23" s="7">
        <v>83.481999999999999</v>
      </c>
      <c r="D23" s="7">
        <v>0</v>
      </c>
      <c r="E23" s="7">
        <v>0</v>
      </c>
      <c r="F23" s="7">
        <v>0</v>
      </c>
      <c r="G23" s="7">
        <v>0</v>
      </c>
      <c r="H23" s="7">
        <v>79.972999999999999</v>
      </c>
      <c r="I23" s="7">
        <v>0</v>
      </c>
      <c r="J23" s="7">
        <v>0</v>
      </c>
      <c r="K23" s="7">
        <v>0</v>
      </c>
      <c r="L23" s="7">
        <v>0</v>
      </c>
      <c r="M23" s="7">
        <v>80.228999999999999</v>
      </c>
      <c r="N23" s="7">
        <v>0</v>
      </c>
      <c r="O23" s="7">
        <v>84.019000000000005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81.319999999999993</v>
      </c>
      <c r="Y23" s="7">
        <v>0</v>
      </c>
    </row>
    <row r="24" spans="1:25" x14ac:dyDescent="0.25">
      <c r="B24" s="7">
        <v>0</v>
      </c>
      <c r="C24" s="7">
        <v>121.81699999999999</v>
      </c>
      <c r="D24" s="7">
        <v>0</v>
      </c>
      <c r="E24" s="7">
        <v>0</v>
      </c>
      <c r="F24" s="7">
        <v>0</v>
      </c>
      <c r="G24" s="7">
        <v>0</v>
      </c>
      <c r="H24" s="7">
        <v>131.00800000000001</v>
      </c>
      <c r="I24" s="7">
        <v>0</v>
      </c>
      <c r="J24" s="7">
        <v>0</v>
      </c>
      <c r="K24" s="7">
        <v>0</v>
      </c>
      <c r="L24" s="7">
        <v>0</v>
      </c>
      <c r="M24" s="7">
        <v>131.59800000000001</v>
      </c>
      <c r="N24" s="7">
        <v>41.491999999999997</v>
      </c>
      <c r="O24" s="7">
        <v>102.401</v>
      </c>
      <c r="P24" s="7">
        <v>0</v>
      </c>
      <c r="Q24" s="7">
        <v>0</v>
      </c>
      <c r="R24" s="7">
        <v>0</v>
      </c>
      <c r="S24" s="7">
        <v>15.824</v>
      </c>
      <c r="T24" s="7">
        <v>0</v>
      </c>
      <c r="U24" s="7">
        <v>0</v>
      </c>
      <c r="V24" s="7">
        <v>0</v>
      </c>
      <c r="W24" s="7">
        <v>0</v>
      </c>
      <c r="X24" s="7">
        <v>134.48599999999999</v>
      </c>
      <c r="Y24" s="7">
        <v>0</v>
      </c>
    </row>
    <row r="25" spans="1:25" x14ac:dyDescent="0.25">
      <c r="B25" s="7">
        <v>5.6950000000000003</v>
      </c>
      <c r="C25" s="7">
        <v>137.30699999999999</v>
      </c>
      <c r="D25" s="7">
        <v>0</v>
      </c>
      <c r="E25" s="7">
        <v>0</v>
      </c>
      <c r="F25" s="7">
        <v>0</v>
      </c>
      <c r="G25" s="7">
        <v>0</v>
      </c>
      <c r="H25" s="7">
        <v>174.88200000000001</v>
      </c>
      <c r="I25" s="7">
        <v>0</v>
      </c>
      <c r="J25" s="7">
        <v>0</v>
      </c>
      <c r="K25" s="7">
        <v>0</v>
      </c>
      <c r="L25" s="7">
        <v>0</v>
      </c>
      <c r="M25" s="7">
        <v>176.56100000000001</v>
      </c>
      <c r="N25" s="7">
        <v>61.517000000000003</v>
      </c>
      <c r="O25" s="7">
        <v>108.65600000000001</v>
      </c>
      <c r="P25" s="7">
        <v>0</v>
      </c>
      <c r="Q25" s="7">
        <v>0</v>
      </c>
      <c r="R25" s="7">
        <v>0</v>
      </c>
      <c r="S25" s="7">
        <v>38.292000000000002</v>
      </c>
      <c r="T25" s="7">
        <v>0</v>
      </c>
      <c r="U25" s="7">
        <v>0</v>
      </c>
      <c r="V25" s="7">
        <v>0</v>
      </c>
      <c r="W25" s="7">
        <v>0</v>
      </c>
      <c r="X25" s="7">
        <v>180.029</v>
      </c>
      <c r="Y25" s="7">
        <v>0</v>
      </c>
    </row>
    <row r="26" spans="1:25" x14ac:dyDescent="0.25">
      <c r="B26" s="7">
        <v>29.42</v>
      </c>
      <c r="C26" s="7">
        <v>146.59399999999999</v>
      </c>
      <c r="D26" s="7">
        <v>0</v>
      </c>
      <c r="E26" s="7">
        <v>0</v>
      </c>
      <c r="F26" s="7">
        <v>0</v>
      </c>
      <c r="G26" s="7">
        <v>0</v>
      </c>
      <c r="H26" s="7">
        <v>218.786</v>
      </c>
      <c r="I26" s="7">
        <v>0</v>
      </c>
      <c r="J26" s="7">
        <v>0</v>
      </c>
      <c r="K26" s="7">
        <v>0</v>
      </c>
      <c r="L26" s="7">
        <v>0</v>
      </c>
      <c r="M26" s="7">
        <v>221.22499999999999</v>
      </c>
      <c r="N26" s="7">
        <v>101.578</v>
      </c>
      <c r="O26" s="7">
        <v>119.55200000000001</v>
      </c>
      <c r="P26" s="7">
        <v>0</v>
      </c>
      <c r="Q26" s="7">
        <v>0</v>
      </c>
      <c r="R26" s="7">
        <v>0</v>
      </c>
      <c r="S26" s="7">
        <v>64.070999999999998</v>
      </c>
      <c r="T26" s="7">
        <v>0</v>
      </c>
      <c r="U26" s="7">
        <v>0</v>
      </c>
      <c r="V26" s="7">
        <v>0</v>
      </c>
      <c r="W26" s="7">
        <v>0</v>
      </c>
      <c r="X26" s="7">
        <v>225.607</v>
      </c>
      <c r="Y26" s="7">
        <v>0</v>
      </c>
    </row>
    <row r="27" spans="1:25" x14ac:dyDescent="0.25">
      <c r="B27" s="7">
        <v>66.608999999999995</v>
      </c>
      <c r="C27" s="7">
        <v>162.822</v>
      </c>
      <c r="D27" s="7">
        <v>0</v>
      </c>
      <c r="E27" s="7">
        <v>0</v>
      </c>
      <c r="F27" s="7">
        <v>0</v>
      </c>
      <c r="G27" s="7">
        <v>0</v>
      </c>
      <c r="H27" s="7">
        <v>263.56700000000001</v>
      </c>
      <c r="I27" s="7">
        <v>0</v>
      </c>
      <c r="J27" s="7">
        <v>0</v>
      </c>
      <c r="K27" s="7">
        <v>0</v>
      </c>
      <c r="L27" s="7">
        <v>0</v>
      </c>
      <c r="M27" s="7">
        <v>266.02300000000002</v>
      </c>
      <c r="N27" s="7">
        <v>148.05199999999999</v>
      </c>
      <c r="O27" s="7">
        <v>128.66</v>
      </c>
      <c r="P27" s="7">
        <v>0</v>
      </c>
      <c r="Q27" s="7">
        <v>11.481</v>
      </c>
      <c r="R27" s="7">
        <v>0</v>
      </c>
      <c r="S27" s="7">
        <v>112.44199999999999</v>
      </c>
      <c r="T27" s="7">
        <v>0</v>
      </c>
      <c r="U27" s="7">
        <v>0</v>
      </c>
      <c r="V27" s="7">
        <v>0</v>
      </c>
      <c r="W27" s="7">
        <v>0</v>
      </c>
      <c r="X27" s="7">
        <v>285.17399999999998</v>
      </c>
      <c r="Y27" s="7">
        <v>0</v>
      </c>
    </row>
    <row r="28" spans="1:25" x14ac:dyDescent="0.25">
      <c r="B28" s="7">
        <v>126.693</v>
      </c>
      <c r="C28" s="7">
        <v>187.636</v>
      </c>
      <c r="D28" s="7">
        <v>0</v>
      </c>
      <c r="E28" s="7">
        <v>19.693000000000001</v>
      </c>
      <c r="F28" s="7">
        <v>0</v>
      </c>
      <c r="G28" s="7">
        <v>0</v>
      </c>
      <c r="H28" s="7">
        <v>321.05399999999997</v>
      </c>
      <c r="I28" s="7">
        <v>0</v>
      </c>
      <c r="J28" s="7">
        <v>0</v>
      </c>
      <c r="K28" s="7">
        <v>0</v>
      </c>
      <c r="L28" s="7">
        <v>36.39</v>
      </c>
      <c r="M28" s="7">
        <v>348.815</v>
      </c>
      <c r="N28" s="7">
        <v>204.25</v>
      </c>
      <c r="O28" s="7">
        <v>145.42500000000001</v>
      </c>
      <c r="P28" s="7">
        <v>0</v>
      </c>
      <c r="Q28" s="7">
        <v>67.331000000000003</v>
      </c>
      <c r="R28" s="7">
        <v>0</v>
      </c>
      <c r="S28" s="7">
        <v>180.70099999999999</v>
      </c>
      <c r="T28" s="7">
        <v>0</v>
      </c>
      <c r="U28" s="7">
        <v>0</v>
      </c>
      <c r="V28" s="7">
        <v>0</v>
      </c>
      <c r="W28" s="7">
        <v>0</v>
      </c>
      <c r="X28" s="7">
        <v>306.23500000000001</v>
      </c>
      <c r="Y28" s="7">
        <v>33.113999999999997</v>
      </c>
    </row>
    <row r="29" spans="1:25" x14ac:dyDescent="0.25">
      <c r="B29" s="7">
        <v>130.095</v>
      </c>
      <c r="C29" s="7">
        <v>232.88800000000001</v>
      </c>
      <c r="D29" s="7">
        <v>0</v>
      </c>
      <c r="E29" s="7">
        <v>65.494</v>
      </c>
      <c r="F29" s="7">
        <v>0</v>
      </c>
      <c r="G29" s="7">
        <v>0</v>
      </c>
      <c r="H29" s="7">
        <v>328.38900000000001</v>
      </c>
      <c r="I29" s="7">
        <v>0</v>
      </c>
      <c r="J29" s="7">
        <v>0</v>
      </c>
      <c r="K29" s="7">
        <v>0</v>
      </c>
      <c r="L29" s="7">
        <v>74.698999999999998</v>
      </c>
      <c r="M29" s="7">
        <v>361.767</v>
      </c>
      <c r="N29" s="7">
        <v>216.75399999999999</v>
      </c>
      <c r="O29" s="7">
        <v>179.60900000000001</v>
      </c>
      <c r="P29" s="7">
        <v>27.689</v>
      </c>
      <c r="Q29" s="7">
        <v>78.076999999999998</v>
      </c>
      <c r="R29" s="7">
        <v>0</v>
      </c>
      <c r="S29" s="7">
        <v>181.80600000000001</v>
      </c>
      <c r="T29" s="7">
        <v>0</v>
      </c>
      <c r="U29" s="7">
        <v>0</v>
      </c>
      <c r="V29" s="7">
        <v>0</v>
      </c>
      <c r="W29" s="7">
        <v>0</v>
      </c>
      <c r="X29" s="7">
        <v>309.13400000000001</v>
      </c>
      <c r="Y29" s="7">
        <v>45.213000000000001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1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1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1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82</v>
      </c>
      <c r="D42" s="7">
        <v>0</v>
      </c>
      <c r="E42" s="7">
        <v>0</v>
      </c>
      <c r="F42" s="7">
        <v>0</v>
      </c>
      <c r="G42" s="7">
        <v>0</v>
      </c>
      <c r="H42" s="7">
        <v>75</v>
      </c>
      <c r="I42" s="7">
        <v>0</v>
      </c>
      <c r="J42" s="7">
        <v>0</v>
      </c>
      <c r="K42" s="7">
        <v>0</v>
      </c>
      <c r="L42" s="7">
        <v>0</v>
      </c>
      <c r="M42" s="7">
        <v>76</v>
      </c>
      <c r="N42" s="7">
        <v>0</v>
      </c>
      <c r="O42" s="7">
        <v>16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98</v>
      </c>
      <c r="Y42" s="7">
        <v>0</v>
      </c>
    </row>
    <row r="43" spans="1:25" x14ac:dyDescent="0.25">
      <c r="B43" s="7">
        <v>0</v>
      </c>
      <c r="C43" s="7">
        <v>137</v>
      </c>
      <c r="D43" s="7">
        <v>0</v>
      </c>
      <c r="E43" s="7">
        <v>0</v>
      </c>
      <c r="F43" s="7">
        <v>0</v>
      </c>
      <c r="G43" s="7">
        <v>0</v>
      </c>
      <c r="H43" s="7">
        <v>248</v>
      </c>
      <c r="I43" s="7">
        <v>0</v>
      </c>
      <c r="J43" s="7">
        <v>0</v>
      </c>
      <c r="K43" s="7">
        <v>0</v>
      </c>
      <c r="L43" s="7">
        <v>0</v>
      </c>
      <c r="M43" s="7">
        <v>246</v>
      </c>
      <c r="N43" s="7">
        <v>8</v>
      </c>
      <c r="O43" s="7">
        <v>33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289</v>
      </c>
      <c r="Y43" s="7">
        <v>0</v>
      </c>
    </row>
    <row r="44" spans="1:25" x14ac:dyDescent="0.25">
      <c r="B44" s="7">
        <v>0</v>
      </c>
      <c r="C44" s="7">
        <v>172</v>
      </c>
      <c r="D44" s="7">
        <v>0</v>
      </c>
      <c r="E44" s="7">
        <v>0</v>
      </c>
      <c r="F44" s="7">
        <v>0</v>
      </c>
      <c r="G44" s="7">
        <v>0</v>
      </c>
      <c r="H44" s="7">
        <v>439</v>
      </c>
      <c r="I44" s="7">
        <v>0</v>
      </c>
      <c r="J44" s="7">
        <v>0</v>
      </c>
      <c r="K44" s="7">
        <v>0</v>
      </c>
      <c r="L44" s="7">
        <v>0</v>
      </c>
      <c r="M44" s="7">
        <v>436</v>
      </c>
      <c r="N44" s="7">
        <v>158</v>
      </c>
      <c r="O44" s="7">
        <v>66</v>
      </c>
      <c r="P44" s="7">
        <v>8</v>
      </c>
      <c r="Q44" s="7">
        <v>0</v>
      </c>
      <c r="R44" s="7">
        <v>0</v>
      </c>
      <c r="S44" s="7">
        <v>85</v>
      </c>
      <c r="T44" s="7">
        <v>0</v>
      </c>
      <c r="U44" s="7">
        <v>0</v>
      </c>
      <c r="V44" s="7">
        <v>0</v>
      </c>
      <c r="W44" s="7">
        <v>0</v>
      </c>
      <c r="X44" s="7">
        <v>497</v>
      </c>
      <c r="Y44" s="7">
        <v>0</v>
      </c>
    </row>
    <row r="45" spans="1:25" x14ac:dyDescent="0.25">
      <c r="B45" s="7">
        <v>128</v>
      </c>
      <c r="C45" s="7">
        <v>243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111</v>
      </c>
      <c r="P45" s="7">
        <v>106</v>
      </c>
      <c r="Q45" s="7">
        <v>43</v>
      </c>
      <c r="R45" s="7">
        <v>74</v>
      </c>
      <c r="S45" s="7">
        <v>269</v>
      </c>
      <c r="T45" s="7">
        <v>10</v>
      </c>
      <c r="U45" s="7">
        <v>83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352</v>
      </c>
      <c r="D46" s="7">
        <v>79</v>
      </c>
      <c r="E46" s="7">
        <v>124</v>
      </c>
      <c r="F46" s="7">
        <v>6</v>
      </c>
      <c r="G46" s="7">
        <v>99</v>
      </c>
      <c r="H46" s="7">
        <v>744</v>
      </c>
      <c r="I46" s="7">
        <v>59</v>
      </c>
      <c r="J46" s="7">
        <v>44</v>
      </c>
      <c r="K46" s="7">
        <v>119</v>
      </c>
      <c r="L46" s="7">
        <v>55</v>
      </c>
      <c r="M46" s="7">
        <v>764</v>
      </c>
      <c r="N46" s="7">
        <v>589</v>
      </c>
      <c r="O46" s="7">
        <v>182</v>
      </c>
      <c r="P46" s="7">
        <v>236</v>
      </c>
      <c r="Q46" s="7">
        <v>194</v>
      </c>
      <c r="R46" s="7">
        <v>204</v>
      </c>
      <c r="S46" s="7">
        <v>508</v>
      </c>
      <c r="T46" s="7">
        <v>125</v>
      </c>
      <c r="U46" s="7">
        <v>186</v>
      </c>
      <c r="V46" s="7">
        <v>126</v>
      </c>
      <c r="W46" s="7">
        <v>19</v>
      </c>
      <c r="X46" s="7">
        <v>701</v>
      </c>
      <c r="Y46" s="7">
        <v>191</v>
      </c>
    </row>
    <row r="47" spans="1:25" x14ac:dyDescent="0.25">
      <c r="B47" s="7">
        <v>371</v>
      </c>
      <c r="C47" s="7">
        <v>583</v>
      </c>
      <c r="D47" s="7">
        <v>90</v>
      </c>
      <c r="E47" s="7">
        <v>285</v>
      </c>
      <c r="F47" s="7">
        <v>25</v>
      </c>
      <c r="G47" s="7">
        <v>93</v>
      </c>
      <c r="H47" s="7">
        <v>751</v>
      </c>
      <c r="I47" s="7">
        <v>66</v>
      </c>
      <c r="J47" s="7">
        <v>109</v>
      </c>
      <c r="K47" s="7">
        <v>151</v>
      </c>
      <c r="L47" s="7">
        <v>204</v>
      </c>
      <c r="M47" s="7">
        <v>767</v>
      </c>
      <c r="N47" s="7">
        <v>624</v>
      </c>
      <c r="O47" s="7">
        <v>331</v>
      </c>
      <c r="P47" s="7">
        <v>293</v>
      </c>
      <c r="Q47" s="7">
        <v>225</v>
      </c>
      <c r="R47" s="7">
        <v>264</v>
      </c>
      <c r="S47" s="7">
        <v>507</v>
      </c>
      <c r="T47" s="7">
        <v>234</v>
      </c>
      <c r="U47" s="7">
        <v>188</v>
      </c>
      <c r="V47" s="7">
        <v>240</v>
      </c>
      <c r="W47" s="7">
        <v>99</v>
      </c>
      <c r="X47" s="7">
        <v>706</v>
      </c>
      <c r="Y47" s="7">
        <v>223</v>
      </c>
    </row>
    <row r="49" spans="1:25" x14ac:dyDescent="0.25">
      <c r="A49" s="6" t="s">
        <v>20</v>
      </c>
      <c r="B49" s="7">
        <v>9.5657912889317395E-2</v>
      </c>
      <c r="C49" s="7">
        <v>0.10000233173683891</v>
      </c>
      <c r="D49" s="7">
        <v>9.4040053512198338E-2</v>
      </c>
      <c r="E49" s="7">
        <v>0.11642956256913538</v>
      </c>
      <c r="F49" s="7">
        <v>7.4242586411923564E-2</v>
      </c>
      <c r="G49" s="7">
        <v>7.7304732944776286E-2</v>
      </c>
      <c r="H49" s="7">
        <v>0.10439500559953117</v>
      </c>
      <c r="I49" s="7">
        <v>7.8260583516947951E-2</v>
      </c>
      <c r="J49" s="7">
        <v>0.11794077378506367</v>
      </c>
      <c r="K49" s="7">
        <v>9.8459974066722217E-2</v>
      </c>
      <c r="L49" s="7">
        <v>0.17632792121137481</v>
      </c>
      <c r="M49" s="7">
        <v>0.13278691822444375</v>
      </c>
      <c r="N49" s="7">
        <v>0.11813893831005577</v>
      </c>
      <c r="O49" s="7">
        <v>0.1076224601673309</v>
      </c>
      <c r="P49" s="7">
        <v>8.8764453544232638E-2</v>
      </c>
      <c r="Q49" s="7">
        <v>0.10310408474662643</v>
      </c>
      <c r="R49" s="7">
        <v>0.10523558115604668</v>
      </c>
      <c r="S49" s="7">
        <v>9.8909925632854806E-2</v>
      </c>
      <c r="T49" s="7">
        <v>0.11343306324723364</v>
      </c>
      <c r="U49" s="7">
        <v>8.3335055712589756E-2</v>
      </c>
      <c r="V49" s="7">
        <v>0.21742200866251901</v>
      </c>
      <c r="W49" s="7">
        <v>8.5303715440778319E-2</v>
      </c>
      <c r="X49" s="7">
        <v>0.12167946319836349</v>
      </c>
      <c r="Y49" s="7">
        <v>9.0774791340358291E-2</v>
      </c>
    </row>
    <row r="50" spans="1:25" x14ac:dyDescent="0.25">
      <c r="B50" s="7">
        <v>8.8306753797435231E-2</v>
      </c>
      <c r="C50" s="7">
        <v>9.5706537822767876E-2</v>
      </c>
      <c r="D50" s="7">
        <v>8.3291216075501218E-2</v>
      </c>
      <c r="E50" s="7">
        <v>0.10343855929070542</v>
      </c>
      <c r="F50" s="7">
        <v>6.649068286798808E-2</v>
      </c>
      <c r="G50" s="7">
        <v>6.8921370193574014E-2</v>
      </c>
      <c r="H50" s="7">
        <v>9.7029798141116383E-2</v>
      </c>
      <c r="I50" s="7">
        <v>6.9926918617346734E-2</v>
      </c>
      <c r="J50" s="7">
        <v>0.10369534705777043</v>
      </c>
      <c r="K50" s="7">
        <v>8.7903766106684822E-2</v>
      </c>
      <c r="L50" s="7">
        <v>0.15483345559496564</v>
      </c>
      <c r="M50" s="7">
        <v>0.1214190563094333</v>
      </c>
      <c r="N50" s="7">
        <v>0.10882739767851227</v>
      </c>
      <c r="O50" s="7">
        <v>0.10309840343565853</v>
      </c>
      <c r="P50" s="7">
        <v>8.1160803265702464E-2</v>
      </c>
      <c r="Q50" s="7">
        <v>9.4117999343844239E-2</v>
      </c>
      <c r="R50" s="7">
        <v>9.4237540761637179E-2</v>
      </c>
      <c r="S50" s="7">
        <v>9.1787809232338688E-2</v>
      </c>
      <c r="T50" s="7">
        <v>0.100555963470095</v>
      </c>
      <c r="U50" s="7">
        <v>7.524382830047735E-2</v>
      </c>
      <c r="V50" s="7">
        <v>0.19021640966199374</v>
      </c>
      <c r="W50" s="7">
        <v>7.5818024703584147E-2</v>
      </c>
      <c r="X50" s="7">
        <v>0.11316494869978429</v>
      </c>
      <c r="Y50" s="7">
        <v>8.1720017345190618E-2</v>
      </c>
    </row>
    <row r="51" spans="1:25" x14ac:dyDescent="0.25">
      <c r="B51" s="7">
        <v>8.1095377111205902E-2</v>
      </c>
      <c r="C51" s="7">
        <v>9.7997916449397232E-2</v>
      </c>
      <c r="D51" s="7">
        <v>7.2453456197205279E-2</v>
      </c>
      <c r="E51" s="7">
        <v>9.0326970082955302E-2</v>
      </c>
      <c r="F51" s="7">
        <v>5.8644268163766528E-2</v>
      </c>
      <c r="G51" s="7">
        <v>6.0449944242507332E-2</v>
      </c>
      <c r="H51" s="7">
        <v>9.4121114699860564E-2</v>
      </c>
      <c r="I51" s="7">
        <v>6.1499015796443582E-2</v>
      </c>
      <c r="J51" s="7">
        <v>8.9363736446465336E-2</v>
      </c>
      <c r="K51" s="7">
        <v>7.7231339115697267E-2</v>
      </c>
      <c r="L51" s="7">
        <v>0.13321665447216377</v>
      </c>
      <c r="M51" s="7">
        <v>0.11455887543954664</v>
      </c>
      <c r="N51" s="7">
        <v>9.9709322226620073E-2</v>
      </c>
      <c r="O51" s="7">
        <v>0.1047410050137952</v>
      </c>
      <c r="P51" s="7">
        <v>7.3389060663361788E-2</v>
      </c>
      <c r="Q51" s="7">
        <v>8.5128958007109332E-2</v>
      </c>
      <c r="R51" s="7">
        <v>8.3105876468037868E-2</v>
      </c>
      <c r="S51" s="7">
        <v>8.5185344462964427E-2</v>
      </c>
      <c r="T51" s="7">
        <v>8.7568670864290959E-2</v>
      </c>
      <c r="U51" s="7">
        <v>6.7026324972138923E-2</v>
      </c>
      <c r="V51" s="7">
        <v>0.16288320930662636</v>
      </c>
      <c r="W51" s="7">
        <v>6.624291804498908E-2</v>
      </c>
      <c r="X51" s="7">
        <v>0.11031189257599516</v>
      </c>
      <c r="Y51" s="7">
        <v>7.2535675723920806E-2</v>
      </c>
    </row>
    <row r="52" spans="1:25" x14ac:dyDescent="0.25">
      <c r="B52" s="7">
        <v>7.5471414775547349E-2</v>
      </c>
      <c r="C52" s="7">
        <v>0.10038887301568795</v>
      </c>
      <c r="D52" s="7">
        <v>6.1618775746554853E-2</v>
      </c>
      <c r="E52" s="7">
        <v>7.7219578486668841E-2</v>
      </c>
      <c r="F52" s="7">
        <v>5.0801131213460228E-2</v>
      </c>
      <c r="G52" s="7">
        <v>5.1981564802138648E-2</v>
      </c>
      <c r="H52" s="7">
        <v>9.3085213250978918E-2</v>
      </c>
      <c r="I52" s="7">
        <v>5.3074371201542896E-2</v>
      </c>
      <c r="J52" s="7">
        <v>7.5035120211466674E-2</v>
      </c>
      <c r="K52" s="7">
        <v>6.6562968691132873E-2</v>
      </c>
      <c r="L52" s="7">
        <v>0.11160411166344311</v>
      </c>
      <c r="M52" s="7">
        <v>0.10951529875341162</v>
      </c>
      <c r="N52" s="7">
        <v>9.3122063418745168E-2</v>
      </c>
      <c r="O52" s="7">
        <v>0.10608360604900227</v>
      </c>
      <c r="P52" s="7">
        <v>6.717809321817346E-2</v>
      </c>
      <c r="Q52" s="7">
        <v>7.7274379488651138E-2</v>
      </c>
      <c r="R52" s="7">
        <v>7.2114152262687442E-2</v>
      </c>
      <c r="S52" s="7">
        <v>8.0402259006987761E-2</v>
      </c>
      <c r="T52" s="7">
        <v>7.4585211608085358E-2</v>
      </c>
      <c r="U52" s="7">
        <v>5.8813207331721955E-2</v>
      </c>
      <c r="V52" s="7">
        <v>0.13555443267782863</v>
      </c>
      <c r="W52" s="7">
        <v>5.6670910116074578E-2</v>
      </c>
      <c r="X52" s="7">
        <v>0.10871931737680386</v>
      </c>
      <c r="Y52" s="7">
        <v>6.3370243203899987E-2</v>
      </c>
    </row>
    <row r="53" spans="1:25" x14ac:dyDescent="0.25">
      <c r="B53" s="7">
        <v>7.2014246229522239E-2</v>
      </c>
      <c r="C53" s="7">
        <v>0.10196017617070358</v>
      </c>
      <c r="D53" s="7">
        <v>5.0741189662266151E-2</v>
      </c>
      <c r="E53" s="7">
        <v>6.5492247059326714E-2</v>
      </c>
      <c r="F53" s="7">
        <v>4.2912385327157902E-2</v>
      </c>
      <c r="G53" s="7">
        <v>4.3470677017186765E-2</v>
      </c>
      <c r="H53" s="7">
        <v>9.1567501572233631E-2</v>
      </c>
      <c r="I53" s="7">
        <v>4.4604252423540561E-2</v>
      </c>
      <c r="J53" s="7">
        <v>6.066490125884854E-2</v>
      </c>
      <c r="K53" s="7">
        <v>5.6833469803254932E-2</v>
      </c>
      <c r="L53" s="7">
        <v>9.1142611730088113E-2</v>
      </c>
      <c r="M53" s="7">
        <v>0.1040219362337937</v>
      </c>
      <c r="N53" s="7">
        <v>8.9219930706321809E-2</v>
      </c>
      <c r="O53" s="7">
        <v>0.10681050894540396</v>
      </c>
      <c r="P53" s="7">
        <v>6.3289419047375686E-2</v>
      </c>
      <c r="Q53" s="7">
        <v>7.1094429927353306E-2</v>
      </c>
      <c r="R53" s="7">
        <v>6.3348979919597134E-2</v>
      </c>
      <c r="S53" s="7">
        <v>7.8748693112694057E-2</v>
      </c>
      <c r="T53" s="7">
        <v>6.1950060079768811E-2</v>
      </c>
      <c r="U53" s="7">
        <v>5.3536539000088673E-2</v>
      </c>
      <c r="V53" s="7">
        <v>0.10963891691203444</v>
      </c>
      <c r="W53" s="7">
        <v>4.7055743591299916E-2</v>
      </c>
      <c r="X53" s="7">
        <v>0.10645335222433597</v>
      </c>
      <c r="Y53" s="7">
        <v>5.650235336955603E-2</v>
      </c>
    </row>
    <row r="54" spans="1:25" x14ac:dyDescent="0.25">
      <c r="B54" s="7">
        <v>7.1638332252391676E-2</v>
      </c>
      <c r="C54" s="7">
        <v>0.10277732216633684</v>
      </c>
      <c r="D54" s="7">
        <v>4.0295421875238102E-2</v>
      </c>
      <c r="E54" s="7">
        <v>5.7187129678051153E-2</v>
      </c>
      <c r="F54" s="7">
        <v>3.6066027323418778E-2</v>
      </c>
      <c r="G54" s="7">
        <v>3.5242844984015337E-2</v>
      </c>
      <c r="H54" s="7">
        <v>8.928714430528388E-2</v>
      </c>
      <c r="I54" s="7">
        <v>3.7666236100454865E-2</v>
      </c>
      <c r="J54" s="7">
        <v>4.6253079588610919E-2</v>
      </c>
      <c r="K54" s="7">
        <v>4.9823547345959479E-2</v>
      </c>
      <c r="L54" s="7">
        <v>7.3362171670528706E-2</v>
      </c>
      <c r="M54" s="7">
        <v>9.7716322012646628E-2</v>
      </c>
      <c r="N54" s="7">
        <v>8.5975544981480509E-2</v>
      </c>
      <c r="O54" s="7">
        <v>0.10699622280681191</v>
      </c>
      <c r="P54" s="7">
        <v>6.1573855215413704E-2</v>
      </c>
      <c r="Q54" s="7">
        <v>6.8294082789859725E-2</v>
      </c>
      <c r="R54" s="7">
        <v>5.7273361488513107E-2</v>
      </c>
      <c r="S54" s="7">
        <v>7.8272109492936393E-2</v>
      </c>
      <c r="T54" s="7">
        <v>5.2093192562087887E-2</v>
      </c>
      <c r="U54" s="7">
        <v>5.1646020442728022E-2</v>
      </c>
      <c r="V54" s="7">
        <v>8.5958437092611917E-2</v>
      </c>
      <c r="W54" s="7">
        <v>3.7801371427476152E-2</v>
      </c>
      <c r="X54" s="7">
        <v>0.10377147723926039</v>
      </c>
      <c r="Y54" s="7">
        <v>5.3321122192760674E-2</v>
      </c>
    </row>
    <row r="55" spans="1:25" x14ac:dyDescent="0.25">
      <c r="B55" s="7">
        <v>7.3486948620649736E-2</v>
      </c>
      <c r="C55" s="7">
        <v>0.10285976343731229</v>
      </c>
      <c r="D55" s="7">
        <v>3.659714038634436E-2</v>
      </c>
      <c r="E55" s="7">
        <v>5.5856804844934028E-2</v>
      </c>
      <c r="F55" s="7">
        <v>3.3346718789685481E-2</v>
      </c>
      <c r="G55" s="7">
        <v>3.3923547179343642E-2</v>
      </c>
      <c r="H55" s="7">
        <v>8.8909177920749968E-2</v>
      </c>
      <c r="I55" s="7">
        <v>3.6411129849391634E-2</v>
      </c>
      <c r="J55" s="7">
        <v>3.8469150597378071E-2</v>
      </c>
      <c r="K55" s="7">
        <v>4.645661318546989E-2</v>
      </c>
      <c r="L55" s="7">
        <v>6.1327732832424736E-2</v>
      </c>
      <c r="M55" s="7">
        <v>9.3363556896124134E-2</v>
      </c>
      <c r="N55" s="7">
        <v>8.3112675801429461E-2</v>
      </c>
      <c r="O55" s="7">
        <v>0.10664679970145259</v>
      </c>
      <c r="P55" s="7">
        <v>6.2758838222517502E-2</v>
      </c>
      <c r="Q55" s="7">
        <v>6.9475748178444194E-2</v>
      </c>
      <c r="R55" s="7">
        <v>5.370276268205066E-2</v>
      </c>
      <c r="S55" s="7">
        <v>7.9503675037204055E-2</v>
      </c>
      <c r="T55" s="7">
        <v>4.5793976945277176E-2</v>
      </c>
      <c r="U55" s="7">
        <v>5.3465283532331931E-2</v>
      </c>
      <c r="V55" s="7">
        <v>6.4777298904496849E-2</v>
      </c>
      <c r="W55" s="7">
        <v>3.3876686531547143E-2</v>
      </c>
      <c r="X55" s="7">
        <v>0.10619334092157315</v>
      </c>
      <c r="Y55" s="7">
        <v>5.69726639479897E-2</v>
      </c>
    </row>
    <row r="56" spans="1:25" x14ac:dyDescent="0.25">
      <c r="B56" s="7">
        <v>7.6349911119638833E-2</v>
      </c>
      <c r="C56" s="7">
        <v>0.1021792316671583</v>
      </c>
      <c r="D56" s="7">
        <v>3.7858356487242915E-2</v>
      </c>
      <c r="E56" s="7">
        <v>6.4745263019313312E-2</v>
      </c>
      <c r="F56" s="7">
        <v>3.6732887134194508E-2</v>
      </c>
      <c r="G56" s="7">
        <v>3.6623184073349822E-2</v>
      </c>
      <c r="H56" s="7">
        <v>9.0612941842561703E-2</v>
      </c>
      <c r="I56" s="7">
        <v>3.9045797186083239E-2</v>
      </c>
      <c r="J56" s="7">
        <v>3.9740486324938248E-2</v>
      </c>
      <c r="K56" s="7">
        <v>4.8325364735629255E-2</v>
      </c>
      <c r="L56" s="7">
        <v>6.0515471294055739E-2</v>
      </c>
      <c r="M56" s="7">
        <v>9.6098435187242856E-2</v>
      </c>
      <c r="N56" s="7">
        <v>8.4074509196009201E-2</v>
      </c>
      <c r="O56" s="7">
        <v>0.10574583996159891</v>
      </c>
      <c r="P56" s="7">
        <v>6.8362086037716568E-2</v>
      </c>
      <c r="Q56" s="7">
        <v>7.1456208531287257E-2</v>
      </c>
      <c r="R56" s="7">
        <v>5.654803128513182E-2</v>
      </c>
      <c r="S56" s="7">
        <v>8.1075562936242809E-2</v>
      </c>
      <c r="T56" s="7">
        <v>4.6650890303430385E-2</v>
      </c>
      <c r="U56" s="7">
        <v>5.593305430789379E-2</v>
      </c>
      <c r="V56" s="7">
        <v>5.579893859308567E-2</v>
      </c>
      <c r="W56" s="7">
        <v>3.888487260866718E-2</v>
      </c>
      <c r="X56" s="7">
        <v>0.11019291109819872</v>
      </c>
      <c r="Y56" s="7">
        <v>6.437964483431631E-2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21.853000000000002</v>
      </c>
      <c r="D60" s="7">
        <v>0</v>
      </c>
      <c r="E60" s="7">
        <v>0</v>
      </c>
      <c r="F60" s="7">
        <v>0</v>
      </c>
      <c r="G60" s="7">
        <v>0</v>
      </c>
      <c r="H60" s="7">
        <v>19.62</v>
      </c>
      <c r="I60" s="7">
        <v>0</v>
      </c>
      <c r="J60" s="7">
        <v>0</v>
      </c>
      <c r="K60" s="7">
        <v>0</v>
      </c>
      <c r="L60" s="7">
        <v>0</v>
      </c>
      <c r="M60" s="7">
        <v>19.102</v>
      </c>
      <c r="N60" s="7">
        <v>0</v>
      </c>
      <c r="O60" s="7">
        <v>4.593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23.789000000000001</v>
      </c>
      <c r="Y60" s="7">
        <v>0</v>
      </c>
    </row>
    <row r="61" spans="1:25" x14ac:dyDescent="0.25">
      <c r="B61" s="7">
        <v>0</v>
      </c>
      <c r="C61" s="7">
        <v>31.405999999999999</v>
      </c>
      <c r="D61" s="7">
        <v>0</v>
      </c>
      <c r="E61" s="7">
        <v>0</v>
      </c>
      <c r="F61" s="7">
        <v>0</v>
      </c>
      <c r="G61" s="7">
        <v>0</v>
      </c>
      <c r="H61" s="7">
        <v>53.384999999999998</v>
      </c>
      <c r="I61" s="7">
        <v>0</v>
      </c>
      <c r="J61" s="7">
        <v>0</v>
      </c>
      <c r="K61" s="7">
        <v>0</v>
      </c>
      <c r="L61" s="7">
        <v>0</v>
      </c>
      <c r="M61" s="7">
        <v>52.045000000000002</v>
      </c>
      <c r="N61" s="7">
        <v>2.1989999999999998</v>
      </c>
      <c r="O61" s="7">
        <v>9.1690000000000005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59.268999999999998</v>
      </c>
      <c r="Y61" s="7">
        <v>0</v>
      </c>
    </row>
    <row r="62" spans="1:25" x14ac:dyDescent="0.25">
      <c r="B62" s="7">
        <v>0</v>
      </c>
      <c r="C62" s="7">
        <v>37.959000000000003</v>
      </c>
      <c r="D62" s="7">
        <v>0</v>
      </c>
      <c r="E62" s="7">
        <v>0</v>
      </c>
      <c r="F62" s="7">
        <v>0</v>
      </c>
      <c r="G62" s="7">
        <v>0</v>
      </c>
      <c r="H62" s="7">
        <v>83.581999999999994</v>
      </c>
      <c r="I62" s="7">
        <v>0</v>
      </c>
      <c r="J62" s="7">
        <v>0</v>
      </c>
      <c r="K62" s="7">
        <v>0</v>
      </c>
      <c r="L62" s="7">
        <v>0</v>
      </c>
      <c r="M62" s="7">
        <v>82.405000000000001</v>
      </c>
      <c r="N62" s="7">
        <v>32.4</v>
      </c>
      <c r="O62" s="7">
        <v>16.971</v>
      </c>
      <c r="P62" s="7">
        <v>2.3479999999999999</v>
      </c>
      <c r="Q62" s="7">
        <v>0</v>
      </c>
      <c r="R62" s="7">
        <v>0</v>
      </c>
      <c r="S62" s="7">
        <v>18.696000000000002</v>
      </c>
      <c r="T62" s="7">
        <v>0</v>
      </c>
      <c r="U62" s="7">
        <v>0</v>
      </c>
      <c r="V62" s="7">
        <v>0</v>
      </c>
      <c r="W62" s="7">
        <v>0</v>
      </c>
      <c r="X62" s="7">
        <v>90.722999999999999</v>
      </c>
      <c r="Y62" s="7">
        <v>0</v>
      </c>
    </row>
    <row r="63" spans="1:25" x14ac:dyDescent="0.25">
      <c r="B63" s="7">
        <v>25.687999999999999</v>
      </c>
      <c r="C63" s="7">
        <v>51.146000000000001</v>
      </c>
      <c r="D63" s="7">
        <v>0</v>
      </c>
      <c r="E63" s="7">
        <v>0</v>
      </c>
      <c r="F63" s="7">
        <v>0</v>
      </c>
      <c r="G63" s="7">
        <v>0</v>
      </c>
      <c r="H63" s="7">
        <v>114.78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113.59699999999999</v>
      </c>
      <c r="N63" s="7">
        <v>66.135000000000005</v>
      </c>
      <c r="O63" s="7">
        <v>26.175999999999998</v>
      </c>
      <c r="P63" s="7">
        <v>24.541</v>
      </c>
      <c r="Q63" s="7">
        <v>11.523</v>
      </c>
      <c r="R63" s="7">
        <v>20.093</v>
      </c>
      <c r="S63" s="7">
        <v>51.158999999999999</v>
      </c>
      <c r="T63" s="7">
        <v>3.6970000000000001</v>
      </c>
      <c r="U63" s="7">
        <v>22.193999999999999</v>
      </c>
      <c r="V63" s="7">
        <v>2.198</v>
      </c>
      <c r="W63" s="7">
        <v>0</v>
      </c>
      <c r="X63" s="7">
        <v>121.93600000000001</v>
      </c>
      <c r="Y63" s="7">
        <v>2.3969999999999998</v>
      </c>
    </row>
    <row r="64" spans="1:25" x14ac:dyDescent="0.25">
      <c r="B64" s="7">
        <v>62.338000000000001</v>
      </c>
      <c r="C64" s="7">
        <v>68.664000000000001</v>
      </c>
      <c r="D64" s="7">
        <v>18.14</v>
      </c>
      <c r="E64" s="7">
        <v>28.46</v>
      </c>
      <c r="F64" s="7">
        <v>2.8130000000000002</v>
      </c>
      <c r="G64" s="7">
        <v>26.800999999999998</v>
      </c>
      <c r="H64" s="7">
        <v>138.429</v>
      </c>
      <c r="I64" s="7">
        <v>17.510999999999999</v>
      </c>
      <c r="J64" s="7">
        <v>12.391999999999999</v>
      </c>
      <c r="K64" s="7">
        <v>27.134</v>
      </c>
      <c r="L64" s="7">
        <v>14.045999999999999</v>
      </c>
      <c r="M64" s="7">
        <v>143.69399999999999</v>
      </c>
      <c r="N64" s="7">
        <v>102.93600000000001</v>
      </c>
      <c r="O64" s="7">
        <v>40.170999999999999</v>
      </c>
      <c r="P64" s="7">
        <v>49.404000000000003</v>
      </c>
      <c r="Q64" s="7">
        <v>36.679000000000002</v>
      </c>
      <c r="R64" s="7">
        <v>44.747999999999998</v>
      </c>
      <c r="S64" s="7">
        <v>90.3</v>
      </c>
      <c r="T64" s="7">
        <v>33.337000000000003</v>
      </c>
      <c r="U64" s="7">
        <v>40.686</v>
      </c>
      <c r="V64" s="7">
        <v>26.295000000000002</v>
      </c>
      <c r="W64" s="7">
        <v>6.415</v>
      </c>
      <c r="X64" s="7">
        <v>131.119</v>
      </c>
      <c r="Y64" s="7">
        <v>33.042999999999999</v>
      </c>
    </row>
    <row r="65" spans="1:25" x14ac:dyDescent="0.25">
      <c r="B65" s="7">
        <v>64.260000000000005</v>
      </c>
      <c r="C65" s="7">
        <v>104.925</v>
      </c>
      <c r="D65" s="7">
        <v>20.417000000000002</v>
      </c>
      <c r="E65" s="7">
        <v>44.517000000000003</v>
      </c>
      <c r="F65" s="7">
        <v>9.0579999999999998</v>
      </c>
      <c r="G65" s="7">
        <v>24.994</v>
      </c>
      <c r="H65" s="7">
        <v>139.90600000000001</v>
      </c>
      <c r="I65" s="7">
        <v>18.404</v>
      </c>
      <c r="J65" s="7">
        <v>26.916</v>
      </c>
      <c r="K65" s="7">
        <v>33.966999999999999</v>
      </c>
      <c r="L65" s="7">
        <v>36.237000000000002</v>
      </c>
      <c r="M65" s="7">
        <v>148.15299999999999</v>
      </c>
      <c r="N65" s="7">
        <v>106.92</v>
      </c>
      <c r="O65" s="7">
        <v>64.322000000000003</v>
      </c>
      <c r="P65" s="7">
        <v>56.828000000000003</v>
      </c>
      <c r="Q65" s="7">
        <v>41.249000000000002</v>
      </c>
      <c r="R65" s="7">
        <v>56.305999999999997</v>
      </c>
      <c r="S65" s="7">
        <v>88.933000000000007</v>
      </c>
      <c r="T65" s="7">
        <v>52.499000000000002</v>
      </c>
      <c r="U65" s="7">
        <v>41.301000000000002</v>
      </c>
      <c r="V65" s="7">
        <v>43.96</v>
      </c>
      <c r="W65" s="7">
        <v>24.448</v>
      </c>
      <c r="X65" s="7">
        <v>132.209</v>
      </c>
      <c r="Y65" s="7">
        <v>37.484000000000002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1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2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3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4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5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6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6</v>
      </c>
      <c r="D73" s="7">
        <v>0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6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  <c r="W73" s="7">
        <v>0</v>
      </c>
      <c r="X73" s="7">
        <v>1</v>
      </c>
      <c r="Y73" s="7">
        <v>0</v>
      </c>
    </row>
    <row r="74" spans="1:25" x14ac:dyDescent="0.25">
      <c r="B74" s="7">
        <v>2</v>
      </c>
      <c r="C74" s="7">
        <v>5</v>
      </c>
      <c r="D74" s="7">
        <v>1</v>
      </c>
      <c r="E74" s="7">
        <v>2</v>
      </c>
      <c r="F74" s="7">
        <v>1</v>
      </c>
      <c r="G74" s="7">
        <v>1</v>
      </c>
      <c r="H74" s="7">
        <v>2</v>
      </c>
      <c r="I74" s="7">
        <v>1</v>
      </c>
      <c r="J74" s="7">
        <v>1</v>
      </c>
      <c r="K74" s="7">
        <v>1</v>
      </c>
      <c r="L74" s="7">
        <v>1</v>
      </c>
      <c r="M74" s="7">
        <v>2</v>
      </c>
      <c r="N74" s="7">
        <v>1</v>
      </c>
      <c r="O74" s="7">
        <v>5</v>
      </c>
      <c r="P74" s="7">
        <v>2</v>
      </c>
      <c r="Q74" s="7">
        <v>1</v>
      </c>
      <c r="R74" s="7">
        <v>1</v>
      </c>
      <c r="S74" s="7">
        <v>2</v>
      </c>
      <c r="T74" s="7">
        <v>1</v>
      </c>
      <c r="U74" s="7">
        <v>1</v>
      </c>
      <c r="V74" s="7">
        <v>1</v>
      </c>
      <c r="W74" s="7">
        <v>1</v>
      </c>
      <c r="X74" s="7">
        <v>4</v>
      </c>
      <c r="Y74" s="7">
        <v>2</v>
      </c>
    </row>
    <row r="76" spans="1:25" ht="45" x14ac:dyDescent="0.25">
      <c r="A76" s="5" t="s">
        <v>11</v>
      </c>
      <c r="B76" s="7">
        <v>13799760</v>
      </c>
      <c r="C76" s="7">
        <v>7904308.4740000004</v>
      </c>
      <c r="D76" s="7">
        <v>8522763.0629999992</v>
      </c>
      <c r="E76" s="7">
        <v>27359280</v>
      </c>
      <c r="F76" s="7">
        <v>15696270</v>
      </c>
      <c r="G76" s="7">
        <v>15116330</v>
      </c>
      <c r="H76" s="7">
        <v>16137680</v>
      </c>
      <c r="I76" s="7">
        <v>11917220</v>
      </c>
      <c r="J76" s="7">
        <v>8569779.8660000004</v>
      </c>
      <c r="K76" s="7">
        <v>11908650</v>
      </c>
      <c r="L76" s="7">
        <v>11409920</v>
      </c>
      <c r="M76" s="7">
        <v>17262390</v>
      </c>
      <c r="N76" s="7">
        <v>12251510</v>
      </c>
      <c r="O76" s="7">
        <v>5383186.2439999999</v>
      </c>
      <c r="P76" s="7">
        <v>25352380</v>
      </c>
      <c r="Q76" s="7">
        <v>11325260</v>
      </c>
      <c r="R76" s="7">
        <v>14992770</v>
      </c>
      <c r="S76" s="7">
        <v>13161630</v>
      </c>
      <c r="T76" s="7">
        <v>15948750</v>
      </c>
      <c r="U76" s="7">
        <v>13674130</v>
      </c>
      <c r="V76" s="7">
        <v>8377596.1809999999</v>
      </c>
      <c r="W76" s="7">
        <v>27898220</v>
      </c>
      <c r="X76" s="7">
        <v>18106240</v>
      </c>
      <c r="Y76" s="7">
        <v>27922780</v>
      </c>
    </row>
    <row r="77" spans="1:25" x14ac:dyDescent="0.25">
      <c r="B77" s="7">
        <v>25769300</v>
      </c>
      <c r="C77" s="7">
        <v>14084170</v>
      </c>
      <c r="D77" s="7">
        <v>14447550</v>
      </c>
      <c r="E77" s="7">
        <v>52950500</v>
      </c>
      <c r="F77" s="7">
        <v>28208870</v>
      </c>
      <c r="G77" s="7">
        <v>26759280</v>
      </c>
      <c r="H77" s="7">
        <v>30213100</v>
      </c>
      <c r="I77" s="7">
        <v>20790210</v>
      </c>
      <c r="J77" s="7">
        <v>15509840</v>
      </c>
      <c r="K77" s="7">
        <v>20733270</v>
      </c>
      <c r="L77" s="7">
        <v>21035250</v>
      </c>
      <c r="M77" s="7">
        <v>32724980</v>
      </c>
      <c r="N77" s="7">
        <v>22818070</v>
      </c>
      <c r="O77" s="7">
        <v>9644945.4140000008</v>
      </c>
      <c r="P77" s="7">
        <v>47386380</v>
      </c>
      <c r="Q77" s="7">
        <v>21044710</v>
      </c>
      <c r="R77" s="7">
        <v>27870750</v>
      </c>
      <c r="S77" s="7">
        <v>24300770</v>
      </c>
      <c r="T77" s="7">
        <v>28270100</v>
      </c>
      <c r="U77" s="7">
        <v>24727830</v>
      </c>
      <c r="V77" s="7">
        <v>14903100</v>
      </c>
      <c r="W77" s="7">
        <v>51116590</v>
      </c>
      <c r="X77" s="7">
        <v>34536600</v>
      </c>
      <c r="Y77" s="7">
        <v>52401320</v>
      </c>
    </row>
    <row r="78" spans="1:25" x14ac:dyDescent="0.25">
      <c r="B78" s="7">
        <v>35946130</v>
      </c>
      <c r="C78" s="7">
        <v>18720590</v>
      </c>
      <c r="D78" s="7">
        <v>18259570</v>
      </c>
      <c r="E78" s="7">
        <v>76567060</v>
      </c>
      <c r="F78" s="7">
        <v>37682450</v>
      </c>
      <c r="G78" s="7">
        <v>35251170</v>
      </c>
      <c r="H78" s="7">
        <v>42251440</v>
      </c>
      <c r="I78" s="7">
        <v>26956330</v>
      </c>
      <c r="J78" s="7">
        <v>20954730</v>
      </c>
      <c r="K78" s="7">
        <v>26854380</v>
      </c>
      <c r="L78" s="7">
        <v>28963230</v>
      </c>
      <c r="M78" s="7">
        <v>46401770</v>
      </c>
      <c r="N78" s="7">
        <v>31802260</v>
      </c>
      <c r="O78" s="7">
        <v>12921350</v>
      </c>
      <c r="P78" s="7">
        <v>65961080</v>
      </c>
      <c r="Q78" s="7">
        <v>29258320</v>
      </c>
      <c r="R78" s="7">
        <v>38673270</v>
      </c>
      <c r="S78" s="7">
        <v>33501990</v>
      </c>
      <c r="T78" s="7">
        <v>37253510</v>
      </c>
      <c r="U78" s="7">
        <v>33312600</v>
      </c>
      <c r="V78" s="7">
        <v>19777560</v>
      </c>
      <c r="W78" s="7">
        <v>69546710</v>
      </c>
      <c r="X78" s="7">
        <v>49254630</v>
      </c>
      <c r="Y78" s="7">
        <v>73221610</v>
      </c>
    </row>
    <row r="79" spans="1:25" x14ac:dyDescent="0.25">
      <c r="B79" s="7">
        <v>44129140</v>
      </c>
      <c r="C79" s="7">
        <v>22452480</v>
      </c>
      <c r="D79" s="7">
        <v>20577360</v>
      </c>
      <c r="E79" s="7">
        <v>97008500</v>
      </c>
      <c r="F79" s="7">
        <v>44995150</v>
      </c>
      <c r="G79" s="7">
        <v>40241170</v>
      </c>
      <c r="H79" s="7">
        <v>51175840</v>
      </c>
      <c r="I79" s="7">
        <v>32172580</v>
      </c>
      <c r="J79" s="7">
        <v>24634950</v>
      </c>
      <c r="K79" s="7">
        <v>31110090</v>
      </c>
      <c r="L79" s="7">
        <v>35518480</v>
      </c>
      <c r="M79" s="7">
        <v>57385820</v>
      </c>
      <c r="N79" s="7">
        <v>37956000</v>
      </c>
      <c r="O79" s="7">
        <v>15261630</v>
      </c>
      <c r="P79" s="7">
        <v>78248540</v>
      </c>
      <c r="Q79" s="7">
        <v>35029370</v>
      </c>
      <c r="R79" s="7">
        <v>46883550</v>
      </c>
      <c r="S79" s="7">
        <v>40076640</v>
      </c>
      <c r="T79" s="7">
        <v>43115070</v>
      </c>
      <c r="U79" s="7">
        <v>39024130</v>
      </c>
      <c r="V79" s="7">
        <v>23227870</v>
      </c>
      <c r="W79" s="7">
        <v>82589090</v>
      </c>
      <c r="X79" s="7">
        <v>62290950</v>
      </c>
      <c r="Y79" s="7">
        <v>88831200</v>
      </c>
    </row>
    <row r="80" spans="1:25" x14ac:dyDescent="0.25">
      <c r="B80" s="7">
        <v>50582510</v>
      </c>
      <c r="C80" s="7">
        <v>25170900</v>
      </c>
      <c r="D80" s="7">
        <v>21705980</v>
      </c>
      <c r="E80" s="7">
        <v>114980700</v>
      </c>
      <c r="F80" s="7">
        <v>50135320</v>
      </c>
      <c r="G80" s="7">
        <v>42804650</v>
      </c>
      <c r="H80" s="7">
        <v>57855550</v>
      </c>
      <c r="I80" s="7">
        <v>35892120</v>
      </c>
      <c r="J80" s="7">
        <v>27101300</v>
      </c>
      <c r="K80" s="7">
        <v>33657320</v>
      </c>
      <c r="L80" s="7">
        <v>40828340</v>
      </c>
      <c r="M80" s="7">
        <v>66333800</v>
      </c>
      <c r="N80" s="7">
        <v>42405630</v>
      </c>
      <c r="O80" s="7">
        <v>16891570</v>
      </c>
      <c r="P80" s="7">
        <v>86055630</v>
      </c>
      <c r="Q80" s="7">
        <v>39247290</v>
      </c>
      <c r="R80" s="7">
        <v>53032430</v>
      </c>
      <c r="S80" s="7">
        <v>44738120</v>
      </c>
      <c r="T80" s="7">
        <v>46519520</v>
      </c>
      <c r="U80" s="7">
        <v>42565470</v>
      </c>
      <c r="V80" s="7">
        <v>25462310</v>
      </c>
      <c r="W80" s="7">
        <v>90991990</v>
      </c>
      <c r="X80" s="7">
        <v>73697310</v>
      </c>
      <c r="Y80" s="7">
        <v>100249700</v>
      </c>
    </row>
    <row r="81" spans="1:25" x14ac:dyDescent="0.25">
      <c r="B81" s="7">
        <v>55370180</v>
      </c>
      <c r="C81" s="7">
        <v>27014240</v>
      </c>
      <c r="D81" s="7">
        <v>21938670</v>
      </c>
      <c r="E81" s="7">
        <v>130306500</v>
      </c>
      <c r="F81" s="7">
        <v>53381880</v>
      </c>
      <c r="G81" s="7">
        <v>43454820</v>
      </c>
      <c r="H81" s="7">
        <v>62448360</v>
      </c>
      <c r="I81" s="7">
        <v>38330630</v>
      </c>
      <c r="J81" s="7">
        <v>28571360</v>
      </c>
      <c r="K81" s="7">
        <v>34838880</v>
      </c>
      <c r="L81" s="7">
        <v>44905070</v>
      </c>
      <c r="M81" s="7">
        <v>73380270</v>
      </c>
      <c r="N81" s="7">
        <v>45372930</v>
      </c>
      <c r="O81" s="7">
        <v>17933120</v>
      </c>
      <c r="P81" s="7">
        <v>89868180</v>
      </c>
      <c r="Q81" s="7">
        <v>42104010</v>
      </c>
      <c r="R81" s="7">
        <v>57307340</v>
      </c>
      <c r="S81" s="7">
        <v>47704880</v>
      </c>
      <c r="T81" s="7">
        <v>47930210</v>
      </c>
      <c r="U81" s="7">
        <v>44286570</v>
      </c>
      <c r="V81" s="7">
        <v>26674960</v>
      </c>
      <c r="W81" s="7">
        <v>95264330</v>
      </c>
      <c r="X81" s="7">
        <v>83514620</v>
      </c>
      <c r="Y81" s="7">
        <v>107742800</v>
      </c>
    </row>
    <row r="82" spans="1:25" x14ac:dyDescent="0.25">
      <c r="B82" s="7">
        <v>58617050</v>
      </c>
      <c r="C82" s="7">
        <v>28113230</v>
      </c>
      <c r="D82" s="7">
        <v>21527820</v>
      </c>
      <c r="E82" s="7">
        <v>142966400</v>
      </c>
      <c r="F82" s="7">
        <v>55023330</v>
      </c>
      <c r="G82" s="7">
        <v>42670370</v>
      </c>
      <c r="H82" s="7">
        <v>65178980</v>
      </c>
      <c r="I82" s="7">
        <v>39695280</v>
      </c>
      <c r="J82" s="7">
        <v>29239660</v>
      </c>
      <c r="K82" s="7">
        <v>34959090</v>
      </c>
      <c r="L82" s="7">
        <v>47860030</v>
      </c>
      <c r="M82" s="7">
        <v>78673670</v>
      </c>
      <c r="N82" s="7">
        <v>47097530</v>
      </c>
      <c r="O82" s="7">
        <v>18497070</v>
      </c>
      <c r="P82" s="7">
        <v>90314100</v>
      </c>
      <c r="Q82" s="7">
        <v>43803790</v>
      </c>
      <c r="R82" s="7">
        <v>59916820</v>
      </c>
      <c r="S82" s="7">
        <v>49215570</v>
      </c>
      <c r="T82" s="7">
        <v>47791600</v>
      </c>
      <c r="U82" s="7">
        <v>44537960</v>
      </c>
      <c r="V82" s="7">
        <v>27055950</v>
      </c>
      <c r="W82" s="7">
        <v>96046780</v>
      </c>
      <c r="X82" s="7">
        <v>91798450</v>
      </c>
      <c r="Y82" s="7">
        <v>111713900</v>
      </c>
    </row>
    <row r="83" spans="1:25" x14ac:dyDescent="0.25">
      <c r="B83" s="7">
        <v>60467080</v>
      </c>
      <c r="C83" s="7">
        <v>28589040</v>
      </c>
      <c r="D83" s="7">
        <v>20673980</v>
      </c>
      <c r="E83" s="7">
        <v>152975500</v>
      </c>
      <c r="F83" s="7">
        <v>55337930</v>
      </c>
      <c r="G83" s="7">
        <v>40863850</v>
      </c>
      <c r="H83" s="7">
        <v>66286200</v>
      </c>
      <c r="I83" s="7">
        <v>40176360</v>
      </c>
      <c r="J83" s="7">
        <v>29274340</v>
      </c>
      <c r="K83" s="7">
        <v>34279830</v>
      </c>
      <c r="L83" s="7">
        <v>49808180</v>
      </c>
      <c r="M83" s="7">
        <v>82368720</v>
      </c>
      <c r="N83" s="7">
        <v>47797070</v>
      </c>
      <c r="O83" s="7">
        <v>18678110</v>
      </c>
      <c r="P83" s="7">
        <v>88083050</v>
      </c>
      <c r="Q83" s="7">
        <v>44533850</v>
      </c>
      <c r="R83" s="7">
        <v>61077010</v>
      </c>
      <c r="S83" s="7">
        <v>49505120</v>
      </c>
      <c r="T83" s="7">
        <v>46497950</v>
      </c>
      <c r="U83" s="7">
        <v>43649070</v>
      </c>
      <c r="V83" s="7">
        <v>26779030</v>
      </c>
      <c r="W83" s="7">
        <v>94033850</v>
      </c>
      <c r="X83" s="7">
        <v>98613110</v>
      </c>
      <c r="Y83" s="7">
        <v>112642000</v>
      </c>
    </row>
    <row r="85" spans="1:25" ht="45" x14ac:dyDescent="0.25">
      <c r="A85" s="6" t="s">
        <v>46</v>
      </c>
      <c r="B85" s="7">
        <v>0</v>
      </c>
      <c r="C85" s="7">
        <v>63572640</v>
      </c>
      <c r="D85" s="7">
        <v>0</v>
      </c>
      <c r="E85" s="7">
        <v>0</v>
      </c>
      <c r="F85" s="7">
        <v>0</v>
      </c>
      <c r="G85" s="7">
        <v>0</v>
      </c>
      <c r="H85" s="7">
        <v>64432000</v>
      </c>
      <c r="I85" s="7">
        <v>0</v>
      </c>
      <c r="J85" s="7">
        <v>0</v>
      </c>
      <c r="K85" s="7">
        <v>0</v>
      </c>
      <c r="L85" s="7">
        <v>0</v>
      </c>
      <c r="M85" s="7">
        <v>64601950</v>
      </c>
      <c r="N85" s="7">
        <v>0</v>
      </c>
      <c r="O85" s="7">
        <v>63581730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63777970</v>
      </c>
      <c r="Y85" s="7">
        <v>0</v>
      </c>
    </row>
    <row r="86" spans="1:25" x14ac:dyDescent="0.25">
      <c r="B86" s="7">
        <v>0</v>
      </c>
      <c r="C86" s="7">
        <v>127145300</v>
      </c>
      <c r="D86" s="7">
        <v>0</v>
      </c>
      <c r="E86" s="7">
        <v>0</v>
      </c>
      <c r="F86" s="7">
        <v>0</v>
      </c>
      <c r="G86" s="7">
        <v>0</v>
      </c>
      <c r="H86" s="7">
        <v>128864000</v>
      </c>
      <c r="I86" s="7">
        <v>0</v>
      </c>
      <c r="J86" s="7">
        <v>0</v>
      </c>
      <c r="K86" s="7">
        <v>0</v>
      </c>
      <c r="L86" s="7">
        <v>0</v>
      </c>
      <c r="M86" s="7">
        <v>129203900</v>
      </c>
      <c r="N86" s="7">
        <v>0</v>
      </c>
      <c r="O86" s="7">
        <v>127163500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127555900</v>
      </c>
      <c r="Y86" s="7">
        <v>0</v>
      </c>
    </row>
    <row r="87" spans="1:25" x14ac:dyDescent="0.25">
      <c r="B87" s="7">
        <v>0</v>
      </c>
      <c r="C87" s="7">
        <v>174794000</v>
      </c>
      <c r="D87" s="7">
        <v>0</v>
      </c>
      <c r="E87" s="7">
        <v>0</v>
      </c>
      <c r="F87" s="7">
        <v>0</v>
      </c>
      <c r="G87" s="7">
        <v>0</v>
      </c>
      <c r="H87" s="7">
        <v>193278100</v>
      </c>
      <c r="I87" s="7">
        <v>0</v>
      </c>
      <c r="J87" s="7">
        <v>0</v>
      </c>
      <c r="K87" s="7">
        <v>0</v>
      </c>
      <c r="L87" s="7">
        <v>0</v>
      </c>
      <c r="M87" s="7">
        <v>193788500</v>
      </c>
      <c r="N87" s="7">
        <v>63444100</v>
      </c>
      <c r="O87" s="7">
        <v>149972300</v>
      </c>
      <c r="P87" s="7">
        <v>0</v>
      </c>
      <c r="Q87" s="7">
        <v>0</v>
      </c>
      <c r="R87" s="7">
        <v>0</v>
      </c>
      <c r="S87" s="7">
        <v>23446030</v>
      </c>
      <c r="T87" s="7">
        <v>0</v>
      </c>
      <c r="U87" s="7">
        <v>0</v>
      </c>
      <c r="V87" s="7">
        <v>0</v>
      </c>
      <c r="W87" s="7">
        <v>0</v>
      </c>
      <c r="X87" s="7">
        <v>191312300</v>
      </c>
      <c r="Y87" s="7">
        <v>0</v>
      </c>
    </row>
    <row r="88" spans="1:25" x14ac:dyDescent="0.25">
      <c r="B88" s="7">
        <v>7326795.3360000001</v>
      </c>
      <c r="C88" s="7">
        <v>199066200</v>
      </c>
      <c r="D88" s="7">
        <v>0</v>
      </c>
      <c r="E88" s="7">
        <v>0</v>
      </c>
      <c r="F88" s="7">
        <v>0</v>
      </c>
      <c r="G88" s="7">
        <v>0</v>
      </c>
      <c r="H88" s="7">
        <v>257679400</v>
      </c>
      <c r="I88" s="7">
        <v>0</v>
      </c>
      <c r="J88" s="7">
        <v>0</v>
      </c>
      <c r="K88" s="7">
        <v>0</v>
      </c>
      <c r="L88" s="7">
        <v>0</v>
      </c>
      <c r="M88" s="7">
        <v>258360400</v>
      </c>
      <c r="N88" s="7">
        <v>87754760</v>
      </c>
      <c r="O88" s="7">
        <v>161440100</v>
      </c>
      <c r="P88" s="7">
        <v>0</v>
      </c>
      <c r="Q88" s="7">
        <v>0</v>
      </c>
      <c r="R88" s="7">
        <v>0</v>
      </c>
      <c r="S88" s="7">
        <v>45993130</v>
      </c>
      <c r="T88" s="7">
        <v>0</v>
      </c>
      <c r="U88" s="7">
        <v>0</v>
      </c>
      <c r="V88" s="7">
        <v>0</v>
      </c>
      <c r="W88" s="7">
        <v>0</v>
      </c>
      <c r="X88" s="7">
        <v>255058000</v>
      </c>
      <c r="Y88" s="7">
        <v>0</v>
      </c>
    </row>
    <row r="89" spans="1:25" x14ac:dyDescent="0.25">
      <c r="B89" s="7">
        <v>30089720</v>
      </c>
      <c r="C89" s="7">
        <v>215357200</v>
      </c>
      <c r="D89" s="7">
        <v>0</v>
      </c>
      <c r="E89" s="7">
        <v>0</v>
      </c>
      <c r="F89" s="7">
        <v>0</v>
      </c>
      <c r="G89" s="7">
        <v>0</v>
      </c>
      <c r="H89" s="7">
        <v>322102000</v>
      </c>
      <c r="I89" s="7">
        <v>0</v>
      </c>
      <c r="J89" s="7">
        <v>0</v>
      </c>
      <c r="K89" s="7">
        <v>0</v>
      </c>
      <c r="L89" s="7">
        <v>0</v>
      </c>
      <c r="M89" s="7">
        <v>322951700</v>
      </c>
      <c r="N89" s="7">
        <v>154627800</v>
      </c>
      <c r="O89" s="7">
        <v>177400700</v>
      </c>
      <c r="P89" s="7">
        <v>0</v>
      </c>
      <c r="Q89" s="7">
        <v>0</v>
      </c>
      <c r="R89" s="7">
        <v>0</v>
      </c>
      <c r="S89" s="7">
        <v>80272850</v>
      </c>
      <c r="T89" s="7">
        <v>0</v>
      </c>
      <c r="U89" s="7">
        <v>0</v>
      </c>
      <c r="V89" s="7">
        <v>0</v>
      </c>
      <c r="W89" s="7">
        <v>0</v>
      </c>
      <c r="X89" s="7">
        <v>318831800</v>
      </c>
      <c r="Y89" s="7">
        <v>0</v>
      </c>
    </row>
    <row r="90" spans="1:25" x14ac:dyDescent="0.25">
      <c r="B90" s="7">
        <v>77171880</v>
      </c>
      <c r="C90" s="7">
        <v>239835900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232287100</v>
      </c>
      <c r="O90" s="7">
        <v>192858000</v>
      </c>
      <c r="P90" s="7">
        <v>0</v>
      </c>
      <c r="Q90" s="7">
        <v>8628848.8920000009</v>
      </c>
      <c r="R90" s="7">
        <v>-1.7928E-8</v>
      </c>
      <c r="S90" s="7">
        <v>162885000</v>
      </c>
      <c r="T90" s="7">
        <v>0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176193100</v>
      </c>
      <c r="C91" s="7">
        <v>273649300</v>
      </c>
      <c r="D91" s="7">
        <v>0</v>
      </c>
      <c r="E91" s="7">
        <v>11160680</v>
      </c>
      <c r="F91" s="7">
        <v>0</v>
      </c>
      <c r="G91" s="7">
        <v>0</v>
      </c>
      <c r="H91" s="7">
        <v>439604200</v>
      </c>
      <c r="I91" s="7">
        <v>-4.5583900000000001E-8</v>
      </c>
      <c r="J91" s="7">
        <v>0</v>
      </c>
      <c r="K91" s="7">
        <v>0</v>
      </c>
      <c r="L91" s="7">
        <v>28272990</v>
      </c>
      <c r="M91" s="7">
        <v>452155600</v>
      </c>
      <c r="N91" s="7">
        <v>318386100</v>
      </c>
      <c r="O91" s="7">
        <v>216330800</v>
      </c>
      <c r="P91" s="7">
        <v>0</v>
      </c>
      <c r="Q91" s="7">
        <v>58173040</v>
      </c>
      <c r="R91" s="7">
        <v>0</v>
      </c>
      <c r="S91" s="7">
        <v>271902700</v>
      </c>
      <c r="T91" s="7">
        <v>0</v>
      </c>
      <c r="U91" s="7">
        <v>0</v>
      </c>
      <c r="V91" s="7">
        <v>0</v>
      </c>
      <c r="W91" s="7">
        <v>0</v>
      </c>
      <c r="X91" s="7">
        <v>402363800</v>
      </c>
      <c r="Y91" s="7">
        <v>18541040</v>
      </c>
    </row>
    <row r="92" spans="1:25" x14ac:dyDescent="0.25">
      <c r="B92" s="7">
        <v>181623300</v>
      </c>
      <c r="C92" s="7">
        <v>335505200</v>
      </c>
      <c r="D92" s="7">
        <v>-1.1306800000000001E-8</v>
      </c>
      <c r="E92" s="7">
        <v>44087540</v>
      </c>
      <c r="F92" s="7">
        <v>-4.9694799999999997E-9</v>
      </c>
      <c r="G92" s="7">
        <v>0</v>
      </c>
      <c r="H92" s="7">
        <v>453038400</v>
      </c>
      <c r="I92" s="7">
        <v>0</v>
      </c>
      <c r="J92" s="7">
        <v>0</v>
      </c>
      <c r="K92" s="7">
        <v>0</v>
      </c>
      <c r="L92" s="7">
        <v>67612010</v>
      </c>
      <c r="M92" s="7">
        <v>469171700</v>
      </c>
      <c r="N92" s="7">
        <v>336090400</v>
      </c>
      <c r="O92" s="7">
        <v>260958000</v>
      </c>
      <c r="P92" s="7">
        <v>15632710</v>
      </c>
      <c r="Q92" s="7">
        <v>72900650</v>
      </c>
      <c r="R92" s="7">
        <v>0</v>
      </c>
      <c r="S92" s="7">
        <v>280093200</v>
      </c>
      <c r="T92" s="7">
        <v>0</v>
      </c>
      <c r="U92" s="7">
        <v>0</v>
      </c>
      <c r="V92" s="7">
        <v>0</v>
      </c>
      <c r="W92" s="7">
        <v>0</v>
      </c>
      <c r="X92" s="7">
        <v>418050200</v>
      </c>
      <c r="Y92" s="7">
        <v>29335390</v>
      </c>
    </row>
    <row r="94" spans="1:25" ht="45" x14ac:dyDescent="0.25">
      <c r="A94" s="6" t="s">
        <v>47</v>
      </c>
      <c r="B94" s="7">
        <v>64027530</v>
      </c>
      <c r="C94" s="7">
        <v>0</v>
      </c>
      <c r="D94" s="7">
        <v>63962980</v>
      </c>
      <c r="E94" s="7">
        <v>63855550</v>
      </c>
      <c r="F94" s="7">
        <v>65358650</v>
      </c>
      <c r="G94" s="7">
        <v>63987560</v>
      </c>
      <c r="H94" s="7">
        <v>0</v>
      </c>
      <c r="I94" s="7">
        <v>64815530</v>
      </c>
      <c r="J94" s="7">
        <v>63745340</v>
      </c>
      <c r="K94" s="7">
        <v>63572910</v>
      </c>
      <c r="L94" s="7">
        <v>64137440</v>
      </c>
      <c r="M94" s="7">
        <v>0</v>
      </c>
      <c r="N94" s="7">
        <v>64513720</v>
      </c>
      <c r="O94" s="7">
        <v>0</v>
      </c>
      <c r="P94" s="7">
        <v>63572780</v>
      </c>
      <c r="Q94" s="7">
        <v>65948290</v>
      </c>
      <c r="R94" s="7">
        <v>63977160</v>
      </c>
      <c r="S94" s="7">
        <v>64452640</v>
      </c>
      <c r="T94" s="7">
        <v>63566720</v>
      </c>
      <c r="U94" s="7">
        <v>63663710</v>
      </c>
      <c r="V94" s="7">
        <v>63575310</v>
      </c>
      <c r="W94" s="7">
        <v>63564560</v>
      </c>
      <c r="X94" s="7">
        <v>0</v>
      </c>
      <c r="Y94" s="7">
        <v>64271770</v>
      </c>
    </row>
    <row r="95" spans="1:25" x14ac:dyDescent="0.25">
      <c r="B95" s="7">
        <v>128055100</v>
      </c>
      <c r="C95" s="7">
        <v>0</v>
      </c>
      <c r="D95" s="7">
        <v>127926000</v>
      </c>
      <c r="E95" s="7">
        <v>127711100</v>
      </c>
      <c r="F95" s="7">
        <v>130717300</v>
      </c>
      <c r="G95" s="7">
        <v>127975100</v>
      </c>
      <c r="H95" s="7">
        <v>0</v>
      </c>
      <c r="I95" s="7">
        <v>129631100</v>
      </c>
      <c r="J95" s="7">
        <v>127490700</v>
      </c>
      <c r="K95" s="7">
        <v>127145800</v>
      </c>
      <c r="L95" s="7">
        <v>128274900</v>
      </c>
      <c r="M95" s="7">
        <v>0</v>
      </c>
      <c r="N95" s="7">
        <v>129027400</v>
      </c>
      <c r="O95" s="7">
        <v>0</v>
      </c>
      <c r="P95" s="7">
        <v>127145600</v>
      </c>
      <c r="Q95" s="7">
        <v>131896600</v>
      </c>
      <c r="R95" s="7">
        <v>127954300</v>
      </c>
      <c r="S95" s="7">
        <v>128905300</v>
      </c>
      <c r="T95" s="7">
        <v>127133400</v>
      </c>
      <c r="U95" s="7">
        <v>127327400</v>
      </c>
      <c r="V95" s="7">
        <v>127150600</v>
      </c>
      <c r="W95" s="7">
        <v>127129100</v>
      </c>
      <c r="X95" s="7">
        <v>0</v>
      </c>
      <c r="Y95" s="7">
        <v>128543500</v>
      </c>
    </row>
    <row r="96" spans="1:25" x14ac:dyDescent="0.25">
      <c r="B96" s="7">
        <v>192082600</v>
      </c>
      <c r="C96" s="7">
        <v>0</v>
      </c>
      <c r="D96" s="7">
        <v>191888900</v>
      </c>
      <c r="E96" s="7">
        <v>191566600</v>
      </c>
      <c r="F96" s="7">
        <v>196076000</v>
      </c>
      <c r="G96" s="7">
        <v>191962700</v>
      </c>
      <c r="H96" s="7">
        <v>0</v>
      </c>
      <c r="I96" s="7">
        <v>194446600</v>
      </c>
      <c r="J96" s="7">
        <v>191236000</v>
      </c>
      <c r="K96" s="7">
        <v>190718700</v>
      </c>
      <c r="L96" s="7">
        <v>192412300</v>
      </c>
      <c r="M96" s="7">
        <v>0</v>
      </c>
      <c r="N96" s="7">
        <v>130097000</v>
      </c>
      <c r="O96" s="7">
        <v>0</v>
      </c>
      <c r="P96" s="7">
        <v>190718300</v>
      </c>
      <c r="Q96" s="7">
        <v>197844900</v>
      </c>
      <c r="R96" s="7">
        <v>191931500</v>
      </c>
      <c r="S96" s="7">
        <v>169911900</v>
      </c>
      <c r="T96" s="7">
        <v>190700200</v>
      </c>
      <c r="U96" s="7">
        <v>190991100</v>
      </c>
      <c r="V96" s="7">
        <v>190725900</v>
      </c>
      <c r="W96" s="7">
        <v>190693700</v>
      </c>
      <c r="X96" s="7">
        <v>0</v>
      </c>
      <c r="Y96" s="7">
        <v>192815300</v>
      </c>
    </row>
    <row r="97" spans="1:25" x14ac:dyDescent="0.25">
      <c r="B97" s="7">
        <v>248783300</v>
      </c>
      <c r="C97" s="7">
        <v>0</v>
      </c>
      <c r="D97" s="7">
        <v>255851900</v>
      </c>
      <c r="E97" s="7">
        <v>255422200</v>
      </c>
      <c r="F97" s="7">
        <v>261434600</v>
      </c>
      <c r="G97" s="7">
        <v>255950200</v>
      </c>
      <c r="H97" s="7">
        <v>0</v>
      </c>
      <c r="I97" s="7">
        <v>259262100</v>
      </c>
      <c r="J97" s="7">
        <v>254981400</v>
      </c>
      <c r="K97" s="7">
        <v>254291600</v>
      </c>
      <c r="L97" s="7">
        <v>256549700</v>
      </c>
      <c r="M97" s="7">
        <v>0</v>
      </c>
      <c r="N97" s="7">
        <v>170298100</v>
      </c>
      <c r="O97" s="7">
        <v>0</v>
      </c>
      <c r="P97" s="7">
        <v>254291100</v>
      </c>
      <c r="Q97" s="7">
        <v>263793100</v>
      </c>
      <c r="R97" s="7">
        <v>255908600</v>
      </c>
      <c r="S97" s="7">
        <v>211817400</v>
      </c>
      <c r="T97" s="7">
        <v>254266900</v>
      </c>
      <c r="U97" s="7">
        <v>254654800</v>
      </c>
      <c r="V97" s="7">
        <v>254301300</v>
      </c>
      <c r="W97" s="7">
        <v>254258200</v>
      </c>
      <c r="X97" s="7">
        <v>0</v>
      </c>
      <c r="Y97" s="7">
        <v>257087100</v>
      </c>
    </row>
    <row r="98" spans="1:25" x14ac:dyDescent="0.25">
      <c r="B98" s="7">
        <v>290047900</v>
      </c>
      <c r="C98" s="7">
        <v>0</v>
      </c>
      <c r="D98" s="7">
        <v>319814900</v>
      </c>
      <c r="E98" s="7">
        <v>319277700</v>
      </c>
      <c r="F98" s="7">
        <v>326793300</v>
      </c>
      <c r="G98" s="7">
        <v>319937800</v>
      </c>
      <c r="H98" s="7">
        <v>6.9339879999999997E-9</v>
      </c>
      <c r="I98" s="7">
        <v>324077700</v>
      </c>
      <c r="J98" s="7">
        <v>318726700</v>
      </c>
      <c r="K98" s="7">
        <v>317864500</v>
      </c>
      <c r="L98" s="7">
        <v>320687200</v>
      </c>
      <c r="M98" s="7">
        <v>0</v>
      </c>
      <c r="N98" s="7">
        <v>167911300</v>
      </c>
      <c r="O98" s="7">
        <v>0</v>
      </c>
      <c r="P98" s="7">
        <v>317861800</v>
      </c>
      <c r="Q98" s="7">
        <v>329741400</v>
      </c>
      <c r="R98" s="7">
        <v>319885800</v>
      </c>
      <c r="S98" s="7">
        <v>241973300</v>
      </c>
      <c r="T98" s="7">
        <v>317833600</v>
      </c>
      <c r="U98" s="7">
        <v>318318600</v>
      </c>
      <c r="V98" s="7">
        <v>317876600</v>
      </c>
      <c r="W98" s="7">
        <v>317822800</v>
      </c>
      <c r="X98" s="7">
        <v>0</v>
      </c>
      <c r="Y98" s="7">
        <v>321358800</v>
      </c>
    </row>
    <row r="99" spans="1:25" x14ac:dyDescent="0.25">
      <c r="B99" s="7">
        <v>306969900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381437400</v>
      </c>
      <c r="L99" s="7">
        <v>384824600</v>
      </c>
      <c r="M99" s="7">
        <v>0</v>
      </c>
      <c r="N99" s="7">
        <v>154737200</v>
      </c>
      <c r="O99" s="7">
        <v>0</v>
      </c>
      <c r="P99" s="7">
        <v>381414300</v>
      </c>
      <c r="Q99" s="7">
        <v>387057000</v>
      </c>
      <c r="R99" s="7">
        <v>383844700</v>
      </c>
      <c r="S99" s="7">
        <v>223784200</v>
      </c>
      <c r="T99" s="7">
        <v>381397000</v>
      </c>
      <c r="U99" s="7">
        <v>382065300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271942900</v>
      </c>
      <c r="C100" s="7">
        <v>0</v>
      </c>
      <c r="D100" s="7">
        <v>447740800</v>
      </c>
      <c r="E100" s="7">
        <v>435902000</v>
      </c>
      <c r="F100" s="7">
        <v>457514000</v>
      </c>
      <c r="G100" s="7">
        <v>447888500</v>
      </c>
      <c r="H100" s="7">
        <v>0</v>
      </c>
      <c r="I100" s="7">
        <v>453692800</v>
      </c>
      <c r="J100" s="7">
        <v>446206100</v>
      </c>
      <c r="K100" s="7">
        <v>445010400</v>
      </c>
      <c r="L100" s="7">
        <v>420676300</v>
      </c>
      <c r="M100" s="7">
        <v>3.1694070000000002E-8</v>
      </c>
      <c r="N100" s="7">
        <v>133151900</v>
      </c>
      <c r="O100" s="7">
        <v>0</v>
      </c>
      <c r="P100" s="7">
        <v>444964500</v>
      </c>
      <c r="Q100" s="7">
        <v>388807200</v>
      </c>
      <c r="R100" s="7">
        <v>447799400</v>
      </c>
      <c r="S100" s="7">
        <v>179207700</v>
      </c>
      <c r="T100" s="7">
        <v>444936700</v>
      </c>
      <c r="U100" s="7">
        <v>431172200</v>
      </c>
      <c r="V100" s="7">
        <v>445153200</v>
      </c>
      <c r="W100" s="7">
        <v>444965100</v>
      </c>
      <c r="X100" s="7">
        <v>28656300</v>
      </c>
      <c r="Y100" s="7">
        <v>431353700</v>
      </c>
    </row>
    <row r="101" spans="1:25" x14ac:dyDescent="0.25">
      <c r="B101" s="7">
        <v>272092700</v>
      </c>
      <c r="C101" s="7">
        <v>0</v>
      </c>
      <c r="D101" s="7">
        <v>452878500</v>
      </c>
      <c r="E101" s="7">
        <v>442540000</v>
      </c>
      <c r="F101" s="7">
        <v>479355700</v>
      </c>
      <c r="G101" s="7">
        <v>452568600</v>
      </c>
      <c r="H101" s="7">
        <v>0</v>
      </c>
      <c r="I101" s="7">
        <v>461695100</v>
      </c>
      <c r="J101" s="7">
        <v>467022700</v>
      </c>
      <c r="K101" s="7">
        <v>461696300</v>
      </c>
      <c r="L101" s="7">
        <v>420635200</v>
      </c>
      <c r="M101" s="7">
        <v>0</v>
      </c>
      <c r="N101" s="7">
        <v>131408300</v>
      </c>
      <c r="O101" s="7">
        <v>0</v>
      </c>
      <c r="P101" s="7">
        <v>453476500</v>
      </c>
      <c r="Q101" s="7">
        <v>386559000</v>
      </c>
      <c r="R101" s="7">
        <v>477578500</v>
      </c>
      <c r="S101" s="7">
        <v>173150600</v>
      </c>
      <c r="T101" s="7">
        <v>481710900</v>
      </c>
      <c r="U101" s="7">
        <v>437481800</v>
      </c>
      <c r="V101" s="7">
        <v>494034100</v>
      </c>
      <c r="W101" s="7">
        <v>480825600</v>
      </c>
      <c r="X101" s="7">
        <v>28350400</v>
      </c>
      <c r="Y101" s="7">
        <v>440139800</v>
      </c>
    </row>
    <row r="103" spans="1:25" ht="45" x14ac:dyDescent="0.25">
      <c r="A103" s="6" t="s">
        <v>49</v>
      </c>
      <c r="B103" s="7">
        <v>448192700</v>
      </c>
      <c r="C103" s="7">
        <v>445008500</v>
      </c>
      <c r="D103" s="7">
        <v>447740800</v>
      </c>
      <c r="E103" s="7">
        <v>446988800</v>
      </c>
      <c r="F103" s="7">
        <v>457510600</v>
      </c>
      <c r="G103" s="7">
        <v>447912900</v>
      </c>
      <c r="H103" s="7">
        <v>451024000</v>
      </c>
      <c r="I103" s="7">
        <v>453708700</v>
      </c>
      <c r="J103" s="7">
        <v>446217400</v>
      </c>
      <c r="K103" s="7">
        <v>445010400</v>
      </c>
      <c r="L103" s="7">
        <v>448962100</v>
      </c>
      <c r="M103" s="7">
        <v>452213700</v>
      </c>
      <c r="N103" s="7">
        <v>451596000</v>
      </c>
      <c r="O103" s="7">
        <v>445072100</v>
      </c>
      <c r="P103" s="7">
        <v>445009400</v>
      </c>
      <c r="Q103" s="7">
        <v>461638000</v>
      </c>
      <c r="R103" s="7">
        <v>447840100</v>
      </c>
      <c r="S103" s="7">
        <v>451168500</v>
      </c>
      <c r="T103" s="7">
        <v>444967000</v>
      </c>
      <c r="U103" s="7">
        <v>445646000</v>
      </c>
      <c r="V103" s="7">
        <v>445027200</v>
      </c>
      <c r="W103" s="7">
        <v>444951900</v>
      </c>
      <c r="X103" s="7">
        <v>446445800</v>
      </c>
      <c r="Y103" s="7">
        <v>449902400</v>
      </c>
    </row>
    <row r="104" spans="1:25" x14ac:dyDescent="0.25">
      <c r="B104" s="7">
        <v>384165200</v>
      </c>
      <c r="C104" s="7">
        <v>381435900</v>
      </c>
      <c r="D104" s="7">
        <v>383777900</v>
      </c>
      <c r="E104" s="7">
        <v>383133300</v>
      </c>
      <c r="F104" s="7">
        <v>392151900</v>
      </c>
      <c r="G104" s="7">
        <v>383925300</v>
      </c>
      <c r="H104" s="7">
        <v>386592000</v>
      </c>
      <c r="I104" s="7">
        <v>388893200</v>
      </c>
      <c r="J104" s="7">
        <v>382472000</v>
      </c>
      <c r="K104" s="7">
        <v>381437400</v>
      </c>
      <c r="L104" s="7">
        <v>384824600</v>
      </c>
      <c r="M104" s="7">
        <v>387611700</v>
      </c>
      <c r="N104" s="7">
        <v>387082300</v>
      </c>
      <c r="O104" s="7">
        <v>381490400</v>
      </c>
      <c r="P104" s="7">
        <v>381436700</v>
      </c>
      <c r="Q104" s="7">
        <v>395689700</v>
      </c>
      <c r="R104" s="7">
        <v>383862900</v>
      </c>
      <c r="S104" s="7">
        <v>386715800</v>
      </c>
      <c r="T104" s="7">
        <v>381400300</v>
      </c>
      <c r="U104" s="7">
        <v>381982300</v>
      </c>
      <c r="V104" s="7">
        <v>381451900</v>
      </c>
      <c r="W104" s="7">
        <v>381387400</v>
      </c>
      <c r="X104" s="7">
        <v>382667800</v>
      </c>
      <c r="Y104" s="7">
        <v>385630600</v>
      </c>
    </row>
    <row r="105" spans="1:25" x14ac:dyDescent="0.25">
      <c r="B105" s="7">
        <v>320137700</v>
      </c>
      <c r="C105" s="7">
        <v>335971900</v>
      </c>
      <c r="D105" s="7">
        <v>319814900</v>
      </c>
      <c r="E105" s="7">
        <v>319277700</v>
      </c>
      <c r="F105" s="7">
        <v>326793300</v>
      </c>
      <c r="G105" s="7">
        <v>319937800</v>
      </c>
      <c r="H105" s="7">
        <v>322160000</v>
      </c>
      <c r="I105" s="7">
        <v>324077700</v>
      </c>
      <c r="J105" s="7">
        <v>318726700</v>
      </c>
      <c r="K105" s="7">
        <v>317864500</v>
      </c>
      <c r="L105" s="7">
        <v>320687200</v>
      </c>
      <c r="M105" s="7">
        <v>323009800</v>
      </c>
      <c r="N105" s="7">
        <v>322568600</v>
      </c>
      <c r="O105" s="7">
        <v>362417000</v>
      </c>
      <c r="P105" s="7">
        <v>317863900</v>
      </c>
      <c r="Q105" s="7">
        <v>329741400</v>
      </c>
      <c r="R105" s="7">
        <v>319885800</v>
      </c>
      <c r="S105" s="7">
        <v>322263200</v>
      </c>
      <c r="T105" s="7">
        <v>317833600</v>
      </c>
      <c r="U105" s="7">
        <v>318318600</v>
      </c>
      <c r="V105" s="7">
        <v>317876600</v>
      </c>
      <c r="W105" s="7">
        <v>317822800</v>
      </c>
      <c r="X105" s="7">
        <v>318889900</v>
      </c>
      <c r="Y105" s="7">
        <v>321358800</v>
      </c>
    </row>
    <row r="106" spans="1:25" x14ac:dyDescent="0.25">
      <c r="B106" s="7">
        <v>256110100</v>
      </c>
      <c r="C106" s="7">
        <v>316274300</v>
      </c>
      <c r="D106" s="7">
        <v>255851900</v>
      </c>
      <c r="E106" s="7">
        <v>255422200</v>
      </c>
      <c r="F106" s="7">
        <v>261434600</v>
      </c>
      <c r="G106" s="7">
        <v>255950200</v>
      </c>
      <c r="H106" s="7">
        <v>257728000</v>
      </c>
      <c r="I106" s="7">
        <v>259262100</v>
      </c>
      <c r="J106" s="7">
        <v>254981400</v>
      </c>
      <c r="K106" s="7">
        <v>254291600</v>
      </c>
      <c r="L106" s="7">
        <v>256549700</v>
      </c>
      <c r="M106" s="7">
        <v>258407800</v>
      </c>
      <c r="N106" s="7">
        <v>258054900</v>
      </c>
      <c r="O106" s="7">
        <v>354674100</v>
      </c>
      <c r="P106" s="7">
        <v>254291100</v>
      </c>
      <c r="Q106" s="7">
        <v>263793100</v>
      </c>
      <c r="R106" s="7">
        <v>255908600</v>
      </c>
      <c r="S106" s="7">
        <v>257810500</v>
      </c>
      <c r="T106" s="7">
        <v>254266900</v>
      </c>
      <c r="U106" s="7">
        <v>254654800</v>
      </c>
      <c r="V106" s="7">
        <v>254301300</v>
      </c>
      <c r="W106" s="7">
        <v>254258200</v>
      </c>
      <c r="X106" s="7">
        <v>255111900</v>
      </c>
      <c r="Y106" s="7">
        <v>257087100</v>
      </c>
    </row>
    <row r="107" spans="1:25" x14ac:dyDescent="0.25">
      <c r="B107" s="7">
        <v>192082600</v>
      </c>
      <c r="C107" s="7">
        <v>304350000</v>
      </c>
      <c r="D107" s="7">
        <v>191888900</v>
      </c>
      <c r="E107" s="7">
        <v>191566600</v>
      </c>
      <c r="F107" s="7">
        <v>196076000</v>
      </c>
      <c r="G107" s="7">
        <v>191962700</v>
      </c>
      <c r="H107" s="7">
        <v>193296000</v>
      </c>
      <c r="I107" s="7">
        <v>194446600</v>
      </c>
      <c r="J107" s="7">
        <v>191236000</v>
      </c>
      <c r="K107" s="7">
        <v>190718700</v>
      </c>
      <c r="L107" s="7">
        <v>192412300</v>
      </c>
      <c r="M107" s="7">
        <v>193805900</v>
      </c>
      <c r="N107" s="7">
        <v>193541100</v>
      </c>
      <c r="O107" s="7">
        <v>341149600</v>
      </c>
      <c r="P107" s="7">
        <v>190718300</v>
      </c>
      <c r="Q107" s="7">
        <v>197844900</v>
      </c>
      <c r="R107" s="7">
        <v>191931500</v>
      </c>
      <c r="S107" s="7">
        <v>193357900</v>
      </c>
      <c r="T107" s="7">
        <v>190700200</v>
      </c>
      <c r="U107" s="7">
        <v>190991100</v>
      </c>
      <c r="V107" s="7">
        <v>190725900</v>
      </c>
      <c r="W107" s="7">
        <v>190693700</v>
      </c>
      <c r="X107" s="7">
        <v>191333900</v>
      </c>
      <c r="Y107" s="7">
        <v>192815300</v>
      </c>
    </row>
    <row r="108" spans="1:25" x14ac:dyDescent="0.25">
      <c r="B108" s="7">
        <v>128055100</v>
      </c>
      <c r="C108" s="7">
        <v>282330500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327449600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249432700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78275030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64601950</v>
      </c>
      <c r="N109" s="7">
        <v>64513720</v>
      </c>
      <c r="O109" s="7">
        <v>304716200</v>
      </c>
      <c r="P109" s="7">
        <v>63572780</v>
      </c>
      <c r="Q109" s="7">
        <v>82553720</v>
      </c>
      <c r="R109" s="7">
        <v>63977160</v>
      </c>
      <c r="S109" s="7">
        <v>64452640</v>
      </c>
      <c r="T109" s="7">
        <v>63566720</v>
      </c>
      <c r="U109" s="7">
        <v>80397830</v>
      </c>
      <c r="V109" s="7">
        <v>63575310</v>
      </c>
      <c r="W109" s="7">
        <v>63564560</v>
      </c>
      <c r="X109" s="7">
        <v>84404100</v>
      </c>
      <c r="Y109" s="7">
        <v>64271770</v>
      </c>
    </row>
    <row r="110" spans="1:25" x14ac:dyDescent="0.25">
      <c r="B110" s="7">
        <v>68471150</v>
      </c>
      <c r="C110" s="7">
        <v>185975000</v>
      </c>
      <c r="D110" s="7">
        <v>61928660</v>
      </c>
      <c r="E110" s="7">
        <v>38461760</v>
      </c>
      <c r="F110" s="7">
        <v>50088520</v>
      </c>
      <c r="G110" s="7">
        <v>65866430</v>
      </c>
      <c r="H110" s="7">
        <v>74188950</v>
      </c>
      <c r="I110" s="7">
        <v>62852710</v>
      </c>
      <c r="J110" s="7">
        <v>46210800</v>
      </c>
      <c r="K110" s="7">
        <v>51329120</v>
      </c>
      <c r="L110" s="7">
        <v>28237970</v>
      </c>
      <c r="M110" s="7">
        <v>59305390</v>
      </c>
      <c r="N110" s="7">
        <v>54851670</v>
      </c>
      <c r="O110" s="7">
        <v>259454200</v>
      </c>
      <c r="P110" s="7">
        <v>50206330</v>
      </c>
      <c r="Q110" s="7">
        <v>76082380</v>
      </c>
      <c r="R110" s="7">
        <v>40126690</v>
      </c>
      <c r="S110" s="7">
        <v>70739350</v>
      </c>
      <c r="T110" s="7">
        <v>30200030</v>
      </c>
      <c r="U110" s="7">
        <v>80371100</v>
      </c>
      <c r="V110" s="7">
        <v>15586240</v>
      </c>
      <c r="W110" s="7">
        <v>36057890</v>
      </c>
      <c r="X110" s="7">
        <v>83860700</v>
      </c>
      <c r="Y110" s="7">
        <v>61361500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R107" s="1"/>
      <c r="S107" s="1"/>
      <c r="X107" s="1"/>
    </row>
    <row r="108" spans="2:25" x14ac:dyDescent="0.25">
      <c r="B108" s="1"/>
      <c r="C108" s="1"/>
      <c r="E108" s="1"/>
      <c r="H108" s="1"/>
      <c r="I108" s="1"/>
      <c r="L108" s="1"/>
      <c r="M108" s="1"/>
      <c r="N108" s="1"/>
      <c r="O108" s="1"/>
      <c r="Q108" s="1"/>
      <c r="S108" s="1"/>
      <c r="X108" s="1"/>
      <c r="Y108" s="1"/>
    </row>
    <row r="109" spans="2:25" x14ac:dyDescent="0.25">
      <c r="B109" s="1"/>
      <c r="C109" s="1"/>
      <c r="D109" s="1"/>
      <c r="E109" s="1"/>
      <c r="F109" s="1"/>
      <c r="H109" s="1"/>
      <c r="L109" s="1"/>
      <c r="M109" s="1"/>
      <c r="N109" s="1"/>
      <c r="O109" s="1"/>
      <c r="P109" s="1"/>
      <c r="Q109" s="1"/>
      <c r="S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2026-02-17T16:18:40Z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